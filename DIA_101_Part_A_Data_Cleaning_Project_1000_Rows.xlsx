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CT\OneDrive\Documents\"/>
    </mc:Choice>
  </mc:AlternateContent>
  <xr:revisionPtr revIDLastSave="0" documentId="11_7FB7B458A14F14817A63B6AEA249DCAAAB2B5D7B" xr6:coauthVersionLast="47" xr6:coauthVersionMax="47" xr10:uidLastSave="{00000000-0000-0000-0000-000000000000}"/>
  <bookViews>
    <workbookView xWindow="0" yWindow="0" windowWidth="24000" windowHeight="8730" activeTab="3" xr2:uid="{00000000-000D-0000-FFFF-FFFF00000000}"/>
  </bookViews>
  <sheets>
    <sheet name="RAW_DATA" sheetId="1" r:id="rId1"/>
    <sheet name="CLEANED" sheetId="5" r:id="rId2"/>
    <sheet name="CAL-DATA VALIDATION" sheetId="9" state="hidden" r:id="rId3"/>
    <sheet name="REPORT" sheetId="8" r:id="rId4"/>
  </sheets>
  <definedNames>
    <definedName name="_xlnm._FilterDatabase" localSheetId="1" hidden="1">CLEANED!$B$2:$B$1012</definedName>
    <definedName name="_xlnm._FilterDatabase" localSheetId="0" hidden="1">RAW_DATA!$A$2:$A$1023</definedName>
    <definedName name="DATA_VAL">Table1[TABLE DETAILS]</definedName>
    <definedName name="_xlnm.Extract" localSheetId="1">CLEANED!$S$2</definedName>
    <definedName name="_xlnm.Extract" localSheetId="0">RAW_DATA!$K$2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5" l="1"/>
  <c r="N2" i="5"/>
  <c r="P2" i="5"/>
  <c r="O3" i="5"/>
  <c r="O4" i="5"/>
  <c r="O5" i="5"/>
  <c r="O6" i="5"/>
  <c r="N6" i="5"/>
  <c r="P6" i="5"/>
  <c r="O7" i="5"/>
  <c r="O8" i="5"/>
  <c r="O9" i="5"/>
  <c r="O10" i="5"/>
  <c r="N10" i="5"/>
  <c r="P10" i="5"/>
  <c r="O11" i="5"/>
  <c r="O12" i="5"/>
  <c r="O13" i="5"/>
  <c r="O14" i="5"/>
  <c r="N14" i="5"/>
  <c r="P14" i="5"/>
  <c r="O15" i="5"/>
  <c r="O16" i="5"/>
  <c r="O17" i="5"/>
  <c r="O18" i="5"/>
  <c r="N18" i="5"/>
  <c r="P18" i="5"/>
  <c r="O19" i="5"/>
  <c r="O20" i="5"/>
  <c r="O21" i="5"/>
  <c r="O22" i="5"/>
  <c r="N22" i="5"/>
  <c r="P22" i="5"/>
  <c r="O23" i="5"/>
  <c r="O24" i="5"/>
  <c r="O25" i="5"/>
  <c r="O26" i="5"/>
  <c r="N26" i="5"/>
  <c r="P26" i="5"/>
  <c r="O27" i="5"/>
  <c r="O28" i="5"/>
  <c r="O29" i="5"/>
  <c r="O30" i="5"/>
  <c r="N30" i="5"/>
  <c r="P30" i="5"/>
  <c r="O31" i="5"/>
  <c r="O32" i="5"/>
  <c r="O33" i="5"/>
  <c r="O34" i="5"/>
  <c r="N34" i="5"/>
  <c r="P34" i="5"/>
  <c r="O35" i="5"/>
  <c r="O36" i="5"/>
  <c r="O37" i="5"/>
  <c r="O38" i="5"/>
  <c r="N38" i="5"/>
  <c r="P38" i="5"/>
  <c r="O39" i="5"/>
  <c r="O40" i="5"/>
  <c r="O41" i="5"/>
  <c r="O42" i="5"/>
  <c r="N42" i="5"/>
  <c r="P42" i="5"/>
  <c r="O43" i="5"/>
  <c r="O44" i="5"/>
  <c r="O45" i="5"/>
  <c r="O46" i="5"/>
  <c r="N46" i="5"/>
  <c r="P46" i="5"/>
  <c r="O47" i="5"/>
  <c r="O48" i="5"/>
  <c r="O49" i="5"/>
  <c r="O50" i="5"/>
  <c r="N50" i="5"/>
  <c r="P50" i="5"/>
  <c r="O51" i="5"/>
  <c r="O52" i="5"/>
  <c r="O53" i="5"/>
  <c r="O54" i="5"/>
  <c r="N54" i="5"/>
  <c r="P54" i="5"/>
  <c r="O55" i="5"/>
  <c r="O56" i="5"/>
  <c r="O57" i="5"/>
  <c r="O58" i="5"/>
  <c r="N58" i="5"/>
  <c r="P58" i="5"/>
  <c r="O59" i="5"/>
  <c r="O60" i="5"/>
  <c r="O61" i="5"/>
  <c r="O62" i="5"/>
  <c r="N62" i="5"/>
  <c r="P62" i="5"/>
  <c r="O63" i="5"/>
  <c r="O64" i="5"/>
  <c r="O65" i="5"/>
  <c r="O66" i="5"/>
  <c r="N66" i="5"/>
  <c r="P66" i="5"/>
  <c r="O67" i="5"/>
  <c r="O68" i="5"/>
  <c r="O69" i="5"/>
  <c r="O70" i="5"/>
  <c r="N70" i="5"/>
  <c r="P70" i="5"/>
  <c r="O71" i="5"/>
  <c r="O72" i="5"/>
  <c r="O73" i="5"/>
  <c r="O74" i="5"/>
  <c r="N74" i="5"/>
  <c r="P74" i="5"/>
  <c r="O75" i="5"/>
  <c r="O76" i="5"/>
  <c r="O77" i="5"/>
  <c r="O78" i="5"/>
  <c r="N78" i="5"/>
  <c r="P78" i="5"/>
  <c r="O79" i="5"/>
  <c r="O80" i="5"/>
  <c r="O81" i="5"/>
  <c r="O82" i="5"/>
  <c r="N82" i="5"/>
  <c r="P82" i="5"/>
  <c r="O83" i="5"/>
  <c r="O84" i="5"/>
  <c r="O85" i="5"/>
  <c r="O86" i="5"/>
  <c r="N86" i="5"/>
  <c r="P86" i="5"/>
  <c r="O87" i="5"/>
  <c r="O88" i="5"/>
  <c r="O89" i="5"/>
  <c r="O90" i="5"/>
  <c r="N90" i="5"/>
  <c r="P90" i="5"/>
  <c r="O91" i="5"/>
  <c r="O92" i="5"/>
  <c r="O93" i="5"/>
  <c r="O94" i="5"/>
  <c r="N94" i="5"/>
  <c r="P94" i="5"/>
  <c r="O95" i="5"/>
  <c r="O96" i="5"/>
  <c r="O97" i="5"/>
  <c r="O98" i="5"/>
  <c r="N98" i="5"/>
  <c r="P98" i="5"/>
  <c r="O99" i="5"/>
  <c r="O100" i="5"/>
  <c r="O101" i="5"/>
  <c r="O102" i="5"/>
  <c r="N102" i="5"/>
  <c r="P102" i="5"/>
  <c r="O103" i="5"/>
  <c r="O104" i="5"/>
  <c r="O105" i="5"/>
  <c r="O106" i="5"/>
  <c r="N106" i="5"/>
  <c r="P106" i="5"/>
  <c r="O107" i="5"/>
  <c r="O108" i="5"/>
  <c r="O109" i="5"/>
  <c r="O110" i="5"/>
  <c r="N110" i="5"/>
  <c r="P110" i="5"/>
  <c r="O111" i="5"/>
  <c r="O112" i="5"/>
  <c r="O113" i="5"/>
  <c r="O114" i="5"/>
  <c r="N114" i="5"/>
  <c r="P114" i="5"/>
  <c r="O115" i="5"/>
  <c r="O116" i="5"/>
  <c r="O117" i="5"/>
  <c r="O118" i="5"/>
  <c r="N118" i="5"/>
  <c r="P118" i="5"/>
  <c r="O119" i="5"/>
  <c r="O120" i="5"/>
  <c r="O121" i="5"/>
  <c r="O122" i="5"/>
  <c r="N122" i="5"/>
  <c r="P122" i="5"/>
  <c r="O123" i="5"/>
  <c r="O124" i="5"/>
  <c r="O125" i="5"/>
  <c r="O126" i="5"/>
  <c r="N126" i="5"/>
  <c r="P126" i="5"/>
  <c r="O127" i="5"/>
  <c r="O128" i="5"/>
  <c r="O129" i="5"/>
  <c r="O130" i="5"/>
  <c r="N130" i="5"/>
  <c r="P130" i="5"/>
  <c r="O131" i="5"/>
  <c r="O132" i="5"/>
  <c r="O133" i="5"/>
  <c r="O134" i="5"/>
  <c r="N134" i="5"/>
  <c r="P134" i="5"/>
  <c r="O135" i="5"/>
  <c r="O136" i="5"/>
  <c r="O137" i="5"/>
  <c r="O138" i="5"/>
  <c r="N138" i="5"/>
  <c r="P138" i="5"/>
  <c r="O139" i="5"/>
  <c r="O140" i="5"/>
  <c r="O141" i="5"/>
  <c r="O142" i="5"/>
  <c r="N142" i="5"/>
  <c r="P142" i="5"/>
  <c r="O143" i="5"/>
  <c r="O144" i="5"/>
  <c r="O145" i="5"/>
  <c r="O146" i="5"/>
  <c r="N146" i="5"/>
  <c r="P146" i="5"/>
  <c r="O147" i="5"/>
  <c r="O148" i="5"/>
  <c r="O149" i="5"/>
  <c r="O150" i="5"/>
  <c r="N150" i="5"/>
  <c r="P150" i="5"/>
  <c r="O151" i="5"/>
  <c r="O152" i="5"/>
  <c r="O153" i="5"/>
  <c r="O154" i="5"/>
  <c r="N154" i="5"/>
  <c r="P154" i="5"/>
  <c r="O155" i="5"/>
  <c r="O156" i="5"/>
  <c r="O157" i="5"/>
  <c r="O158" i="5"/>
  <c r="N158" i="5"/>
  <c r="P158" i="5"/>
  <c r="O159" i="5"/>
  <c r="O160" i="5"/>
  <c r="O161" i="5"/>
  <c r="O162" i="5"/>
  <c r="N162" i="5"/>
  <c r="P162" i="5"/>
  <c r="O163" i="5"/>
  <c r="O164" i="5"/>
  <c r="O165" i="5"/>
  <c r="O166" i="5"/>
  <c r="N166" i="5"/>
  <c r="P166" i="5"/>
  <c r="O167" i="5"/>
  <c r="O168" i="5"/>
  <c r="O169" i="5"/>
  <c r="O170" i="5"/>
  <c r="N170" i="5"/>
  <c r="P170" i="5"/>
  <c r="O171" i="5"/>
  <c r="O172" i="5"/>
  <c r="O173" i="5"/>
  <c r="O174" i="5"/>
  <c r="N174" i="5"/>
  <c r="P174" i="5"/>
  <c r="O175" i="5"/>
  <c r="O176" i="5"/>
  <c r="O177" i="5"/>
  <c r="O178" i="5"/>
  <c r="N178" i="5"/>
  <c r="P178" i="5"/>
  <c r="O179" i="5"/>
  <c r="O180" i="5"/>
  <c r="O181" i="5"/>
  <c r="O182" i="5"/>
  <c r="N182" i="5"/>
  <c r="P182" i="5"/>
  <c r="O183" i="5"/>
  <c r="O184" i="5"/>
  <c r="O185" i="5"/>
  <c r="O186" i="5"/>
  <c r="N186" i="5"/>
  <c r="P186" i="5"/>
  <c r="O187" i="5"/>
  <c r="O188" i="5"/>
  <c r="O189" i="5"/>
  <c r="O190" i="5"/>
  <c r="N190" i="5"/>
  <c r="P190" i="5"/>
  <c r="O191" i="5"/>
  <c r="O192" i="5"/>
  <c r="O193" i="5"/>
  <c r="O194" i="5"/>
  <c r="N194" i="5"/>
  <c r="P194" i="5"/>
  <c r="O195" i="5"/>
  <c r="O196" i="5"/>
  <c r="O197" i="5"/>
  <c r="O198" i="5"/>
  <c r="N198" i="5"/>
  <c r="P198" i="5"/>
  <c r="O199" i="5"/>
  <c r="O200" i="5"/>
  <c r="O201" i="5"/>
  <c r="O202" i="5"/>
  <c r="N202" i="5"/>
  <c r="P202" i="5"/>
  <c r="O203" i="5"/>
  <c r="O204" i="5"/>
  <c r="O205" i="5"/>
  <c r="O206" i="5"/>
  <c r="N206" i="5"/>
  <c r="P206" i="5"/>
  <c r="O207" i="5"/>
  <c r="O208" i="5"/>
  <c r="O209" i="5"/>
  <c r="O210" i="5"/>
  <c r="N210" i="5"/>
  <c r="P210" i="5"/>
  <c r="O211" i="5"/>
  <c r="O212" i="5"/>
  <c r="O213" i="5"/>
  <c r="O214" i="5"/>
  <c r="N214" i="5"/>
  <c r="P214" i="5"/>
  <c r="O215" i="5"/>
  <c r="O216" i="5"/>
  <c r="O217" i="5"/>
  <c r="O218" i="5"/>
  <c r="N218" i="5"/>
  <c r="P218" i="5"/>
  <c r="O219" i="5"/>
  <c r="O220" i="5"/>
  <c r="O221" i="5"/>
  <c r="O222" i="5"/>
  <c r="N222" i="5"/>
  <c r="P222" i="5"/>
  <c r="O223" i="5"/>
  <c r="O224" i="5"/>
  <c r="O225" i="5"/>
  <c r="O226" i="5"/>
  <c r="N226" i="5"/>
  <c r="P226" i="5"/>
  <c r="O227" i="5"/>
  <c r="O228" i="5"/>
  <c r="O229" i="5"/>
  <c r="O230" i="5"/>
  <c r="N230" i="5"/>
  <c r="P230" i="5"/>
  <c r="O231" i="5"/>
  <c r="O232" i="5"/>
  <c r="O233" i="5"/>
  <c r="O234" i="5"/>
  <c r="N234" i="5"/>
  <c r="P234" i="5"/>
  <c r="O235" i="5"/>
  <c r="O236" i="5"/>
  <c r="O237" i="5"/>
  <c r="O238" i="5"/>
  <c r="N238" i="5"/>
  <c r="P238" i="5"/>
  <c r="O239" i="5"/>
  <c r="O240" i="5"/>
  <c r="O241" i="5"/>
  <c r="O242" i="5"/>
  <c r="N242" i="5"/>
  <c r="P242" i="5"/>
  <c r="O243" i="5"/>
  <c r="O244" i="5"/>
  <c r="O245" i="5"/>
  <c r="O246" i="5"/>
  <c r="N246" i="5"/>
  <c r="P246" i="5"/>
  <c r="O247" i="5"/>
  <c r="O248" i="5"/>
  <c r="O249" i="5"/>
  <c r="O250" i="5"/>
  <c r="N250" i="5"/>
  <c r="P250" i="5"/>
  <c r="O251" i="5"/>
  <c r="O252" i="5"/>
  <c r="O253" i="5"/>
  <c r="O254" i="5"/>
  <c r="N254" i="5"/>
  <c r="P254" i="5"/>
  <c r="O255" i="5"/>
  <c r="O256" i="5"/>
  <c r="O257" i="5"/>
  <c r="O258" i="5"/>
  <c r="N258" i="5"/>
  <c r="P258" i="5"/>
  <c r="O259" i="5"/>
  <c r="O260" i="5"/>
  <c r="O261" i="5"/>
  <c r="O262" i="5"/>
  <c r="N262" i="5"/>
  <c r="P262" i="5"/>
  <c r="O263" i="5"/>
  <c r="O264" i="5"/>
  <c r="O265" i="5"/>
  <c r="O266" i="5"/>
  <c r="N266" i="5"/>
  <c r="P266" i="5"/>
  <c r="O267" i="5"/>
  <c r="O268" i="5"/>
  <c r="O269" i="5"/>
  <c r="O270" i="5"/>
  <c r="N270" i="5"/>
  <c r="P270" i="5"/>
  <c r="O271" i="5"/>
  <c r="O272" i="5"/>
  <c r="O273" i="5"/>
  <c r="O274" i="5"/>
  <c r="N274" i="5"/>
  <c r="P274" i="5"/>
  <c r="O275" i="5"/>
  <c r="O276" i="5"/>
  <c r="O277" i="5"/>
  <c r="O278" i="5"/>
  <c r="N278" i="5"/>
  <c r="P278" i="5"/>
  <c r="O279" i="5"/>
  <c r="O280" i="5"/>
  <c r="O281" i="5"/>
  <c r="O282" i="5"/>
  <c r="N282" i="5"/>
  <c r="P282" i="5"/>
  <c r="O283" i="5"/>
  <c r="O284" i="5"/>
  <c r="O285" i="5"/>
  <c r="O286" i="5"/>
  <c r="N286" i="5"/>
  <c r="P286" i="5"/>
  <c r="O287" i="5"/>
  <c r="O288" i="5"/>
  <c r="O289" i="5"/>
  <c r="O290" i="5"/>
  <c r="N290" i="5"/>
  <c r="P290" i="5"/>
  <c r="O291" i="5"/>
  <c r="O292" i="5"/>
  <c r="O293" i="5"/>
  <c r="O294" i="5"/>
  <c r="N294" i="5"/>
  <c r="P294" i="5"/>
  <c r="O295" i="5"/>
  <c r="O296" i="5"/>
  <c r="O297" i="5"/>
  <c r="O298" i="5"/>
  <c r="N298" i="5"/>
  <c r="P298" i="5"/>
  <c r="O299" i="5"/>
  <c r="O300" i="5"/>
  <c r="O301" i="5"/>
  <c r="O302" i="5"/>
  <c r="N302" i="5"/>
  <c r="P302" i="5"/>
  <c r="O303" i="5"/>
  <c r="O304" i="5"/>
  <c r="O305" i="5"/>
  <c r="O306" i="5"/>
  <c r="N306" i="5"/>
  <c r="P306" i="5"/>
  <c r="O307" i="5"/>
  <c r="O308" i="5"/>
  <c r="O309" i="5"/>
  <c r="O310" i="5"/>
  <c r="N310" i="5"/>
  <c r="P310" i="5"/>
  <c r="O311" i="5"/>
  <c r="O312" i="5"/>
  <c r="O313" i="5"/>
  <c r="O314" i="5"/>
  <c r="N314" i="5"/>
  <c r="P314" i="5"/>
  <c r="O315" i="5"/>
  <c r="O316" i="5"/>
  <c r="O317" i="5"/>
  <c r="O318" i="5"/>
  <c r="N318" i="5"/>
  <c r="P318" i="5"/>
  <c r="O319" i="5"/>
  <c r="O320" i="5"/>
  <c r="O321" i="5"/>
  <c r="O322" i="5"/>
  <c r="N322" i="5"/>
  <c r="P322" i="5"/>
  <c r="O323" i="5"/>
  <c r="O324" i="5"/>
  <c r="O325" i="5"/>
  <c r="O326" i="5"/>
  <c r="N326" i="5"/>
  <c r="P326" i="5"/>
  <c r="O327" i="5"/>
  <c r="O328" i="5"/>
  <c r="O329" i="5"/>
  <c r="O330" i="5"/>
  <c r="N330" i="5"/>
  <c r="P330" i="5"/>
  <c r="O331" i="5"/>
  <c r="O332" i="5"/>
  <c r="O333" i="5"/>
  <c r="O334" i="5"/>
  <c r="N334" i="5"/>
  <c r="P334" i="5"/>
  <c r="O335" i="5"/>
  <c r="O336" i="5"/>
  <c r="O337" i="5"/>
  <c r="O338" i="5"/>
  <c r="N338" i="5"/>
  <c r="P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N3" i="5"/>
  <c r="P3" i="5"/>
  <c r="N4" i="5"/>
  <c r="P4" i="5"/>
  <c r="N5" i="5"/>
  <c r="P5" i="5"/>
  <c r="N7" i="5"/>
  <c r="P7" i="5"/>
  <c r="N8" i="5"/>
  <c r="P8" i="5"/>
  <c r="N9" i="5"/>
  <c r="P9" i="5"/>
  <c r="N11" i="5"/>
  <c r="P11" i="5"/>
  <c r="N12" i="5"/>
  <c r="P12" i="5"/>
  <c r="N13" i="5"/>
  <c r="P13" i="5"/>
  <c r="N15" i="5"/>
  <c r="P15" i="5"/>
  <c r="N16" i="5"/>
  <c r="P16" i="5"/>
  <c r="N17" i="5"/>
  <c r="P17" i="5"/>
  <c r="N19" i="5"/>
  <c r="P19" i="5"/>
  <c r="N20" i="5"/>
  <c r="P20" i="5"/>
  <c r="N21" i="5"/>
  <c r="P21" i="5"/>
  <c r="N23" i="5"/>
  <c r="P23" i="5"/>
  <c r="N24" i="5"/>
  <c r="P24" i="5"/>
  <c r="N25" i="5"/>
  <c r="P25" i="5"/>
  <c r="N27" i="5"/>
  <c r="P27" i="5"/>
  <c r="N28" i="5"/>
  <c r="P28" i="5"/>
  <c r="N29" i="5"/>
  <c r="P29" i="5"/>
  <c r="N31" i="5"/>
  <c r="P31" i="5"/>
  <c r="N32" i="5"/>
  <c r="P32" i="5"/>
  <c r="N33" i="5"/>
  <c r="P33" i="5"/>
  <c r="N35" i="5"/>
  <c r="P35" i="5"/>
  <c r="N36" i="5"/>
  <c r="P36" i="5"/>
  <c r="N37" i="5"/>
  <c r="P37" i="5"/>
  <c r="N39" i="5"/>
  <c r="P39" i="5"/>
  <c r="N40" i="5"/>
  <c r="P40" i="5"/>
  <c r="N41" i="5"/>
  <c r="P41" i="5"/>
  <c r="N43" i="5"/>
  <c r="P43" i="5"/>
  <c r="N44" i="5"/>
  <c r="P44" i="5"/>
  <c r="N45" i="5"/>
  <c r="P45" i="5"/>
  <c r="N47" i="5"/>
  <c r="P47" i="5"/>
  <c r="N48" i="5"/>
  <c r="P48" i="5"/>
  <c r="N49" i="5"/>
  <c r="P49" i="5"/>
  <c r="N51" i="5"/>
  <c r="P51" i="5"/>
  <c r="N52" i="5"/>
  <c r="P52" i="5"/>
  <c r="N53" i="5"/>
  <c r="P53" i="5"/>
  <c r="N55" i="5"/>
  <c r="P55" i="5"/>
  <c r="N56" i="5"/>
  <c r="P56" i="5"/>
  <c r="N57" i="5"/>
  <c r="P57" i="5"/>
  <c r="N59" i="5"/>
  <c r="P59" i="5"/>
  <c r="N60" i="5"/>
  <c r="P60" i="5"/>
  <c r="N61" i="5"/>
  <c r="P61" i="5"/>
  <c r="N63" i="5"/>
  <c r="P63" i="5"/>
  <c r="N64" i="5"/>
  <c r="P64" i="5"/>
  <c r="N65" i="5"/>
  <c r="P65" i="5"/>
  <c r="N67" i="5"/>
  <c r="P67" i="5"/>
  <c r="N68" i="5"/>
  <c r="P68" i="5"/>
  <c r="N69" i="5"/>
  <c r="P69" i="5"/>
  <c r="N71" i="5"/>
  <c r="P71" i="5"/>
  <c r="N72" i="5"/>
  <c r="P72" i="5"/>
  <c r="N73" i="5"/>
  <c r="P73" i="5"/>
  <c r="N75" i="5"/>
  <c r="P75" i="5"/>
  <c r="N76" i="5"/>
  <c r="P76" i="5"/>
  <c r="N77" i="5"/>
  <c r="P77" i="5"/>
  <c r="N79" i="5"/>
  <c r="P79" i="5"/>
  <c r="N80" i="5"/>
  <c r="P80" i="5"/>
  <c r="N81" i="5"/>
  <c r="P81" i="5"/>
  <c r="N83" i="5"/>
  <c r="P83" i="5"/>
  <c r="N84" i="5"/>
  <c r="P84" i="5"/>
  <c r="N85" i="5"/>
  <c r="P85" i="5"/>
  <c r="N87" i="5"/>
  <c r="P87" i="5"/>
  <c r="N88" i="5"/>
  <c r="P88" i="5"/>
  <c r="N89" i="5"/>
  <c r="P89" i="5"/>
  <c r="N91" i="5"/>
  <c r="P91" i="5"/>
  <c r="N92" i="5"/>
  <c r="P92" i="5"/>
  <c r="N93" i="5"/>
  <c r="P93" i="5"/>
  <c r="N95" i="5"/>
  <c r="P95" i="5"/>
  <c r="N96" i="5"/>
  <c r="P96" i="5"/>
  <c r="N97" i="5"/>
  <c r="P97" i="5"/>
  <c r="N99" i="5"/>
  <c r="P99" i="5"/>
  <c r="N100" i="5"/>
  <c r="P100" i="5"/>
  <c r="N101" i="5"/>
  <c r="P101" i="5"/>
  <c r="N103" i="5"/>
  <c r="P103" i="5"/>
  <c r="N104" i="5"/>
  <c r="P104" i="5"/>
  <c r="N105" i="5"/>
  <c r="P105" i="5"/>
  <c r="N107" i="5"/>
  <c r="P107" i="5"/>
  <c r="N108" i="5"/>
  <c r="P108" i="5"/>
  <c r="N109" i="5"/>
  <c r="P109" i="5"/>
  <c r="N111" i="5"/>
  <c r="P111" i="5"/>
  <c r="N112" i="5"/>
  <c r="P112" i="5"/>
  <c r="N113" i="5"/>
  <c r="P113" i="5"/>
  <c r="N115" i="5"/>
  <c r="P115" i="5"/>
  <c r="N116" i="5"/>
  <c r="P116" i="5"/>
  <c r="N117" i="5"/>
  <c r="P117" i="5"/>
  <c r="N119" i="5"/>
  <c r="P119" i="5"/>
  <c r="N120" i="5"/>
  <c r="P120" i="5"/>
  <c r="N121" i="5"/>
  <c r="P121" i="5"/>
  <c r="N123" i="5"/>
  <c r="P123" i="5"/>
  <c r="N124" i="5"/>
  <c r="P124" i="5"/>
  <c r="N125" i="5"/>
  <c r="P125" i="5"/>
  <c r="N127" i="5"/>
  <c r="P127" i="5"/>
  <c r="N128" i="5"/>
  <c r="P128" i="5"/>
  <c r="N129" i="5"/>
  <c r="P129" i="5"/>
  <c r="N131" i="5"/>
  <c r="P131" i="5"/>
  <c r="N132" i="5"/>
  <c r="P132" i="5"/>
  <c r="N133" i="5"/>
  <c r="P133" i="5"/>
  <c r="N135" i="5"/>
  <c r="P135" i="5"/>
  <c r="N136" i="5"/>
  <c r="P136" i="5"/>
  <c r="N137" i="5"/>
  <c r="P137" i="5"/>
  <c r="N139" i="5"/>
  <c r="P139" i="5"/>
  <c r="N140" i="5"/>
  <c r="P140" i="5"/>
  <c r="N141" i="5"/>
  <c r="P141" i="5"/>
  <c r="N143" i="5"/>
  <c r="P143" i="5"/>
  <c r="N144" i="5"/>
  <c r="P144" i="5"/>
  <c r="N145" i="5"/>
  <c r="P145" i="5"/>
  <c r="N147" i="5"/>
  <c r="P147" i="5"/>
  <c r="N148" i="5"/>
  <c r="P148" i="5"/>
  <c r="N149" i="5"/>
  <c r="P149" i="5"/>
  <c r="N151" i="5"/>
  <c r="P151" i="5"/>
  <c r="N152" i="5"/>
  <c r="P152" i="5"/>
  <c r="N153" i="5"/>
  <c r="P153" i="5"/>
  <c r="N155" i="5"/>
  <c r="P155" i="5"/>
  <c r="N156" i="5"/>
  <c r="P156" i="5"/>
  <c r="N157" i="5"/>
  <c r="P157" i="5"/>
  <c r="N159" i="5"/>
  <c r="P159" i="5"/>
  <c r="N160" i="5"/>
  <c r="P160" i="5"/>
  <c r="N161" i="5"/>
  <c r="P161" i="5"/>
  <c r="N163" i="5"/>
  <c r="P163" i="5"/>
  <c r="N164" i="5"/>
  <c r="P164" i="5"/>
  <c r="N165" i="5"/>
  <c r="P165" i="5"/>
  <c r="N167" i="5"/>
  <c r="P167" i="5"/>
  <c r="N168" i="5"/>
  <c r="P168" i="5"/>
  <c r="N169" i="5"/>
  <c r="P169" i="5"/>
  <c r="N171" i="5"/>
  <c r="P171" i="5"/>
  <c r="N172" i="5"/>
  <c r="P172" i="5"/>
  <c r="N173" i="5"/>
  <c r="P173" i="5"/>
  <c r="N175" i="5"/>
  <c r="P175" i="5"/>
  <c r="N176" i="5"/>
  <c r="P176" i="5"/>
  <c r="N177" i="5"/>
  <c r="P177" i="5"/>
  <c r="N179" i="5"/>
  <c r="P179" i="5"/>
  <c r="N180" i="5"/>
  <c r="P180" i="5"/>
  <c r="N181" i="5"/>
  <c r="P181" i="5"/>
  <c r="N183" i="5"/>
  <c r="P183" i="5"/>
  <c r="N184" i="5"/>
  <c r="P184" i="5"/>
  <c r="N185" i="5"/>
  <c r="P185" i="5"/>
  <c r="N187" i="5"/>
  <c r="P187" i="5"/>
  <c r="N188" i="5"/>
  <c r="P188" i="5"/>
  <c r="N189" i="5"/>
  <c r="P189" i="5"/>
  <c r="N191" i="5"/>
  <c r="P191" i="5"/>
  <c r="N192" i="5"/>
  <c r="P192" i="5"/>
  <c r="N193" i="5"/>
  <c r="P193" i="5"/>
  <c r="N195" i="5"/>
  <c r="P195" i="5"/>
  <c r="N196" i="5"/>
  <c r="P196" i="5"/>
  <c r="N197" i="5"/>
  <c r="P197" i="5"/>
  <c r="N199" i="5"/>
  <c r="P199" i="5"/>
  <c r="N200" i="5"/>
  <c r="P200" i="5"/>
  <c r="N201" i="5"/>
  <c r="P201" i="5"/>
  <c r="N203" i="5"/>
  <c r="P203" i="5"/>
  <c r="N204" i="5"/>
  <c r="P204" i="5"/>
  <c r="N205" i="5"/>
  <c r="P205" i="5"/>
  <c r="N207" i="5"/>
  <c r="P207" i="5"/>
  <c r="N208" i="5"/>
  <c r="P208" i="5"/>
  <c r="N209" i="5"/>
  <c r="P209" i="5"/>
  <c r="N211" i="5"/>
  <c r="P211" i="5"/>
  <c r="N212" i="5"/>
  <c r="P212" i="5"/>
  <c r="N213" i="5"/>
  <c r="P213" i="5"/>
  <c r="N215" i="5"/>
  <c r="P215" i="5"/>
  <c r="N216" i="5"/>
  <c r="P216" i="5"/>
  <c r="N217" i="5"/>
  <c r="P217" i="5"/>
  <c r="N219" i="5"/>
  <c r="P219" i="5"/>
  <c r="N220" i="5"/>
  <c r="P220" i="5"/>
  <c r="N221" i="5"/>
  <c r="P221" i="5"/>
  <c r="N223" i="5"/>
  <c r="P223" i="5"/>
  <c r="N224" i="5"/>
  <c r="P224" i="5"/>
  <c r="N225" i="5"/>
  <c r="P225" i="5"/>
  <c r="N227" i="5"/>
  <c r="P227" i="5"/>
  <c r="N228" i="5"/>
  <c r="P228" i="5"/>
  <c r="N229" i="5"/>
  <c r="P229" i="5"/>
  <c r="N231" i="5"/>
  <c r="P231" i="5"/>
  <c r="N232" i="5"/>
  <c r="P232" i="5"/>
  <c r="N233" i="5"/>
  <c r="P233" i="5"/>
  <c r="N235" i="5"/>
  <c r="P235" i="5"/>
  <c r="N236" i="5"/>
  <c r="P236" i="5"/>
  <c r="N237" i="5"/>
  <c r="P237" i="5"/>
  <c r="N239" i="5"/>
  <c r="P239" i="5"/>
  <c r="N240" i="5"/>
  <c r="P240" i="5"/>
  <c r="N241" i="5"/>
  <c r="P241" i="5"/>
  <c r="N243" i="5"/>
  <c r="P243" i="5"/>
  <c r="N244" i="5"/>
  <c r="P244" i="5"/>
  <c r="N245" i="5"/>
  <c r="P245" i="5"/>
  <c r="N247" i="5"/>
  <c r="P247" i="5"/>
  <c r="N248" i="5"/>
  <c r="P248" i="5"/>
  <c r="N249" i="5"/>
  <c r="P249" i="5"/>
  <c r="N251" i="5"/>
  <c r="P251" i="5"/>
  <c r="N252" i="5"/>
  <c r="P252" i="5"/>
  <c r="N253" i="5"/>
  <c r="P253" i="5"/>
  <c r="N255" i="5"/>
  <c r="P255" i="5"/>
  <c r="N256" i="5"/>
  <c r="P256" i="5"/>
  <c r="N257" i="5"/>
  <c r="P257" i="5"/>
  <c r="N259" i="5"/>
  <c r="P259" i="5"/>
  <c r="N260" i="5"/>
  <c r="P260" i="5"/>
  <c r="N261" i="5"/>
  <c r="P261" i="5"/>
  <c r="N263" i="5"/>
  <c r="P263" i="5"/>
  <c r="N264" i="5"/>
  <c r="P264" i="5"/>
  <c r="N265" i="5"/>
  <c r="P265" i="5"/>
  <c r="N267" i="5"/>
  <c r="P267" i="5"/>
  <c r="N268" i="5"/>
  <c r="P268" i="5"/>
  <c r="N269" i="5"/>
  <c r="P269" i="5"/>
  <c r="N271" i="5"/>
  <c r="P271" i="5"/>
  <c r="N272" i="5"/>
  <c r="P272" i="5"/>
  <c r="N273" i="5"/>
  <c r="P273" i="5"/>
  <c r="N275" i="5"/>
  <c r="P275" i="5"/>
  <c r="N276" i="5"/>
  <c r="P276" i="5"/>
  <c r="N277" i="5"/>
  <c r="P277" i="5"/>
  <c r="N279" i="5"/>
  <c r="P279" i="5"/>
  <c r="N280" i="5"/>
  <c r="P280" i="5"/>
  <c r="N281" i="5"/>
  <c r="P281" i="5"/>
  <c r="N283" i="5"/>
  <c r="P283" i="5"/>
  <c r="N284" i="5"/>
  <c r="P284" i="5"/>
  <c r="N285" i="5"/>
  <c r="P285" i="5"/>
  <c r="N287" i="5"/>
  <c r="P287" i="5"/>
  <c r="N288" i="5"/>
  <c r="P288" i="5"/>
  <c r="N289" i="5"/>
  <c r="P289" i="5"/>
  <c r="N291" i="5"/>
  <c r="P291" i="5"/>
  <c r="N292" i="5"/>
  <c r="P292" i="5"/>
  <c r="N293" i="5"/>
  <c r="P293" i="5"/>
  <c r="N295" i="5"/>
  <c r="P295" i="5"/>
  <c r="N296" i="5"/>
  <c r="P296" i="5"/>
  <c r="N297" i="5"/>
  <c r="P297" i="5"/>
  <c r="N299" i="5"/>
  <c r="P299" i="5"/>
  <c r="N300" i="5"/>
  <c r="P300" i="5"/>
  <c r="N301" i="5"/>
  <c r="P301" i="5"/>
  <c r="N303" i="5"/>
  <c r="P303" i="5"/>
  <c r="N304" i="5"/>
  <c r="P304" i="5"/>
  <c r="N305" i="5"/>
  <c r="P305" i="5"/>
  <c r="N307" i="5"/>
  <c r="P307" i="5"/>
  <c r="N308" i="5"/>
  <c r="P308" i="5"/>
  <c r="N309" i="5"/>
  <c r="P309" i="5"/>
  <c r="N311" i="5"/>
  <c r="P311" i="5"/>
  <c r="N312" i="5"/>
  <c r="P312" i="5"/>
  <c r="N313" i="5"/>
  <c r="P313" i="5"/>
  <c r="N315" i="5"/>
  <c r="P315" i="5"/>
  <c r="N316" i="5"/>
  <c r="P316" i="5"/>
  <c r="N317" i="5"/>
  <c r="P317" i="5"/>
  <c r="N319" i="5"/>
  <c r="P319" i="5"/>
  <c r="N320" i="5"/>
  <c r="P320" i="5"/>
  <c r="N321" i="5"/>
  <c r="P321" i="5"/>
  <c r="N323" i="5"/>
  <c r="P323" i="5"/>
  <c r="N324" i="5"/>
  <c r="P324" i="5"/>
  <c r="N325" i="5"/>
  <c r="P325" i="5"/>
  <c r="N327" i="5"/>
  <c r="P327" i="5"/>
  <c r="N328" i="5"/>
  <c r="P328" i="5"/>
  <c r="N329" i="5"/>
  <c r="P329" i="5"/>
  <c r="N331" i="5"/>
  <c r="P331" i="5"/>
  <c r="N332" i="5"/>
  <c r="P332" i="5"/>
  <c r="N333" i="5"/>
  <c r="P333" i="5"/>
  <c r="N335" i="5"/>
  <c r="P335" i="5"/>
  <c r="N336" i="5"/>
  <c r="P336" i="5"/>
  <c r="N337" i="5"/>
  <c r="P337" i="5"/>
  <c r="N339" i="5"/>
  <c r="P339" i="5"/>
  <c r="N340" i="5"/>
  <c r="P340" i="5"/>
  <c r="N341" i="5"/>
  <c r="P341" i="5"/>
  <c r="N342" i="5"/>
  <c r="P342" i="5"/>
  <c r="N343" i="5"/>
  <c r="P343" i="5"/>
  <c r="N344" i="5"/>
  <c r="P344" i="5"/>
  <c r="N345" i="5"/>
  <c r="P345" i="5"/>
  <c r="N346" i="5"/>
  <c r="P346" i="5"/>
  <c r="N347" i="5"/>
  <c r="P347" i="5"/>
  <c r="N348" i="5"/>
  <c r="P348" i="5"/>
  <c r="N349" i="5"/>
  <c r="P349" i="5"/>
  <c r="N350" i="5"/>
  <c r="P350" i="5"/>
  <c r="N351" i="5"/>
  <c r="P351" i="5"/>
  <c r="N352" i="5"/>
  <c r="P352" i="5"/>
  <c r="N353" i="5"/>
  <c r="P353" i="5"/>
  <c r="N354" i="5"/>
  <c r="P354" i="5"/>
  <c r="N355" i="5"/>
  <c r="P355" i="5"/>
  <c r="N356" i="5"/>
  <c r="P356" i="5"/>
  <c r="N357" i="5"/>
  <c r="P357" i="5"/>
  <c r="N358" i="5"/>
  <c r="P358" i="5"/>
  <c r="N359" i="5"/>
  <c r="P359" i="5"/>
  <c r="N360" i="5"/>
  <c r="P360" i="5"/>
  <c r="N361" i="5"/>
  <c r="P361" i="5"/>
  <c r="N362" i="5"/>
  <c r="P362" i="5"/>
  <c r="N363" i="5"/>
  <c r="P363" i="5"/>
  <c r="N364" i="5"/>
  <c r="P364" i="5"/>
  <c r="N365" i="5"/>
  <c r="P365" i="5"/>
  <c r="N366" i="5"/>
  <c r="P366" i="5"/>
  <c r="N367" i="5"/>
  <c r="P367" i="5"/>
  <c r="N368" i="5"/>
  <c r="P368" i="5"/>
  <c r="N369" i="5"/>
  <c r="P369" i="5"/>
  <c r="N370" i="5"/>
  <c r="P370" i="5"/>
  <c r="N371" i="5"/>
  <c r="P371" i="5"/>
  <c r="N372" i="5"/>
  <c r="P372" i="5"/>
  <c r="N373" i="5"/>
  <c r="P373" i="5"/>
  <c r="N374" i="5"/>
  <c r="P374" i="5"/>
  <c r="N375" i="5"/>
  <c r="P375" i="5"/>
  <c r="N376" i="5"/>
  <c r="P376" i="5"/>
  <c r="N377" i="5"/>
  <c r="P377" i="5"/>
  <c r="N378" i="5"/>
  <c r="P378" i="5"/>
  <c r="N379" i="5"/>
  <c r="P379" i="5"/>
  <c r="N380" i="5"/>
  <c r="P380" i="5"/>
  <c r="N381" i="5"/>
  <c r="P381" i="5"/>
  <c r="N382" i="5"/>
  <c r="P382" i="5"/>
  <c r="N383" i="5"/>
  <c r="P383" i="5"/>
  <c r="N384" i="5"/>
  <c r="P384" i="5"/>
  <c r="N385" i="5"/>
  <c r="P385" i="5"/>
  <c r="N386" i="5"/>
  <c r="P386" i="5"/>
  <c r="N387" i="5"/>
  <c r="P387" i="5"/>
  <c r="N388" i="5"/>
  <c r="P388" i="5"/>
  <c r="N389" i="5"/>
  <c r="P389" i="5"/>
  <c r="N390" i="5"/>
  <c r="P390" i="5"/>
  <c r="N391" i="5"/>
  <c r="P391" i="5"/>
  <c r="N392" i="5"/>
  <c r="P392" i="5"/>
  <c r="N393" i="5"/>
  <c r="P393" i="5"/>
  <c r="N394" i="5"/>
  <c r="P394" i="5"/>
  <c r="N395" i="5"/>
  <c r="P395" i="5"/>
  <c r="N396" i="5"/>
  <c r="P396" i="5"/>
  <c r="N397" i="5"/>
  <c r="P397" i="5"/>
  <c r="N398" i="5"/>
  <c r="P398" i="5"/>
  <c r="N399" i="5"/>
  <c r="P399" i="5"/>
  <c r="N400" i="5"/>
  <c r="P400" i="5"/>
  <c r="N401" i="5"/>
  <c r="P401" i="5"/>
  <c r="N402" i="5"/>
  <c r="P402" i="5"/>
  <c r="N403" i="5"/>
  <c r="P403" i="5"/>
  <c r="N404" i="5"/>
  <c r="P404" i="5"/>
  <c r="N405" i="5"/>
  <c r="P405" i="5"/>
  <c r="N406" i="5"/>
  <c r="P406" i="5"/>
  <c r="N407" i="5"/>
  <c r="P407" i="5"/>
  <c r="N408" i="5"/>
  <c r="P408" i="5"/>
  <c r="N409" i="5"/>
  <c r="P409" i="5"/>
  <c r="N410" i="5"/>
  <c r="P410" i="5"/>
  <c r="N411" i="5"/>
  <c r="P411" i="5"/>
  <c r="N412" i="5"/>
  <c r="P412" i="5"/>
  <c r="N413" i="5"/>
  <c r="P413" i="5"/>
  <c r="N414" i="5"/>
  <c r="P414" i="5"/>
  <c r="N415" i="5"/>
  <c r="P415" i="5"/>
  <c r="N416" i="5"/>
  <c r="P416" i="5"/>
  <c r="N417" i="5"/>
  <c r="P417" i="5"/>
  <c r="N418" i="5"/>
  <c r="P418" i="5"/>
  <c r="N419" i="5"/>
  <c r="P419" i="5"/>
  <c r="N420" i="5"/>
  <c r="P420" i="5"/>
  <c r="N421" i="5"/>
  <c r="P421" i="5"/>
  <c r="N422" i="5"/>
  <c r="P422" i="5"/>
  <c r="N423" i="5"/>
  <c r="P423" i="5"/>
  <c r="N424" i="5"/>
  <c r="P424" i="5"/>
  <c r="N425" i="5"/>
  <c r="P425" i="5"/>
  <c r="N426" i="5"/>
  <c r="P426" i="5"/>
  <c r="N427" i="5"/>
  <c r="P427" i="5"/>
  <c r="N428" i="5"/>
  <c r="P428" i="5"/>
  <c r="N429" i="5"/>
  <c r="P429" i="5"/>
  <c r="N430" i="5"/>
  <c r="P430" i="5"/>
  <c r="N431" i="5"/>
  <c r="P431" i="5"/>
  <c r="N432" i="5"/>
  <c r="P432" i="5"/>
  <c r="N433" i="5"/>
  <c r="P433" i="5"/>
  <c r="N434" i="5"/>
  <c r="P434" i="5"/>
  <c r="N435" i="5"/>
  <c r="P435" i="5"/>
  <c r="N436" i="5"/>
  <c r="P436" i="5"/>
  <c r="N437" i="5"/>
  <c r="P437" i="5"/>
  <c r="N438" i="5"/>
  <c r="P438" i="5"/>
  <c r="N439" i="5"/>
  <c r="P439" i="5"/>
  <c r="N440" i="5"/>
  <c r="P440" i="5"/>
  <c r="N441" i="5"/>
  <c r="P441" i="5"/>
  <c r="N442" i="5"/>
  <c r="P442" i="5"/>
  <c r="N443" i="5"/>
  <c r="P443" i="5"/>
  <c r="N444" i="5"/>
  <c r="P444" i="5"/>
  <c r="N445" i="5"/>
  <c r="P445" i="5"/>
  <c r="N446" i="5"/>
  <c r="P446" i="5"/>
  <c r="N447" i="5"/>
  <c r="P447" i="5"/>
  <c r="N448" i="5"/>
  <c r="P448" i="5"/>
  <c r="N449" i="5"/>
  <c r="P449" i="5"/>
  <c r="N450" i="5"/>
  <c r="P450" i="5"/>
  <c r="N451" i="5"/>
  <c r="P451" i="5"/>
  <c r="N452" i="5"/>
  <c r="P452" i="5"/>
  <c r="N453" i="5"/>
  <c r="P453" i="5"/>
  <c r="N454" i="5"/>
  <c r="P454" i="5"/>
  <c r="N455" i="5"/>
  <c r="P455" i="5"/>
  <c r="N456" i="5"/>
  <c r="P456" i="5"/>
  <c r="N457" i="5"/>
  <c r="P457" i="5"/>
  <c r="N458" i="5"/>
  <c r="P458" i="5"/>
  <c r="N459" i="5"/>
  <c r="P459" i="5"/>
  <c r="N460" i="5"/>
  <c r="P460" i="5"/>
  <c r="N461" i="5"/>
  <c r="P461" i="5"/>
  <c r="N462" i="5"/>
  <c r="P462" i="5"/>
  <c r="N463" i="5"/>
  <c r="P463" i="5"/>
  <c r="N464" i="5"/>
  <c r="P464" i="5"/>
  <c r="N465" i="5"/>
  <c r="P465" i="5"/>
  <c r="N466" i="5"/>
  <c r="P466" i="5"/>
  <c r="N467" i="5"/>
  <c r="P467" i="5"/>
  <c r="N468" i="5"/>
  <c r="P468" i="5"/>
  <c r="N469" i="5"/>
  <c r="P469" i="5"/>
  <c r="N470" i="5"/>
  <c r="P470" i="5"/>
  <c r="N471" i="5"/>
  <c r="P471" i="5"/>
  <c r="N472" i="5"/>
  <c r="P472" i="5"/>
  <c r="N473" i="5"/>
  <c r="P473" i="5"/>
  <c r="N474" i="5"/>
  <c r="P474" i="5"/>
  <c r="N475" i="5"/>
  <c r="P475" i="5"/>
  <c r="N476" i="5"/>
  <c r="P476" i="5"/>
  <c r="N477" i="5"/>
  <c r="P477" i="5"/>
  <c r="N478" i="5"/>
  <c r="P478" i="5"/>
  <c r="N479" i="5"/>
  <c r="P479" i="5"/>
  <c r="N480" i="5"/>
  <c r="P480" i="5"/>
  <c r="N481" i="5"/>
  <c r="P481" i="5"/>
  <c r="N482" i="5"/>
  <c r="P482" i="5"/>
  <c r="N483" i="5"/>
  <c r="P483" i="5"/>
  <c r="N484" i="5"/>
  <c r="P484" i="5"/>
  <c r="N485" i="5"/>
  <c r="P485" i="5"/>
  <c r="N486" i="5"/>
  <c r="P486" i="5"/>
  <c r="N487" i="5"/>
  <c r="P487" i="5"/>
  <c r="N488" i="5"/>
  <c r="P488" i="5"/>
  <c r="N489" i="5"/>
  <c r="P489" i="5"/>
  <c r="N490" i="5"/>
  <c r="P490" i="5"/>
  <c r="N491" i="5"/>
  <c r="P491" i="5"/>
  <c r="N492" i="5"/>
  <c r="P492" i="5"/>
  <c r="N493" i="5"/>
  <c r="P493" i="5"/>
  <c r="N494" i="5"/>
  <c r="P494" i="5"/>
  <c r="N495" i="5"/>
  <c r="P495" i="5"/>
  <c r="N496" i="5"/>
  <c r="P496" i="5"/>
  <c r="N497" i="5"/>
  <c r="P497" i="5"/>
  <c r="N498" i="5"/>
  <c r="P498" i="5"/>
  <c r="N499" i="5"/>
  <c r="P499" i="5"/>
  <c r="N500" i="5"/>
  <c r="P500" i="5"/>
  <c r="N501" i="5"/>
  <c r="P501" i="5"/>
  <c r="N502" i="5"/>
  <c r="P502" i="5"/>
  <c r="N503" i="5"/>
  <c r="P503" i="5"/>
  <c r="N504" i="5"/>
  <c r="P504" i="5"/>
  <c r="N505" i="5"/>
  <c r="P505" i="5"/>
  <c r="N506" i="5"/>
  <c r="P506" i="5"/>
  <c r="N507" i="5"/>
  <c r="P507" i="5"/>
  <c r="N508" i="5"/>
  <c r="P508" i="5"/>
  <c r="N509" i="5"/>
  <c r="P509" i="5"/>
  <c r="N510" i="5"/>
  <c r="P510" i="5"/>
  <c r="N511" i="5"/>
  <c r="P511" i="5"/>
  <c r="N512" i="5"/>
  <c r="P512" i="5"/>
  <c r="N513" i="5"/>
  <c r="P513" i="5"/>
  <c r="N514" i="5"/>
  <c r="P514" i="5"/>
  <c r="N515" i="5"/>
  <c r="P515" i="5"/>
  <c r="N516" i="5"/>
  <c r="P516" i="5"/>
  <c r="N517" i="5"/>
  <c r="P517" i="5"/>
  <c r="N518" i="5"/>
  <c r="P518" i="5"/>
  <c r="N519" i="5"/>
  <c r="P519" i="5"/>
  <c r="N520" i="5"/>
  <c r="P520" i="5"/>
  <c r="N521" i="5"/>
  <c r="P521" i="5"/>
  <c r="N522" i="5"/>
  <c r="P522" i="5"/>
  <c r="N523" i="5"/>
  <c r="P523" i="5"/>
  <c r="N524" i="5"/>
  <c r="P524" i="5"/>
  <c r="N525" i="5"/>
  <c r="P525" i="5"/>
  <c r="N526" i="5"/>
  <c r="P526" i="5"/>
  <c r="N527" i="5"/>
  <c r="P527" i="5"/>
  <c r="N528" i="5"/>
  <c r="P528" i="5"/>
  <c r="N529" i="5"/>
  <c r="P529" i="5"/>
  <c r="N530" i="5"/>
  <c r="P530" i="5"/>
  <c r="N531" i="5"/>
  <c r="P531" i="5"/>
  <c r="N532" i="5"/>
  <c r="P532" i="5"/>
  <c r="N533" i="5"/>
  <c r="P533" i="5"/>
  <c r="N534" i="5"/>
  <c r="P534" i="5"/>
  <c r="N535" i="5"/>
  <c r="P535" i="5"/>
  <c r="N536" i="5"/>
  <c r="P536" i="5"/>
  <c r="N537" i="5"/>
  <c r="P537" i="5"/>
  <c r="N538" i="5"/>
  <c r="P538" i="5"/>
  <c r="N539" i="5"/>
  <c r="P539" i="5"/>
  <c r="N540" i="5"/>
  <c r="P540" i="5"/>
  <c r="N541" i="5"/>
  <c r="P541" i="5"/>
  <c r="N542" i="5"/>
  <c r="P542" i="5"/>
  <c r="N543" i="5"/>
  <c r="P543" i="5"/>
  <c r="N544" i="5"/>
  <c r="P544" i="5"/>
  <c r="N545" i="5"/>
  <c r="P545" i="5"/>
  <c r="N546" i="5"/>
  <c r="P546" i="5"/>
  <c r="N547" i="5"/>
  <c r="P547" i="5"/>
  <c r="N548" i="5"/>
  <c r="P548" i="5"/>
  <c r="N549" i="5"/>
  <c r="P549" i="5"/>
  <c r="N550" i="5"/>
  <c r="P550" i="5"/>
  <c r="N551" i="5"/>
  <c r="P551" i="5"/>
  <c r="N552" i="5"/>
  <c r="P552" i="5"/>
  <c r="N553" i="5"/>
  <c r="P553" i="5"/>
  <c r="N554" i="5"/>
  <c r="P554" i="5"/>
  <c r="N555" i="5"/>
  <c r="P555" i="5"/>
  <c r="N556" i="5"/>
  <c r="P556" i="5"/>
  <c r="N557" i="5"/>
  <c r="P557" i="5"/>
  <c r="N558" i="5"/>
  <c r="P558" i="5"/>
  <c r="N559" i="5"/>
  <c r="P559" i="5"/>
  <c r="N560" i="5"/>
  <c r="P560" i="5"/>
  <c r="N561" i="5"/>
  <c r="P561" i="5"/>
  <c r="N562" i="5"/>
  <c r="P562" i="5"/>
  <c r="N563" i="5"/>
  <c r="P563" i="5"/>
  <c r="N564" i="5"/>
  <c r="P564" i="5"/>
  <c r="N565" i="5"/>
  <c r="P565" i="5"/>
  <c r="N566" i="5"/>
  <c r="P566" i="5"/>
  <c r="N567" i="5"/>
  <c r="P567" i="5"/>
  <c r="N568" i="5"/>
  <c r="P568" i="5"/>
  <c r="N569" i="5"/>
  <c r="P569" i="5"/>
  <c r="N570" i="5"/>
  <c r="P570" i="5"/>
  <c r="N571" i="5"/>
  <c r="P571" i="5"/>
  <c r="N572" i="5"/>
  <c r="P572" i="5"/>
  <c r="N573" i="5"/>
  <c r="P573" i="5"/>
  <c r="N574" i="5"/>
  <c r="P574" i="5"/>
  <c r="N575" i="5"/>
  <c r="P575" i="5"/>
  <c r="N576" i="5"/>
  <c r="P576" i="5"/>
  <c r="N577" i="5"/>
  <c r="P577" i="5"/>
  <c r="N578" i="5"/>
  <c r="P578" i="5"/>
  <c r="N579" i="5"/>
  <c r="P579" i="5"/>
  <c r="N580" i="5"/>
  <c r="P580" i="5"/>
  <c r="N581" i="5"/>
  <c r="P581" i="5"/>
  <c r="N582" i="5"/>
  <c r="P582" i="5"/>
  <c r="N583" i="5"/>
  <c r="P583" i="5"/>
  <c r="N584" i="5"/>
  <c r="P584" i="5"/>
  <c r="N585" i="5"/>
  <c r="P585" i="5"/>
  <c r="N586" i="5"/>
  <c r="P586" i="5"/>
  <c r="N587" i="5"/>
  <c r="P587" i="5"/>
  <c r="N588" i="5"/>
  <c r="P588" i="5"/>
  <c r="N589" i="5"/>
  <c r="P589" i="5"/>
  <c r="N590" i="5"/>
  <c r="P590" i="5"/>
  <c r="N591" i="5"/>
  <c r="P591" i="5"/>
  <c r="N592" i="5"/>
  <c r="P592" i="5"/>
  <c r="N593" i="5"/>
  <c r="P593" i="5"/>
  <c r="N594" i="5"/>
  <c r="P594" i="5"/>
  <c r="N595" i="5"/>
  <c r="P595" i="5"/>
  <c r="N596" i="5"/>
  <c r="P596" i="5"/>
  <c r="N597" i="5"/>
  <c r="P597" i="5"/>
  <c r="N598" i="5"/>
  <c r="P598" i="5"/>
  <c r="N599" i="5"/>
  <c r="P599" i="5"/>
  <c r="N600" i="5"/>
  <c r="P600" i="5"/>
  <c r="N601" i="5"/>
  <c r="P601" i="5"/>
  <c r="N602" i="5"/>
  <c r="P602" i="5"/>
  <c r="N603" i="5"/>
  <c r="P603" i="5"/>
  <c r="N604" i="5"/>
  <c r="P604" i="5"/>
  <c r="N605" i="5"/>
  <c r="P605" i="5"/>
  <c r="N606" i="5"/>
  <c r="P606" i="5"/>
  <c r="N607" i="5"/>
  <c r="P607" i="5"/>
  <c r="N608" i="5"/>
  <c r="P608" i="5"/>
  <c r="N609" i="5"/>
  <c r="P609" i="5"/>
  <c r="N610" i="5"/>
  <c r="P610" i="5"/>
  <c r="N611" i="5"/>
  <c r="P611" i="5"/>
  <c r="N612" i="5"/>
  <c r="P612" i="5"/>
  <c r="N613" i="5"/>
  <c r="P613" i="5"/>
  <c r="N614" i="5"/>
  <c r="P614" i="5"/>
  <c r="N615" i="5"/>
  <c r="P615" i="5"/>
  <c r="N616" i="5"/>
  <c r="P616" i="5"/>
  <c r="N617" i="5"/>
  <c r="P617" i="5"/>
  <c r="N618" i="5"/>
  <c r="P618" i="5"/>
  <c r="N619" i="5"/>
  <c r="P619" i="5"/>
  <c r="N620" i="5"/>
  <c r="P620" i="5"/>
  <c r="N621" i="5"/>
  <c r="P621" i="5"/>
  <c r="N622" i="5"/>
  <c r="P622" i="5"/>
  <c r="N623" i="5"/>
  <c r="P623" i="5"/>
  <c r="N624" i="5"/>
  <c r="P624" i="5"/>
  <c r="N625" i="5"/>
  <c r="P625" i="5"/>
  <c r="N626" i="5"/>
  <c r="P626" i="5"/>
  <c r="N627" i="5"/>
  <c r="P627" i="5"/>
  <c r="N628" i="5"/>
  <c r="P628" i="5"/>
  <c r="N629" i="5"/>
  <c r="P629" i="5"/>
  <c r="N630" i="5"/>
  <c r="P630" i="5"/>
  <c r="N631" i="5"/>
  <c r="P631" i="5"/>
  <c r="N632" i="5"/>
  <c r="P632" i="5"/>
  <c r="N633" i="5"/>
  <c r="P633" i="5"/>
  <c r="N634" i="5"/>
  <c r="P634" i="5"/>
  <c r="N635" i="5"/>
  <c r="P635" i="5"/>
  <c r="N636" i="5"/>
  <c r="P636" i="5"/>
  <c r="N637" i="5"/>
  <c r="P637" i="5"/>
  <c r="N638" i="5"/>
  <c r="P638" i="5"/>
  <c r="N639" i="5"/>
  <c r="P639" i="5"/>
  <c r="N640" i="5"/>
  <c r="P640" i="5"/>
  <c r="N641" i="5"/>
  <c r="P641" i="5"/>
  <c r="N642" i="5"/>
  <c r="P642" i="5"/>
  <c r="N643" i="5"/>
  <c r="P643" i="5"/>
  <c r="N644" i="5"/>
  <c r="P644" i="5"/>
  <c r="N645" i="5"/>
  <c r="P645" i="5"/>
  <c r="N646" i="5"/>
  <c r="P646" i="5"/>
  <c r="N647" i="5"/>
  <c r="P647" i="5"/>
  <c r="N648" i="5"/>
  <c r="P648" i="5"/>
  <c r="N649" i="5"/>
  <c r="P649" i="5"/>
  <c r="N650" i="5"/>
  <c r="P650" i="5"/>
  <c r="N651" i="5"/>
  <c r="P651" i="5"/>
  <c r="N652" i="5"/>
  <c r="P652" i="5"/>
  <c r="N653" i="5"/>
  <c r="P653" i="5"/>
  <c r="N654" i="5"/>
  <c r="P654" i="5"/>
  <c r="N655" i="5"/>
  <c r="P655" i="5"/>
  <c r="N656" i="5"/>
  <c r="P656" i="5"/>
  <c r="N657" i="5"/>
  <c r="P657" i="5"/>
  <c r="N658" i="5"/>
  <c r="P658" i="5"/>
  <c r="N659" i="5"/>
  <c r="P659" i="5"/>
  <c r="N660" i="5"/>
  <c r="P660" i="5"/>
  <c r="N661" i="5"/>
  <c r="P661" i="5"/>
  <c r="N662" i="5"/>
  <c r="P662" i="5"/>
  <c r="N663" i="5"/>
  <c r="P663" i="5"/>
  <c r="N664" i="5"/>
  <c r="P664" i="5"/>
  <c r="N665" i="5"/>
  <c r="P665" i="5"/>
  <c r="N666" i="5"/>
  <c r="P666" i="5"/>
  <c r="N667" i="5"/>
  <c r="P667" i="5"/>
  <c r="N668" i="5"/>
  <c r="P668" i="5"/>
  <c r="N669" i="5"/>
  <c r="P669" i="5"/>
  <c r="N670" i="5"/>
  <c r="P670" i="5"/>
  <c r="N671" i="5"/>
  <c r="P671" i="5"/>
  <c r="N672" i="5"/>
  <c r="P672" i="5"/>
  <c r="N673" i="5"/>
  <c r="P673" i="5"/>
  <c r="N674" i="5"/>
  <c r="P674" i="5"/>
  <c r="N675" i="5"/>
  <c r="P675" i="5"/>
  <c r="N676" i="5"/>
  <c r="P676" i="5"/>
  <c r="N677" i="5"/>
  <c r="P677" i="5"/>
  <c r="N678" i="5"/>
  <c r="P678" i="5"/>
  <c r="N679" i="5"/>
  <c r="P679" i="5"/>
  <c r="N680" i="5"/>
  <c r="P680" i="5"/>
  <c r="N681" i="5"/>
  <c r="P681" i="5"/>
  <c r="N682" i="5"/>
  <c r="P682" i="5"/>
  <c r="N683" i="5"/>
  <c r="P683" i="5"/>
  <c r="N684" i="5"/>
  <c r="P684" i="5"/>
  <c r="N685" i="5"/>
  <c r="P685" i="5"/>
  <c r="N686" i="5"/>
  <c r="P686" i="5"/>
  <c r="N687" i="5"/>
  <c r="P687" i="5"/>
  <c r="N688" i="5"/>
  <c r="P688" i="5"/>
  <c r="N689" i="5"/>
  <c r="P689" i="5"/>
  <c r="N690" i="5"/>
  <c r="P690" i="5"/>
  <c r="N691" i="5"/>
  <c r="P691" i="5"/>
  <c r="N692" i="5"/>
  <c r="P692" i="5"/>
  <c r="N693" i="5"/>
  <c r="P693" i="5"/>
  <c r="N694" i="5"/>
  <c r="P694" i="5"/>
  <c r="N695" i="5"/>
  <c r="P695" i="5"/>
  <c r="N696" i="5"/>
  <c r="P696" i="5"/>
  <c r="N697" i="5"/>
  <c r="P697" i="5"/>
  <c r="N698" i="5"/>
  <c r="P698" i="5"/>
  <c r="N699" i="5"/>
  <c r="P699" i="5"/>
  <c r="N700" i="5"/>
  <c r="P700" i="5"/>
  <c r="N701" i="5"/>
  <c r="P701" i="5"/>
  <c r="N702" i="5"/>
  <c r="P702" i="5"/>
  <c r="N703" i="5"/>
  <c r="P703" i="5"/>
  <c r="N704" i="5"/>
  <c r="P704" i="5"/>
  <c r="N705" i="5"/>
  <c r="P705" i="5"/>
  <c r="N706" i="5"/>
  <c r="P706" i="5"/>
  <c r="N707" i="5"/>
  <c r="P707" i="5"/>
  <c r="N708" i="5"/>
  <c r="P708" i="5"/>
  <c r="N709" i="5"/>
  <c r="P709" i="5"/>
  <c r="N710" i="5"/>
  <c r="P710" i="5"/>
  <c r="N711" i="5"/>
  <c r="P711" i="5"/>
  <c r="N712" i="5"/>
  <c r="P712" i="5"/>
  <c r="N713" i="5"/>
  <c r="P713" i="5"/>
  <c r="N714" i="5"/>
  <c r="P714" i="5"/>
  <c r="N715" i="5"/>
  <c r="P715" i="5"/>
  <c r="N716" i="5"/>
  <c r="P716" i="5"/>
  <c r="N717" i="5"/>
  <c r="P717" i="5"/>
  <c r="N718" i="5"/>
  <c r="P718" i="5"/>
  <c r="N719" i="5"/>
  <c r="P719" i="5"/>
  <c r="N720" i="5"/>
  <c r="P720" i="5"/>
  <c r="N721" i="5"/>
  <c r="P721" i="5"/>
  <c r="N722" i="5"/>
  <c r="P722" i="5"/>
  <c r="N723" i="5"/>
  <c r="P723" i="5"/>
  <c r="N724" i="5"/>
  <c r="P724" i="5"/>
  <c r="N725" i="5"/>
  <c r="P725" i="5"/>
  <c r="N726" i="5"/>
  <c r="P726" i="5"/>
  <c r="N727" i="5"/>
  <c r="P727" i="5"/>
  <c r="N728" i="5"/>
  <c r="P728" i="5"/>
  <c r="N729" i="5"/>
  <c r="P729" i="5"/>
  <c r="N730" i="5"/>
  <c r="P730" i="5"/>
  <c r="N731" i="5"/>
  <c r="P731" i="5"/>
  <c r="N732" i="5"/>
  <c r="P732" i="5"/>
  <c r="N733" i="5"/>
  <c r="P733" i="5"/>
  <c r="N734" i="5"/>
  <c r="P734" i="5"/>
  <c r="N735" i="5"/>
  <c r="P735" i="5"/>
  <c r="N736" i="5"/>
  <c r="P736" i="5"/>
  <c r="N737" i="5"/>
  <c r="P737" i="5"/>
  <c r="N738" i="5"/>
  <c r="P738" i="5"/>
  <c r="N739" i="5"/>
  <c r="P739" i="5"/>
  <c r="N740" i="5"/>
  <c r="P740" i="5"/>
  <c r="N741" i="5"/>
  <c r="P741" i="5"/>
  <c r="N742" i="5"/>
  <c r="P742" i="5"/>
  <c r="N743" i="5"/>
  <c r="P743" i="5"/>
  <c r="N744" i="5"/>
  <c r="P744" i="5"/>
  <c r="N745" i="5"/>
  <c r="P745" i="5"/>
  <c r="N746" i="5"/>
  <c r="P746" i="5"/>
  <c r="N747" i="5"/>
  <c r="P747" i="5"/>
  <c r="N748" i="5"/>
  <c r="P748" i="5"/>
  <c r="N749" i="5"/>
  <c r="P749" i="5"/>
  <c r="N750" i="5"/>
  <c r="P750" i="5"/>
  <c r="N751" i="5"/>
  <c r="P751" i="5"/>
  <c r="N752" i="5"/>
  <c r="P752" i="5"/>
  <c r="N753" i="5"/>
  <c r="P753" i="5"/>
  <c r="N754" i="5"/>
  <c r="P754" i="5"/>
  <c r="N755" i="5"/>
  <c r="P755" i="5"/>
  <c r="N756" i="5"/>
  <c r="P756" i="5"/>
  <c r="N757" i="5"/>
  <c r="P757" i="5"/>
  <c r="N758" i="5"/>
  <c r="P758" i="5"/>
  <c r="N759" i="5"/>
  <c r="P759" i="5"/>
  <c r="N760" i="5"/>
  <c r="P760" i="5"/>
  <c r="N761" i="5"/>
  <c r="P761" i="5"/>
  <c r="N762" i="5"/>
  <c r="P762" i="5"/>
  <c r="N763" i="5"/>
  <c r="P763" i="5"/>
  <c r="N764" i="5"/>
  <c r="P764" i="5"/>
  <c r="N765" i="5"/>
  <c r="P765" i="5"/>
  <c r="N766" i="5"/>
  <c r="P766" i="5"/>
  <c r="N767" i="5"/>
  <c r="P767" i="5"/>
  <c r="N768" i="5"/>
  <c r="P768" i="5"/>
  <c r="N769" i="5"/>
  <c r="P769" i="5"/>
  <c r="N770" i="5"/>
  <c r="P770" i="5"/>
  <c r="N771" i="5"/>
  <c r="P771" i="5"/>
  <c r="N772" i="5"/>
  <c r="P772" i="5"/>
  <c r="N773" i="5"/>
  <c r="P773" i="5"/>
  <c r="N774" i="5"/>
  <c r="P774" i="5"/>
  <c r="N775" i="5"/>
  <c r="P775" i="5"/>
  <c r="N776" i="5"/>
  <c r="P776" i="5"/>
  <c r="N777" i="5"/>
  <c r="P777" i="5"/>
  <c r="N778" i="5"/>
  <c r="P778" i="5"/>
  <c r="N779" i="5"/>
  <c r="P779" i="5"/>
  <c r="N780" i="5"/>
  <c r="P780" i="5"/>
  <c r="N781" i="5"/>
  <c r="P781" i="5"/>
  <c r="N782" i="5"/>
  <c r="P782" i="5"/>
  <c r="N783" i="5"/>
  <c r="P783" i="5"/>
  <c r="N784" i="5"/>
  <c r="P784" i="5"/>
  <c r="N785" i="5"/>
  <c r="P785" i="5"/>
  <c r="N786" i="5"/>
  <c r="P786" i="5"/>
  <c r="N787" i="5"/>
  <c r="P787" i="5"/>
  <c r="N788" i="5"/>
  <c r="P788" i="5"/>
  <c r="N789" i="5"/>
  <c r="P789" i="5"/>
  <c r="N790" i="5"/>
  <c r="P790" i="5"/>
  <c r="N791" i="5"/>
  <c r="P791" i="5"/>
  <c r="N792" i="5"/>
  <c r="P792" i="5"/>
  <c r="N793" i="5"/>
  <c r="P793" i="5"/>
  <c r="N794" i="5"/>
  <c r="P794" i="5"/>
  <c r="N795" i="5"/>
  <c r="P795" i="5"/>
  <c r="N796" i="5"/>
  <c r="P796" i="5"/>
  <c r="N797" i="5"/>
  <c r="P797" i="5"/>
  <c r="N798" i="5"/>
  <c r="P798" i="5"/>
  <c r="N799" i="5"/>
  <c r="P799" i="5"/>
  <c r="N800" i="5"/>
  <c r="P800" i="5"/>
  <c r="N801" i="5"/>
  <c r="P801" i="5"/>
  <c r="N802" i="5"/>
  <c r="P802" i="5"/>
  <c r="N803" i="5"/>
  <c r="P803" i="5"/>
  <c r="N804" i="5"/>
  <c r="P804" i="5"/>
  <c r="N805" i="5"/>
  <c r="P805" i="5"/>
  <c r="N806" i="5"/>
  <c r="P806" i="5"/>
  <c r="N807" i="5"/>
  <c r="P807" i="5"/>
  <c r="N808" i="5"/>
  <c r="P808" i="5"/>
  <c r="N809" i="5"/>
  <c r="P809" i="5"/>
  <c r="N810" i="5"/>
  <c r="P810" i="5"/>
  <c r="N811" i="5"/>
  <c r="P811" i="5"/>
  <c r="N812" i="5"/>
  <c r="P812" i="5"/>
  <c r="N813" i="5"/>
  <c r="P813" i="5"/>
  <c r="N814" i="5"/>
  <c r="P814" i="5"/>
  <c r="N815" i="5"/>
  <c r="P815" i="5"/>
  <c r="N816" i="5"/>
  <c r="P816" i="5"/>
  <c r="N817" i="5"/>
  <c r="P817" i="5"/>
  <c r="N818" i="5"/>
  <c r="P818" i="5"/>
  <c r="N819" i="5"/>
  <c r="P819" i="5"/>
  <c r="N820" i="5"/>
  <c r="P820" i="5"/>
  <c r="N821" i="5"/>
  <c r="P821" i="5"/>
  <c r="N822" i="5"/>
  <c r="P822" i="5"/>
  <c r="N823" i="5"/>
  <c r="P823" i="5"/>
  <c r="N824" i="5"/>
  <c r="P824" i="5"/>
  <c r="N825" i="5"/>
  <c r="P825" i="5"/>
  <c r="N826" i="5"/>
  <c r="P826" i="5"/>
  <c r="N827" i="5"/>
  <c r="P827" i="5"/>
  <c r="N828" i="5"/>
  <c r="P828" i="5"/>
  <c r="N829" i="5"/>
  <c r="P829" i="5"/>
  <c r="N830" i="5"/>
  <c r="P830" i="5"/>
  <c r="N831" i="5"/>
  <c r="P831" i="5"/>
  <c r="N832" i="5"/>
  <c r="P832" i="5"/>
  <c r="N833" i="5"/>
  <c r="P833" i="5"/>
  <c r="N834" i="5"/>
  <c r="P834" i="5"/>
  <c r="N835" i="5"/>
  <c r="P835" i="5"/>
  <c r="N836" i="5"/>
  <c r="P836" i="5"/>
  <c r="N837" i="5"/>
  <c r="P837" i="5"/>
  <c r="N838" i="5"/>
  <c r="P838" i="5"/>
  <c r="N839" i="5"/>
  <c r="P839" i="5"/>
  <c r="N840" i="5"/>
  <c r="P840" i="5"/>
  <c r="N841" i="5"/>
  <c r="P841" i="5"/>
  <c r="N842" i="5"/>
  <c r="P842" i="5"/>
  <c r="N843" i="5"/>
  <c r="P843" i="5"/>
  <c r="N844" i="5"/>
  <c r="P844" i="5"/>
  <c r="N845" i="5"/>
  <c r="P845" i="5"/>
  <c r="N846" i="5"/>
  <c r="P846" i="5"/>
  <c r="N847" i="5"/>
  <c r="P847" i="5"/>
  <c r="N848" i="5"/>
  <c r="P848" i="5"/>
  <c r="N849" i="5"/>
  <c r="P849" i="5"/>
  <c r="N850" i="5"/>
  <c r="P850" i="5"/>
  <c r="N851" i="5"/>
  <c r="P851" i="5"/>
  <c r="N852" i="5"/>
  <c r="P852" i="5"/>
  <c r="N853" i="5"/>
  <c r="P853" i="5"/>
  <c r="N854" i="5"/>
  <c r="P854" i="5"/>
  <c r="N855" i="5"/>
  <c r="P855" i="5"/>
  <c r="N856" i="5"/>
  <c r="P856" i="5"/>
  <c r="N857" i="5"/>
  <c r="P857" i="5"/>
  <c r="N858" i="5"/>
  <c r="P858" i="5"/>
  <c r="N859" i="5"/>
  <c r="P859" i="5"/>
  <c r="N860" i="5"/>
  <c r="P860" i="5"/>
  <c r="N861" i="5"/>
  <c r="P861" i="5"/>
  <c r="N862" i="5"/>
  <c r="P862" i="5"/>
  <c r="N863" i="5"/>
  <c r="P863" i="5"/>
  <c r="N864" i="5"/>
  <c r="P864" i="5"/>
  <c r="N865" i="5"/>
  <c r="P865" i="5"/>
  <c r="N866" i="5"/>
  <c r="P866" i="5"/>
  <c r="N867" i="5"/>
  <c r="P867" i="5"/>
  <c r="N868" i="5"/>
  <c r="P868" i="5"/>
  <c r="N869" i="5"/>
  <c r="P869" i="5"/>
  <c r="N870" i="5"/>
  <c r="P870" i="5"/>
  <c r="N871" i="5"/>
  <c r="P871" i="5"/>
  <c r="N872" i="5"/>
  <c r="P872" i="5"/>
  <c r="N873" i="5"/>
  <c r="P873" i="5"/>
  <c r="N874" i="5"/>
  <c r="P874" i="5"/>
  <c r="N875" i="5"/>
  <c r="P875" i="5"/>
  <c r="N876" i="5"/>
  <c r="P876" i="5"/>
  <c r="N877" i="5"/>
  <c r="P877" i="5"/>
  <c r="N878" i="5"/>
  <c r="P878" i="5"/>
  <c r="N879" i="5"/>
  <c r="P879" i="5"/>
  <c r="N880" i="5"/>
  <c r="P880" i="5"/>
  <c r="N881" i="5"/>
  <c r="P881" i="5"/>
  <c r="N882" i="5"/>
  <c r="P882" i="5"/>
  <c r="N883" i="5"/>
  <c r="P883" i="5"/>
  <c r="N884" i="5"/>
  <c r="P884" i="5"/>
  <c r="N885" i="5"/>
  <c r="P885" i="5"/>
  <c r="N886" i="5"/>
  <c r="P886" i="5"/>
  <c r="N887" i="5"/>
  <c r="P887" i="5"/>
  <c r="N888" i="5"/>
  <c r="P888" i="5"/>
  <c r="N889" i="5"/>
  <c r="P889" i="5"/>
  <c r="N890" i="5"/>
  <c r="P890" i="5"/>
  <c r="N891" i="5"/>
  <c r="P891" i="5"/>
  <c r="N892" i="5"/>
  <c r="P892" i="5"/>
  <c r="N893" i="5"/>
  <c r="P893" i="5"/>
  <c r="N894" i="5"/>
  <c r="P894" i="5"/>
  <c r="N895" i="5"/>
  <c r="P895" i="5"/>
  <c r="N896" i="5"/>
  <c r="P896" i="5"/>
  <c r="N897" i="5"/>
  <c r="P897" i="5"/>
  <c r="N898" i="5"/>
  <c r="P898" i="5"/>
  <c r="N899" i="5"/>
  <c r="P899" i="5"/>
  <c r="N900" i="5"/>
  <c r="P900" i="5"/>
  <c r="N901" i="5"/>
  <c r="P901" i="5"/>
  <c r="N902" i="5"/>
  <c r="P902" i="5"/>
  <c r="N903" i="5"/>
  <c r="P903" i="5"/>
  <c r="N904" i="5"/>
  <c r="P904" i="5"/>
  <c r="N905" i="5"/>
  <c r="P905" i="5"/>
  <c r="N906" i="5"/>
  <c r="P906" i="5"/>
  <c r="N907" i="5"/>
  <c r="P907" i="5"/>
  <c r="N908" i="5"/>
  <c r="P908" i="5"/>
  <c r="N909" i="5"/>
  <c r="P909" i="5"/>
  <c r="N910" i="5"/>
  <c r="P910" i="5"/>
  <c r="N911" i="5"/>
  <c r="P911" i="5"/>
  <c r="N912" i="5"/>
  <c r="P912" i="5"/>
  <c r="N913" i="5"/>
  <c r="P913" i="5"/>
  <c r="N914" i="5"/>
  <c r="P914" i="5"/>
  <c r="N915" i="5"/>
  <c r="P915" i="5"/>
  <c r="N916" i="5"/>
  <c r="P916" i="5"/>
  <c r="N917" i="5"/>
  <c r="P917" i="5"/>
  <c r="N918" i="5"/>
  <c r="P918" i="5"/>
  <c r="N919" i="5"/>
  <c r="P919" i="5"/>
  <c r="N920" i="5"/>
  <c r="P920" i="5"/>
  <c r="N921" i="5"/>
  <c r="P921" i="5"/>
  <c r="N922" i="5"/>
  <c r="P922" i="5"/>
  <c r="N923" i="5"/>
  <c r="P923" i="5"/>
  <c r="N924" i="5"/>
  <c r="P924" i="5"/>
  <c r="N925" i="5"/>
  <c r="P925" i="5"/>
  <c r="N926" i="5"/>
  <c r="P926" i="5"/>
  <c r="N927" i="5"/>
  <c r="P927" i="5"/>
  <c r="N928" i="5"/>
  <c r="P928" i="5"/>
  <c r="N929" i="5"/>
  <c r="P929" i="5"/>
  <c r="N930" i="5"/>
  <c r="P930" i="5"/>
  <c r="N931" i="5"/>
  <c r="P931" i="5"/>
  <c r="N932" i="5"/>
  <c r="P932" i="5"/>
  <c r="N933" i="5"/>
  <c r="P933" i="5"/>
  <c r="N934" i="5"/>
  <c r="P934" i="5"/>
  <c r="N935" i="5"/>
  <c r="P935" i="5"/>
  <c r="N936" i="5"/>
  <c r="P936" i="5"/>
  <c r="N937" i="5"/>
  <c r="P937" i="5"/>
  <c r="N938" i="5"/>
  <c r="P938" i="5"/>
  <c r="N939" i="5"/>
  <c r="P939" i="5"/>
  <c r="N940" i="5"/>
  <c r="P940" i="5"/>
  <c r="N941" i="5"/>
  <c r="P941" i="5"/>
  <c r="N942" i="5"/>
  <c r="P942" i="5"/>
  <c r="N943" i="5"/>
  <c r="P943" i="5"/>
  <c r="N944" i="5"/>
  <c r="P944" i="5"/>
  <c r="N945" i="5"/>
  <c r="P945" i="5"/>
  <c r="N946" i="5"/>
  <c r="P946" i="5"/>
  <c r="N947" i="5"/>
  <c r="P947" i="5"/>
  <c r="N948" i="5"/>
  <c r="P948" i="5"/>
  <c r="N949" i="5"/>
  <c r="P949" i="5"/>
  <c r="N950" i="5"/>
  <c r="P950" i="5"/>
  <c r="N951" i="5"/>
  <c r="P951" i="5"/>
  <c r="N952" i="5"/>
  <c r="P952" i="5"/>
  <c r="N953" i="5"/>
  <c r="P953" i="5"/>
  <c r="N954" i="5"/>
  <c r="P954" i="5"/>
  <c r="N955" i="5"/>
  <c r="P955" i="5"/>
  <c r="N956" i="5"/>
  <c r="P956" i="5"/>
  <c r="N957" i="5"/>
  <c r="P957" i="5"/>
  <c r="N958" i="5"/>
  <c r="P958" i="5"/>
  <c r="N959" i="5"/>
  <c r="P959" i="5"/>
  <c r="N960" i="5"/>
  <c r="P960" i="5"/>
  <c r="N961" i="5"/>
  <c r="P961" i="5"/>
  <c r="N962" i="5"/>
  <c r="P962" i="5"/>
  <c r="N963" i="5"/>
  <c r="P963" i="5"/>
  <c r="N964" i="5"/>
  <c r="P964" i="5"/>
  <c r="N965" i="5"/>
  <c r="P965" i="5"/>
  <c r="N966" i="5"/>
  <c r="P966" i="5"/>
  <c r="N967" i="5"/>
  <c r="P967" i="5"/>
  <c r="N968" i="5"/>
  <c r="P968" i="5"/>
  <c r="N969" i="5"/>
  <c r="P969" i="5"/>
  <c r="N970" i="5"/>
  <c r="P970" i="5"/>
  <c r="N971" i="5"/>
  <c r="P971" i="5"/>
  <c r="N972" i="5"/>
  <c r="P972" i="5"/>
  <c r="N973" i="5"/>
  <c r="P973" i="5"/>
  <c r="N974" i="5"/>
  <c r="P974" i="5"/>
  <c r="N975" i="5"/>
  <c r="P975" i="5"/>
  <c r="N976" i="5"/>
  <c r="P976" i="5"/>
  <c r="N977" i="5"/>
  <c r="P977" i="5"/>
  <c r="N978" i="5"/>
  <c r="P978" i="5"/>
  <c r="N979" i="5"/>
  <c r="P979" i="5"/>
  <c r="N980" i="5"/>
  <c r="P980" i="5"/>
  <c r="N981" i="5"/>
  <c r="P981" i="5"/>
  <c r="N982" i="5"/>
  <c r="P982" i="5"/>
  <c r="N983" i="5"/>
  <c r="P983" i="5"/>
  <c r="N984" i="5"/>
  <c r="P984" i="5"/>
  <c r="N985" i="5"/>
  <c r="P985" i="5"/>
  <c r="N986" i="5"/>
  <c r="P986" i="5"/>
  <c r="N987" i="5"/>
  <c r="P987" i="5"/>
  <c r="N988" i="5"/>
  <c r="P988" i="5"/>
  <c r="N989" i="5"/>
  <c r="P989" i="5"/>
  <c r="N990" i="5"/>
  <c r="P990" i="5"/>
  <c r="N991" i="5"/>
  <c r="P991" i="5"/>
  <c r="N992" i="5"/>
  <c r="P992" i="5"/>
  <c r="N993" i="5"/>
  <c r="P993" i="5"/>
  <c r="N994" i="5"/>
  <c r="P994" i="5"/>
  <c r="N995" i="5"/>
  <c r="P995" i="5"/>
  <c r="N996" i="5"/>
  <c r="P996" i="5"/>
  <c r="N997" i="5"/>
  <c r="P997" i="5"/>
  <c r="N998" i="5"/>
  <c r="P998" i="5"/>
  <c r="N999" i="5"/>
  <c r="P999" i="5"/>
  <c r="N1000" i="5"/>
  <c r="P1000" i="5"/>
  <c r="N1001" i="5"/>
  <c r="P1001" i="5"/>
  <c r="N1002" i="5"/>
  <c r="P1002" i="5"/>
  <c r="N1003" i="5"/>
  <c r="P1003" i="5"/>
  <c r="N1004" i="5"/>
  <c r="P1004" i="5"/>
  <c r="N1005" i="5"/>
  <c r="P1005" i="5"/>
  <c r="N1006" i="5"/>
  <c r="P1006" i="5"/>
  <c r="N1007" i="5"/>
  <c r="P1007" i="5"/>
  <c r="N1008" i="5"/>
  <c r="P1008" i="5"/>
  <c r="N1009" i="5"/>
  <c r="P1009" i="5"/>
  <c r="N1010" i="5"/>
  <c r="P1010" i="5"/>
  <c r="N1011" i="5"/>
  <c r="P1011" i="5"/>
  <c r="N1012" i="5"/>
  <c r="P1012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B3" i="9"/>
  <c r="B4" i="9"/>
  <c r="B5" i="9"/>
  <c r="B6" i="9"/>
  <c r="B7" i="9"/>
  <c r="B8" i="9"/>
  <c r="B9" i="9"/>
  <c r="B2" i="9"/>
  <c r="I2" i="5"/>
  <c r="I833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Q2" i="5"/>
  <c r="Q833" i="5"/>
  <c r="G5" i="9"/>
  <c r="G4" i="9"/>
  <c r="G3" i="9"/>
  <c r="G2" i="9"/>
  <c r="I424" i="5"/>
  <c r="Q424" i="5"/>
  <c r="I605" i="5"/>
  <c r="Q605" i="5"/>
  <c r="I352" i="5"/>
  <c r="Q352" i="5"/>
  <c r="I975" i="5"/>
  <c r="Q975" i="5"/>
  <c r="I776" i="5"/>
  <c r="Q776" i="5"/>
  <c r="I550" i="5"/>
  <c r="Q550" i="5"/>
  <c r="I253" i="5"/>
  <c r="Q253" i="5"/>
  <c r="I721" i="5"/>
  <c r="Q721" i="5"/>
  <c r="I492" i="5"/>
  <c r="Q492" i="5"/>
  <c r="I150" i="5"/>
  <c r="Q150" i="5"/>
  <c r="I932" i="5"/>
  <c r="Q932" i="5"/>
  <c r="I891" i="5"/>
  <c r="Q891" i="5"/>
  <c r="I662" i="5"/>
  <c r="Q662" i="5"/>
  <c r="I77" i="5"/>
  <c r="Q77" i="5"/>
  <c r="I133" i="5"/>
  <c r="Q133" i="5"/>
  <c r="I197" i="5"/>
  <c r="Q197" i="5"/>
  <c r="I246" i="5"/>
  <c r="Q246" i="5"/>
  <c r="I301" i="5"/>
  <c r="Q301" i="5"/>
  <c r="I344" i="5"/>
  <c r="Q344" i="5"/>
  <c r="I381" i="5"/>
  <c r="Q381" i="5"/>
  <c r="I423" i="5"/>
  <c r="Q423" i="5"/>
  <c r="I459" i="5"/>
  <c r="Q459" i="5"/>
  <c r="I488" i="5"/>
  <c r="Q488" i="5"/>
  <c r="I518" i="5"/>
  <c r="Q518" i="5"/>
  <c r="I545" i="5"/>
  <c r="Q545" i="5"/>
  <c r="I573" i="5"/>
  <c r="Q573" i="5"/>
  <c r="I604" i="5"/>
  <c r="Q604" i="5"/>
  <c r="I630" i="5"/>
  <c r="Q630" i="5"/>
  <c r="I658" i="5"/>
  <c r="Q658" i="5"/>
  <c r="I689" i="5"/>
  <c r="Q689" i="5"/>
  <c r="I716" i="5"/>
  <c r="Q716" i="5"/>
  <c r="I744" i="5"/>
  <c r="Q744" i="5"/>
  <c r="I774" i="5"/>
  <c r="Q774" i="5"/>
  <c r="I801" i="5"/>
  <c r="Q801" i="5"/>
  <c r="I829" i="5"/>
  <c r="Q829" i="5"/>
  <c r="I860" i="5"/>
  <c r="Q860" i="5"/>
  <c r="I872" i="5"/>
  <c r="Q872" i="5"/>
  <c r="I899" i="5"/>
  <c r="Q899" i="5"/>
  <c r="I919" i="5"/>
  <c r="Q919" i="5"/>
  <c r="I940" i="5"/>
  <c r="Q940" i="5"/>
  <c r="I963" i="5"/>
  <c r="Q963" i="5"/>
  <c r="I983" i="5"/>
  <c r="Q983" i="5"/>
  <c r="I1004" i="5"/>
  <c r="Q1004" i="5"/>
  <c r="I18" i="5"/>
  <c r="Q18" i="5"/>
  <c r="I170" i="5"/>
  <c r="Q170" i="5"/>
  <c r="I225" i="5"/>
  <c r="Q225" i="5"/>
  <c r="I273" i="5"/>
  <c r="Q273" i="5"/>
  <c r="I322" i="5"/>
  <c r="Q322" i="5"/>
  <c r="I365" i="5"/>
  <c r="Q365" i="5"/>
  <c r="I401" i="5"/>
  <c r="Q401" i="5"/>
  <c r="I439" i="5"/>
  <c r="Q439" i="5"/>
  <c r="I476" i="5"/>
  <c r="Q476" i="5"/>
  <c r="I502" i="5"/>
  <c r="Q502" i="5"/>
  <c r="I530" i="5"/>
  <c r="Q530" i="5"/>
  <c r="I561" i="5"/>
  <c r="Q561" i="5"/>
  <c r="I588" i="5"/>
  <c r="Q588" i="5"/>
  <c r="I616" i="5"/>
  <c r="Q616" i="5"/>
  <c r="I646" i="5"/>
  <c r="Q646" i="5"/>
  <c r="I673" i="5"/>
  <c r="Q673" i="5"/>
  <c r="I701" i="5"/>
  <c r="Q701" i="5"/>
  <c r="I732" i="5"/>
  <c r="Q732" i="5"/>
  <c r="I758" i="5"/>
  <c r="Q758" i="5"/>
  <c r="I786" i="5"/>
  <c r="Q786" i="5"/>
  <c r="I817" i="5"/>
  <c r="Q817" i="5"/>
  <c r="I844" i="5"/>
  <c r="Q844" i="5"/>
  <c r="I886" i="5"/>
  <c r="Q886" i="5"/>
  <c r="I908" i="5"/>
  <c r="Q908" i="5"/>
  <c r="I931" i="5"/>
  <c r="Q931" i="5"/>
  <c r="I951" i="5"/>
  <c r="Q951" i="5"/>
  <c r="I972" i="5"/>
  <c r="Q972" i="5"/>
  <c r="I995" i="5"/>
  <c r="Q995" i="5"/>
  <c r="I964" i="5"/>
  <c r="Q964" i="5"/>
  <c r="I818" i="5"/>
  <c r="Q818" i="5"/>
  <c r="I705" i="5"/>
  <c r="Q705" i="5"/>
  <c r="I593" i="5"/>
  <c r="Q593" i="5"/>
  <c r="I477" i="5"/>
  <c r="Q477" i="5"/>
  <c r="I330" i="5"/>
  <c r="Q330" i="5"/>
  <c r="I93" i="5"/>
  <c r="Q93" i="5"/>
  <c r="I6" i="5"/>
  <c r="Q6" i="5"/>
  <c r="I996" i="5"/>
  <c r="Q996" i="5"/>
  <c r="I955" i="5"/>
  <c r="Q955" i="5"/>
  <c r="I911" i="5"/>
  <c r="Q911" i="5"/>
  <c r="I861" i="5"/>
  <c r="Q861" i="5"/>
  <c r="I806" i="5"/>
  <c r="Q806" i="5"/>
  <c r="I748" i="5"/>
  <c r="Q748" i="5"/>
  <c r="I690" i="5"/>
  <c r="Q690" i="5"/>
  <c r="I636" i="5"/>
  <c r="Q636" i="5"/>
  <c r="I577" i="5"/>
  <c r="Q577" i="5"/>
  <c r="I520" i="5"/>
  <c r="Q520" i="5"/>
  <c r="I465" i="5"/>
  <c r="Q465" i="5"/>
  <c r="I387" i="5"/>
  <c r="Q387" i="5"/>
  <c r="I303" i="5"/>
  <c r="Q303" i="5"/>
  <c r="I205" i="5"/>
  <c r="Q205" i="5"/>
  <c r="I37" i="5"/>
  <c r="Q37" i="5"/>
  <c r="I1007" i="5"/>
  <c r="Q1007" i="5"/>
  <c r="I923" i="5"/>
  <c r="Q923" i="5"/>
  <c r="I876" i="5"/>
  <c r="Q876" i="5"/>
  <c r="I764" i="5"/>
  <c r="Q764" i="5"/>
  <c r="I648" i="5"/>
  <c r="Q648" i="5"/>
  <c r="I534" i="5"/>
  <c r="Q534" i="5"/>
  <c r="I408" i="5"/>
  <c r="Q408" i="5"/>
  <c r="I226" i="5"/>
  <c r="Q226" i="5"/>
  <c r="I987" i="5"/>
  <c r="Q987" i="5"/>
  <c r="I943" i="5"/>
  <c r="Q943" i="5"/>
  <c r="I900" i="5"/>
  <c r="Q900" i="5"/>
  <c r="I849" i="5"/>
  <c r="Q849" i="5"/>
  <c r="I790" i="5"/>
  <c r="Q790" i="5"/>
  <c r="I733" i="5"/>
  <c r="Q733" i="5"/>
  <c r="I678" i="5"/>
  <c r="Q678" i="5"/>
  <c r="I620" i="5"/>
  <c r="Q620" i="5"/>
  <c r="I562" i="5"/>
  <c r="Q562" i="5"/>
  <c r="I508" i="5"/>
  <c r="Q508" i="5"/>
  <c r="I444" i="5"/>
  <c r="Q444" i="5"/>
  <c r="I368" i="5"/>
  <c r="Q368" i="5"/>
  <c r="I282" i="5"/>
  <c r="Q282" i="5"/>
  <c r="I177" i="5"/>
  <c r="Q177" i="5"/>
  <c r="I1003" i="5"/>
  <c r="Q1003" i="5"/>
  <c r="I980" i="5"/>
  <c r="Q980" i="5"/>
  <c r="I959" i="5"/>
  <c r="Q959" i="5"/>
  <c r="I948" i="5"/>
  <c r="Q948" i="5"/>
  <c r="I939" i="5"/>
  <c r="Q939" i="5"/>
  <c r="I927" i="5"/>
  <c r="Q927" i="5"/>
  <c r="I916" i="5"/>
  <c r="Q916" i="5"/>
  <c r="I907" i="5"/>
  <c r="Q907" i="5"/>
  <c r="I895" i="5"/>
  <c r="Q895" i="5"/>
  <c r="I882" i="5"/>
  <c r="Q882" i="5"/>
  <c r="I870" i="5"/>
  <c r="Q870" i="5"/>
  <c r="I854" i="5"/>
  <c r="Q854" i="5"/>
  <c r="I840" i="5"/>
  <c r="Q840" i="5"/>
  <c r="I828" i="5"/>
  <c r="Q828" i="5"/>
  <c r="I812" i="5"/>
  <c r="Q812" i="5"/>
  <c r="I797" i="5"/>
  <c r="Q797" i="5"/>
  <c r="I785" i="5"/>
  <c r="Q785" i="5"/>
  <c r="I769" i="5"/>
  <c r="Q769" i="5"/>
  <c r="I754" i="5"/>
  <c r="Q754" i="5"/>
  <c r="I742" i="5"/>
  <c r="Q742" i="5"/>
  <c r="I726" i="5"/>
  <c r="Q726" i="5"/>
  <c r="I712" i="5"/>
  <c r="Q712" i="5"/>
  <c r="I700" i="5"/>
  <c r="Q700" i="5"/>
  <c r="I684" i="5"/>
  <c r="Q684" i="5"/>
  <c r="I669" i="5"/>
  <c r="Q669" i="5"/>
  <c r="I657" i="5"/>
  <c r="Q657" i="5"/>
  <c r="I641" i="5"/>
  <c r="Q641" i="5"/>
  <c r="I626" i="5"/>
  <c r="Q626" i="5"/>
  <c r="I614" i="5"/>
  <c r="Q614" i="5"/>
  <c r="I598" i="5"/>
  <c r="Q598" i="5"/>
  <c r="I584" i="5"/>
  <c r="Q584" i="5"/>
  <c r="I572" i="5"/>
  <c r="Q572" i="5"/>
  <c r="I556" i="5"/>
  <c r="Q556" i="5"/>
  <c r="I541" i="5"/>
  <c r="Q541" i="5"/>
  <c r="I529" i="5"/>
  <c r="Q529" i="5"/>
  <c r="I513" i="5"/>
  <c r="Q513" i="5"/>
  <c r="I498" i="5"/>
  <c r="Q498" i="5"/>
  <c r="I486" i="5"/>
  <c r="Q486" i="5"/>
  <c r="I470" i="5"/>
  <c r="Q470" i="5"/>
  <c r="I453" i="5"/>
  <c r="Q453" i="5"/>
  <c r="I437" i="5"/>
  <c r="Q437" i="5"/>
  <c r="I416" i="5"/>
  <c r="Q416" i="5"/>
  <c r="I396" i="5"/>
  <c r="Q396" i="5"/>
  <c r="I380" i="5"/>
  <c r="Q380" i="5"/>
  <c r="I359" i="5"/>
  <c r="Q359" i="5"/>
  <c r="I339" i="5"/>
  <c r="Q339" i="5"/>
  <c r="I319" i="5"/>
  <c r="Q319" i="5"/>
  <c r="I290" i="5"/>
  <c r="Q290" i="5"/>
  <c r="I266" i="5"/>
  <c r="Q266" i="5"/>
  <c r="I245" i="5"/>
  <c r="Q245" i="5"/>
  <c r="I215" i="5"/>
  <c r="Q215" i="5"/>
  <c r="I189" i="5"/>
  <c r="Q189" i="5"/>
  <c r="I167" i="5"/>
  <c r="Q167" i="5"/>
  <c r="I122" i="5"/>
  <c r="Q122" i="5"/>
  <c r="I66" i="5"/>
  <c r="Q66" i="5"/>
  <c r="I22" i="5"/>
  <c r="Q22" i="5"/>
  <c r="I5" i="5"/>
  <c r="Q5" i="5"/>
  <c r="I34" i="5"/>
  <c r="Q34" i="5"/>
  <c r="I61" i="5"/>
  <c r="Q61" i="5"/>
  <c r="I90" i="5"/>
  <c r="Q90" i="5"/>
  <c r="I118" i="5"/>
  <c r="Q118" i="5"/>
  <c r="I146" i="5"/>
  <c r="Q146" i="5"/>
  <c r="I1012" i="5"/>
  <c r="Q1012" i="5"/>
  <c r="I991" i="5"/>
  <c r="Q991" i="5"/>
  <c r="I971" i="5"/>
  <c r="Q971" i="5"/>
  <c r="I1011" i="5"/>
  <c r="Q1011" i="5"/>
  <c r="I999" i="5"/>
  <c r="Q999" i="5"/>
  <c r="I988" i="5"/>
  <c r="Q988" i="5"/>
  <c r="I979" i="5"/>
  <c r="Q979" i="5"/>
  <c r="I967" i="5"/>
  <c r="Q967" i="5"/>
  <c r="I956" i="5"/>
  <c r="Q956" i="5"/>
  <c r="I947" i="5"/>
  <c r="Q947" i="5"/>
  <c r="I935" i="5"/>
  <c r="Q935" i="5"/>
  <c r="I924" i="5"/>
  <c r="Q924" i="5"/>
  <c r="I915" i="5"/>
  <c r="Q915" i="5"/>
  <c r="I903" i="5"/>
  <c r="Q903" i="5"/>
  <c r="I892" i="5"/>
  <c r="Q892" i="5"/>
  <c r="I881" i="5"/>
  <c r="Q881" i="5"/>
  <c r="I865" i="5"/>
  <c r="Q865" i="5"/>
  <c r="I850" i="5"/>
  <c r="Q850" i="5"/>
  <c r="I838" i="5"/>
  <c r="Q838" i="5"/>
  <c r="I822" i="5"/>
  <c r="Q822" i="5"/>
  <c r="I808" i="5"/>
  <c r="Q808" i="5"/>
  <c r="I796" i="5"/>
  <c r="Q796" i="5"/>
  <c r="I780" i="5"/>
  <c r="Q780" i="5"/>
  <c r="I765" i="5"/>
  <c r="Q765" i="5"/>
  <c r="I753" i="5"/>
  <c r="Q753" i="5"/>
  <c r="I737" i="5"/>
  <c r="Q737" i="5"/>
  <c r="I722" i="5"/>
  <c r="Q722" i="5"/>
  <c r="I710" i="5"/>
  <c r="Q710" i="5"/>
  <c r="I694" i="5"/>
  <c r="Q694" i="5"/>
  <c r="I680" i="5"/>
  <c r="Q680" i="5"/>
  <c r="I668" i="5"/>
  <c r="Q668" i="5"/>
  <c r="I652" i="5"/>
  <c r="Q652" i="5"/>
  <c r="I637" i="5"/>
  <c r="Q637" i="5"/>
  <c r="I625" i="5"/>
  <c r="Q625" i="5"/>
  <c r="I609" i="5"/>
  <c r="Q609" i="5"/>
  <c r="I594" i="5"/>
  <c r="Q594" i="5"/>
  <c r="I582" i="5"/>
  <c r="Q582" i="5"/>
  <c r="I566" i="5"/>
  <c r="Q566" i="5"/>
  <c r="I552" i="5"/>
  <c r="Q552" i="5"/>
  <c r="I540" i="5"/>
  <c r="Q540" i="5"/>
  <c r="I524" i="5"/>
  <c r="Q524" i="5"/>
  <c r="I509" i="5"/>
  <c r="Q509" i="5"/>
  <c r="I497" i="5"/>
  <c r="Q497" i="5"/>
  <c r="I481" i="5"/>
  <c r="Q481" i="5"/>
  <c r="I466" i="5"/>
  <c r="Q466" i="5"/>
  <c r="I451" i="5"/>
  <c r="Q451" i="5"/>
  <c r="I429" i="5"/>
  <c r="Q429" i="5"/>
  <c r="I411" i="5"/>
  <c r="Q411" i="5"/>
  <c r="I395" i="5"/>
  <c r="Q395" i="5"/>
  <c r="I373" i="5"/>
  <c r="Q373" i="5"/>
  <c r="I353" i="5"/>
  <c r="Q353" i="5"/>
  <c r="I337" i="5"/>
  <c r="Q337" i="5"/>
  <c r="I310" i="5"/>
  <c r="Q310" i="5"/>
  <c r="I283" i="5"/>
  <c r="Q283" i="5"/>
  <c r="I262" i="5"/>
  <c r="Q262" i="5"/>
  <c r="I234" i="5"/>
  <c r="Q234" i="5"/>
  <c r="I209" i="5"/>
  <c r="Q209" i="5"/>
  <c r="I187" i="5"/>
  <c r="Q187" i="5"/>
  <c r="I159" i="5"/>
  <c r="Q159" i="5"/>
  <c r="I102" i="5"/>
  <c r="Q102" i="5"/>
  <c r="I46" i="5"/>
  <c r="Q46" i="5"/>
  <c r="I1008" i="5"/>
  <c r="Q1008" i="5"/>
  <c r="I1000" i="5"/>
  <c r="Q1000" i="5"/>
  <c r="I992" i="5"/>
  <c r="Q992" i="5"/>
  <c r="I984" i="5"/>
  <c r="Q984" i="5"/>
  <c r="I976" i="5"/>
  <c r="Q976" i="5"/>
  <c r="I968" i="5"/>
  <c r="Q968" i="5"/>
  <c r="I960" i="5"/>
  <c r="Q960" i="5"/>
  <c r="I952" i="5"/>
  <c r="Q952" i="5"/>
  <c r="I944" i="5"/>
  <c r="Q944" i="5"/>
  <c r="I936" i="5"/>
  <c r="Q936" i="5"/>
  <c r="I928" i="5"/>
  <c r="Q928" i="5"/>
  <c r="I920" i="5"/>
  <c r="Q920" i="5"/>
  <c r="I912" i="5"/>
  <c r="Q912" i="5"/>
  <c r="I904" i="5"/>
  <c r="Q904" i="5"/>
  <c r="I896" i="5"/>
  <c r="Q896" i="5"/>
  <c r="I888" i="5"/>
  <c r="Q888" i="5"/>
  <c r="I877" i="5"/>
  <c r="Q877" i="5"/>
  <c r="I866" i="5"/>
  <c r="Q866" i="5"/>
  <c r="I856" i="5"/>
  <c r="Q856" i="5"/>
  <c r="I845" i="5"/>
  <c r="Q845" i="5"/>
  <c r="I834" i="5"/>
  <c r="Q834" i="5"/>
  <c r="I824" i="5"/>
  <c r="Q824" i="5"/>
  <c r="I813" i="5"/>
  <c r="Q813" i="5"/>
  <c r="I802" i="5"/>
  <c r="Q802" i="5"/>
  <c r="I792" i="5"/>
  <c r="Q792" i="5"/>
  <c r="I781" i="5"/>
  <c r="Q781" i="5"/>
  <c r="I770" i="5"/>
  <c r="Q770" i="5"/>
  <c r="I760" i="5"/>
  <c r="Q760" i="5"/>
  <c r="I749" i="5"/>
  <c r="Q749" i="5"/>
  <c r="I738" i="5"/>
  <c r="Q738" i="5"/>
  <c r="I728" i="5"/>
  <c r="Q728" i="5"/>
  <c r="I717" i="5"/>
  <c r="Q717" i="5"/>
  <c r="I706" i="5"/>
  <c r="Q706" i="5"/>
  <c r="I696" i="5"/>
  <c r="Q696" i="5"/>
  <c r="I685" i="5"/>
  <c r="Q685" i="5"/>
  <c r="I674" i="5"/>
  <c r="Q674" i="5"/>
  <c r="I664" i="5"/>
  <c r="Q664" i="5"/>
  <c r="I653" i="5"/>
  <c r="Q653" i="5"/>
  <c r="I642" i="5"/>
  <c r="Q642" i="5"/>
  <c r="I632" i="5"/>
  <c r="Q632" i="5"/>
  <c r="I621" i="5"/>
  <c r="Q621" i="5"/>
  <c r="I610" i="5"/>
  <c r="Q610" i="5"/>
  <c r="I600" i="5"/>
  <c r="Q600" i="5"/>
  <c r="I589" i="5"/>
  <c r="Q589" i="5"/>
  <c r="I578" i="5"/>
  <c r="Q578" i="5"/>
  <c r="I568" i="5"/>
  <c r="Q568" i="5"/>
  <c r="I557" i="5"/>
  <c r="Q557" i="5"/>
  <c r="I546" i="5"/>
  <c r="Q546" i="5"/>
  <c r="I536" i="5"/>
  <c r="Q536" i="5"/>
  <c r="I525" i="5"/>
  <c r="Q525" i="5"/>
  <c r="I514" i="5"/>
  <c r="Q514" i="5"/>
  <c r="I504" i="5"/>
  <c r="Q504" i="5"/>
  <c r="I493" i="5"/>
  <c r="Q493" i="5"/>
  <c r="I482" i="5"/>
  <c r="Q482" i="5"/>
  <c r="I472" i="5"/>
  <c r="Q472" i="5"/>
  <c r="I460" i="5"/>
  <c r="Q460" i="5"/>
  <c r="I445" i="5"/>
  <c r="Q445" i="5"/>
  <c r="I432" i="5"/>
  <c r="Q432" i="5"/>
  <c r="I417" i="5"/>
  <c r="Q417" i="5"/>
  <c r="I403" i="5"/>
  <c r="Q403" i="5"/>
  <c r="I389" i="5"/>
  <c r="Q389" i="5"/>
  <c r="I375" i="5"/>
  <c r="Q375" i="5"/>
  <c r="I360" i="5"/>
  <c r="Q360" i="5"/>
  <c r="I347" i="5"/>
  <c r="Q347" i="5"/>
  <c r="I331" i="5"/>
  <c r="Q331" i="5"/>
  <c r="I311" i="5"/>
  <c r="Q311" i="5"/>
  <c r="I294" i="5"/>
  <c r="Q294" i="5"/>
  <c r="I274" i="5"/>
  <c r="Q274" i="5"/>
  <c r="I255" i="5"/>
  <c r="Q255" i="5"/>
  <c r="I237" i="5"/>
  <c r="Q237" i="5"/>
  <c r="I218" i="5"/>
  <c r="Q218" i="5"/>
  <c r="I198" i="5"/>
  <c r="Q198" i="5"/>
  <c r="I181" i="5"/>
  <c r="Q181" i="5"/>
  <c r="I161" i="5"/>
  <c r="Q161" i="5"/>
  <c r="I134" i="5"/>
  <c r="Q134" i="5"/>
  <c r="I109" i="5"/>
  <c r="Q109" i="5"/>
  <c r="I78" i="5"/>
  <c r="Q78" i="5"/>
  <c r="I50" i="5"/>
  <c r="Q50" i="5"/>
  <c r="I1010" i="5"/>
  <c r="Q1010" i="5"/>
  <c r="I1006" i="5"/>
  <c r="Q1006" i="5"/>
  <c r="I1002" i="5"/>
  <c r="Q1002" i="5"/>
  <c r="I998" i="5"/>
  <c r="Q998" i="5"/>
  <c r="I994" i="5"/>
  <c r="Q994" i="5"/>
  <c r="I990" i="5"/>
  <c r="Q990" i="5"/>
  <c r="I986" i="5"/>
  <c r="Q986" i="5"/>
  <c r="I982" i="5"/>
  <c r="Q982" i="5"/>
  <c r="I978" i="5"/>
  <c r="Q978" i="5"/>
  <c r="I974" i="5"/>
  <c r="Q974" i="5"/>
  <c r="I970" i="5"/>
  <c r="Q970" i="5"/>
  <c r="I966" i="5"/>
  <c r="Q966" i="5"/>
  <c r="I962" i="5"/>
  <c r="Q962" i="5"/>
  <c r="I958" i="5"/>
  <c r="Q958" i="5"/>
  <c r="I954" i="5"/>
  <c r="Q954" i="5"/>
  <c r="I950" i="5"/>
  <c r="Q950" i="5"/>
  <c r="I946" i="5"/>
  <c r="Q946" i="5"/>
  <c r="I942" i="5"/>
  <c r="Q942" i="5"/>
  <c r="I938" i="5"/>
  <c r="Q938" i="5"/>
  <c r="I934" i="5"/>
  <c r="Q934" i="5"/>
  <c r="I930" i="5"/>
  <c r="Q930" i="5"/>
  <c r="I926" i="5"/>
  <c r="Q926" i="5"/>
  <c r="I922" i="5"/>
  <c r="Q922" i="5"/>
  <c r="I918" i="5"/>
  <c r="Q918" i="5"/>
  <c r="I914" i="5"/>
  <c r="Q914" i="5"/>
  <c r="I910" i="5"/>
  <c r="Q910" i="5"/>
  <c r="I906" i="5"/>
  <c r="Q906" i="5"/>
  <c r="I902" i="5"/>
  <c r="Q902" i="5"/>
  <c r="I898" i="5"/>
  <c r="Q898" i="5"/>
  <c r="I894" i="5"/>
  <c r="Q894" i="5"/>
  <c r="I890" i="5"/>
  <c r="Q890" i="5"/>
  <c r="I885" i="5"/>
  <c r="Q885" i="5"/>
  <c r="I880" i="5"/>
  <c r="Q880" i="5"/>
  <c r="I874" i="5"/>
  <c r="Q874" i="5"/>
  <c r="I869" i="5"/>
  <c r="Q869" i="5"/>
  <c r="I864" i="5"/>
  <c r="Q864" i="5"/>
  <c r="I858" i="5"/>
  <c r="Q858" i="5"/>
  <c r="I853" i="5"/>
  <c r="Q853" i="5"/>
  <c r="I848" i="5"/>
  <c r="Q848" i="5"/>
  <c r="I842" i="5"/>
  <c r="Q842" i="5"/>
  <c r="I837" i="5"/>
  <c r="Q837" i="5"/>
  <c r="I832" i="5"/>
  <c r="Q832" i="5"/>
  <c r="I826" i="5"/>
  <c r="Q826" i="5"/>
  <c r="I821" i="5"/>
  <c r="Q821" i="5"/>
  <c r="I816" i="5"/>
  <c r="Q816" i="5"/>
  <c r="I810" i="5"/>
  <c r="Q810" i="5"/>
  <c r="I805" i="5"/>
  <c r="Q805" i="5"/>
  <c r="I800" i="5"/>
  <c r="Q800" i="5"/>
  <c r="I794" i="5"/>
  <c r="Q794" i="5"/>
  <c r="I789" i="5"/>
  <c r="Q789" i="5"/>
  <c r="I784" i="5"/>
  <c r="Q784" i="5"/>
  <c r="I778" i="5"/>
  <c r="Q778" i="5"/>
  <c r="I773" i="5"/>
  <c r="Q773" i="5"/>
  <c r="I768" i="5"/>
  <c r="Q768" i="5"/>
  <c r="I762" i="5"/>
  <c r="Q762" i="5"/>
  <c r="I757" i="5"/>
  <c r="Q757" i="5"/>
  <c r="I752" i="5"/>
  <c r="Q752" i="5"/>
  <c r="I746" i="5"/>
  <c r="Q746" i="5"/>
  <c r="I741" i="5"/>
  <c r="Q741" i="5"/>
  <c r="I736" i="5"/>
  <c r="Q736" i="5"/>
  <c r="I730" i="5"/>
  <c r="Q730" i="5"/>
  <c r="I725" i="5"/>
  <c r="Q725" i="5"/>
  <c r="I720" i="5"/>
  <c r="Q720" i="5"/>
  <c r="I714" i="5"/>
  <c r="Q714" i="5"/>
  <c r="I709" i="5"/>
  <c r="Q709" i="5"/>
  <c r="I704" i="5"/>
  <c r="Q704" i="5"/>
  <c r="I698" i="5"/>
  <c r="Q698" i="5"/>
  <c r="I693" i="5"/>
  <c r="Q693" i="5"/>
  <c r="I688" i="5"/>
  <c r="Q688" i="5"/>
  <c r="I682" i="5"/>
  <c r="Q682" i="5"/>
  <c r="I677" i="5"/>
  <c r="Q677" i="5"/>
  <c r="I672" i="5"/>
  <c r="Q672" i="5"/>
  <c r="I666" i="5"/>
  <c r="Q666" i="5"/>
  <c r="I661" i="5"/>
  <c r="Q661" i="5"/>
  <c r="I656" i="5"/>
  <c r="Q656" i="5"/>
  <c r="I650" i="5"/>
  <c r="Q650" i="5"/>
  <c r="I645" i="5"/>
  <c r="Q645" i="5"/>
  <c r="I640" i="5"/>
  <c r="Q640" i="5"/>
  <c r="I634" i="5"/>
  <c r="Q634" i="5"/>
  <c r="I629" i="5"/>
  <c r="Q629" i="5"/>
  <c r="I624" i="5"/>
  <c r="Q624" i="5"/>
  <c r="I618" i="5"/>
  <c r="Q618" i="5"/>
  <c r="I613" i="5"/>
  <c r="Q613" i="5"/>
  <c r="I608" i="5"/>
  <c r="Q608" i="5"/>
  <c r="I602" i="5"/>
  <c r="Q602" i="5"/>
  <c r="I597" i="5"/>
  <c r="Q597" i="5"/>
  <c r="I592" i="5"/>
  <c r="Q592" i="5"/>
  <c r="I586" i="5"/>
  <c r="Q586" i="5"/>
  <c r="I581" i="5"/>
  <c r="Q581" i="5"/>
  <c r="I576" i="5"/>
  <c r="Q576" i="5"/>
  <c r="I570" i="5"/>
  <c r="Q570" i="5"/>
  <c r="I565" i="5"/>
  <c r="Q565" i="5"/>
  <c r="I560" i="5"/>
  <c r="Q560" i="5"/>
  <c r="I554" i="5"/>
  <c r="Q554" i="5"/>
  <c r="I549" i="5"/>
  <c r="Q549" i="5"/>
  <c r="I544" i="5"/>
  <c r="Q544" i="5"/>
  <c r="I538" i="5"/>
  <c r="Q538" i="5"/>
  <c r="I533" i="5"/>
  <c r="Q533" i="5"/>
  <c r="I528" i="5"/>
  <c r="Q528" i="5"/>
  <c r="I522" i="5"/>
  <c r="Q522" i="5"/>
  <c r="I517" i="5"/>
  <c r="Q517" i="5"/>
  <c r="I512" i="5"/>
  <c r="Q512" i="5"/>
  <c r="I506" i="5"/>
  <c r="Q506" i="5"/>
  <c r="I501" i="5"/>
  <c r="Q501" i="5"/>
  <c r="I496" i="5"/>
  <c r="Q496" i="5"/>
  <c r="I490" i="5"/>
  <c r="Q490" i="5"/>
  <c r="I485" i="5"/>
  <c r="Q485" i="5"/>
  <c r="I480" i="5"/>
  <c r="Q480" i="5"/>
  <c r="I474" i="5"/>
  <c r="Q474" i="5"/>
  <c r="I469" i="5"/>
  <c r="Q469" i="5"/>
  <c r="I464" i="5"/>
  <c r="Q464" i="5"/>
  <c r="I456" i="5"/>
  <c r="Q456" i="5"/>
  <c r="I449" i="5"/>
  <c r="Q449" i="5"/>
  <c r="I443" i="5"/>
  <c r="Q443" i="5"/>
  <c r="I435" i="5"/>
  <c r="Q435" i="5"/>
  <c r="I428" i="5"/>
  <c r="Q428" i="5"/>
  <c r="I421" i="5"/>
  <c r="Q421" i="5"/>
  <c r="I413" i="5"/>
  <c r="Q413" i="5"/>
  <c r="I407" i="5"/>
  <c r="Q407" i="5"/>
  <c r="I400" i="5"/>
  <c r="Q400" i="5"/>
  <c r="I392" i="5"/>
  <c r="Q392" i="5"/>
  <c r="I385" i="5"/>
  <c r="Q385" i="5"/>
  <c r="I379" i="5"/>
  <c r="Q379" i="5"/>
  <c r="I371" i="5"/>
  <c r="Q371" i="5"/>
  <c r="I364" i="5"/>
  <c r="Q364" i="5"/>
  <c r="I357" i="5"/>
  <c r="Q357" i="5"/>
  <c r="I349" i="5"/>
  <c r="Q349" i="5"/>
  <c r="I343" i="5"/>
  <c r="Q343" i="5"/>
  <c r="I336" i="5"/>
  <c r="Q336" i="5"/>
  <c r="I326" i="5"/>
  <c r="Q326" i="5"/>
  <c r="I317" i="5"/>
  <c r="Q317" i="5"/>
  <c r="I309" i="5"/>
  <c r="Q309" i="5"/>
  <c r="I298" i="5"/>
  <c r="Q298" i="5"/>
  <c r="I289" i="5"/>
  <c r="Q289" i="5"/>
  <c r="I279" i="5"/>
  <c r="Q279" i="5"/>
  <c r="I269" i="5"/>
  <c r="Q269" i="5"/>
  <c r="I261" i="5"/>
  <c r="Q261" i="5"/>
  <c r="I251" i="5"/>
  <c r="Q251" i="5"/>
  <c r="I241" i="5"/>
  <c r="Q241" i="5"/>
  <c r="I231" i="5"/>
  <c r="Q231" i="5"/>
  <c r="I223" i="5"/>
  <c r="Q223" i="5"/>
  <c r="I213" i="5"/>
  <c r="Q213" i="5"/>
  <c r="I203" i="5"/>
  <c r="Q203" i="5"/>
  <c r="I194" i="5"/>
  <c r="Q194" i="5"/>
  <c r="I183" i="5"/>
  <c r="Q183" i="5"/>
  <c r="I175" i="5"/>
  <c r="Q175" i="5"/>
  <c r="I166" i="5"/>
  <c r="Q166" i="5"/>
  <c r="I155" i="5"/>
  <c r="Q155" i="5"/>
  <c r="I142" i="5"/>
  <c r="Q142" i="5"/>
  <c r="I130" i="5"/>
  <c r="Q130" i="5"/>
  <c r="I114" i="5"/>
  <c r="Q114" i="5"/>
  <c r="I101" i="5"/>
  <c r="Q101" i="5"/>
  <c r="I86" i="5"/>
  <c r="Q86" i="5"/>
  <c r="I70" i="5"/>
  <c r="Q70" i="5"/>
  <c r="I58" i="5"/>
  <c r="Q58" i="5"/>
  <c r="I45" i="5"/>
  <c r="Q45" i="5"/>
  <c r="I29" i="5"/>
  <c r="Q29" i="5"/>
  <c r="I14" i="5"/>
  <c r="Q14" i="5"/>
  <c r="I9" i="5"/>
  <c r="Q9" i="5"/>
  <c r="I17" i="5"/>
  <c r="Q17" i="5"/>
  <c r="I25" i="5"/>
  <c r="Q25" i="5"/>
  <c r="I33" i="5"/>
  <c r="Q33" i="5"/>
  <c r="I41" i="5"/>
  <c r="Q41" i="5"/>
  <c r="I49" i="5"/>
  <c r="Q49" i="5"/>
  <c r="I57" i="5"/>
  <c r="Q57" i="5"/>
  <c r="I65" i="5"/>
  <c r="Q65" i="5"/>
  <c r="I73" i="5"/>
  <c r="Q73" i="5"/>
  <c r="I81" i="5"/>
  <c r="Q81" i="5"/>
  <c r="I89" i="5"/>
  <c r="Q89" i="5"/>
  <c r="I97" i="5"/>
  <c r="Q97" i="5"/>
  <c r="I105" i="5"/>
  <c r="Q105" i="5"/>
  <c r="I113" i="5"/>
  <c r="Q113" i="5"/>
  <c r="I121" i="5"/>
  <c r="Q121" i="5"/>
  <c r="I129" i="5"/>
  <c r="Q129" i="5"/>
  <c r="I137" i="5"/>
  <c r="Q137" i="5"/>
  <c r="I145" i="5"/>
  <c r="Q145" i="5"/>
  <c r="I153" i="5"/>
  <c r="Q153" i="5"/>
  <c r="I158" i="5"/>
  <c r="Q158" i="5"/>
  <c r="I163" i="5"/>
  <c r="Q163" i="5"/>
  <c r="I169" i="5"/>
  <c r="Q169" i="5"/>
  <c r="I174" i="5"/>
  <c r="Q174" i="5"/>
  <c r="I179" i="5"/>
  <c r="Q179" i="5"/>
  <c r="I185" i="5"/>
  <c r="Q185" i="5"/>
  <c r="I190" i="5"/>
  <c r="Q190" i="5"/>
  <c r="I195" i="5"/>
  <c r="Q195" i="5"/>
  <c r="I201" i="5"/>
  <c r="Q201" i="5"/>
  <c r="I206" i="5"/>
  <c r="Q206" i="5"/>
  <c r="I211" i="5"/>
  <c r="Q211" i="5"/>
  <c r="I217" i="5"/>
  <c r="Q217" i="5"/>
  <c r="I222" i="5"/>
  <c r="Q222" i="5"/>
  <c r="I227" i="5"/>
  <c r="Q227" i="5"/>
  <c r="I233" i="5"/>
  <c r="Q233" i="5"/>
  <c r="I238" i="5"/>
  <c r="Q238" i="5"/>
  <c r="I243" i="5"/>
  <c r="Q243" i="5"/>
  <c r="I249" i="5"/>
  <c r="Q249" i="5"/>
  <c r="I254" i="5"/>
  <c r="Q254" i="5"/>
  <c r="I259" i="5"/>
  <c r="Q259" i="5"/>
  <c r="I265" i="5"/>
  <c r="Q265" i="5"/>
  <c r="I270" i="5"/>
  <c r="Q270" i="5"/>
  <c r="I275" i="5"/>
  <c r="Q275" i="5"/>
  <c r="I281" i="5"/>
  <c r="Q281" i="5"/>
  <c r="I286" i="5"/>
  <c r="Q286" i="5"/>
  <c r="I291" i="5"/>
  <c r="Q291" i="5"/>
  <c r="I297" i="5"/>
  <c r="Q297" i="5"/>
  <c r="I302" i="5"/>
  <c r="Q302" i="5"/>
  <c r="I307" i="5"/>
  <c r="Q307" i="5"/>
  <c r="I313" i="5"/>
  <c r="Q313" i="5"/>
  <c r="I318" i="5"/>
  <c r="Q318" i="5"/>
  <c r="I323" i="5"/>
  <c r="Q323" i="5"/>
  <c r="I329" i="5"/>
  <c r="Q329" i="5"/>
  <c r="I334" i="5"/>
  <c r="Q334" i="5"/>
  <c r="I338" i="5"/>
  <c r="Q338" i="5"/>
  <c r="I342" i="5"/>
  <c r="Q342" i="5"/>
  <c r="I346" i="5"/>
  <c r="Q346" i="5"/>
  <c r="I350" i="5"/>
  <c r="Q350" i="5"/>
  <c r="I354" i="5"/>
  <c r="Q354" i="5"/>
  <c r="I358" i="5"/>
  <c r="Q358" i="5"/>
  <c r="I362" i="5"/>
  <c r="Q362" i="5"/>
  <c r="I366" i="5"/>
  <c r="Q366" i="5"/>
  <c r="I370" i="5"/>
  <c r="Q370" i="5"/>
  <c r="I374" i="5"/>
  <c r="Q374" i="5"/>
  <c r="I378" i="5"/>
  <c r="Q378" i="5"/>
  <c r="I382" i="5"/>
  <c r="Q382" i="5"/>
  <c r="I386" i="5"/>
  <c r="Q386" i="5"/>
  <c r="I390" i="5"/>
  <c r="Q390" i="5"/>
  <c r="I394" i="5"/>
  <c r="Q394" i="5"/>
  <c r="I398" i="5"/>
  <c r="Q398" i="5"/>
  <c r="I402" i="5"/>
  <c r="Q402" i="5"/>
  <c r="I406" i="5"/>
  <c r="Q406" i="5"/>
  <c r="I410" i="5"/>
  <c r="Q410" i="5"/>
  <c r="I414" i="5"/>
  <c r="Q414" i="5"/>
  <c r="I418" i="5"/>
  <c r="Q418" i="5"/>
  <c r="I422" i="5"/>
  <c r="Q422" i="5"/>
  <c r="I426" i="5"/>
  <c r="Q426" i="5"/>
  <c r="I430" i="5"/>
  <c r="Q430" i="5"/>
  <c r="I434" i="5"/>
  <c r="Q434" i="5"/>
  <c r="I438" i="5"/>
  <c r="Q438" i="5"/>
  <c r="I442" i="5"/>
  <c r="Q442" i="5"/>
  <c r="I446" i="5"/>
  <c r="Q446" i="5"/>
  <c r="I450" i="5"/>
  <c r="Q450" i="5"/>
  <c r="I454" i="5"/>
  <c r="Q454" i="5"/>
  <c r="I458" i="5"/>
  <c r="Q458" i="5"/>
  <c r="I462" i="5"/>
  <c r="Q462" i="5"/>
  <c r="I10" i="5"/>
  <c r="Q10" i="5"/>
  <c r="I21" i="5"/>
  <c r="Q21" i="5"/>
  <c r="I30" i="5"/>
  <c r="Q30" i="5"/>
  <c r="I42" i="5"/>
  <c r="Q42" i="5"/>
  <c r="I53" i="5"/>
  <c r="Q53" i="5"/>
  <c r="I62" i="5"/>
  <c r="Q62" i="5"/>
  <c r="I74" i="5"/>
  <c r="Q74" i="5"/>
  <c r="I85" i="5"/>
  <c r="Q85" i="5"/>
  <c r="I94" i="5"/>
  <c r="Q94" i="5"/>
  <c r="I106" i="5"/>
  <c r="Q106" i="5"/>
  <c r="I117" i="5"/>
  <c r="Q117" i="5"/>
  <c r="I126" i="5"/>
  <c r="Q126" i="5"/>
  <c r="I138" i="5"/>
  <c r="Q138" i="5"/>
  <c r="I149" i="5"/>
  <c r="Q149" i="5"/>
  <c r="I157" i="5"/>
  <c r="Q157" i="5"/>
  <c r="I165" i="5"/>
  <c r="Q165" i="5"/>
  <c r="I171" i="5"/>
  <c r="Q171" i="5"/>
  <c r="I178" i="5"/>
  <c r="Q178" i="5"/>
  <c r="I186" i="5"/>
  <c r="Q186" i="5"/>
  <c r="I193" i="5"/>
  <c r="Q193" i="5"/>
  <c r="I199" i="5"/>
  <c r="Q199" i="5"/>
  <c r="I207" i="5"/>
  <c r="Q207" i="5"/>
  <c r="I214" i="5"/>
  <c r="Q214" i="5"/>
  <c r="I221" i="5"/>
  <c r="Q221" i="5"/>
  <c r="I229" i="5"/>
  <c r="Q229" i="5"/>
  <c r="I235" i="5"/>
  <c r="Q235" i="5"/>
  <c r="I242" i="5"/>
  <c r="Q242" i="5"/>
  <c r="I250" i="5"/>
  <c r="Q250" i="5"/>
  <c r="I257" i="5"/>
  <c r="Q257" i="5"/>
  <c r="I263" i="5"/>
  <c r="Q263" i="5"/>
  <c r="I271" i="5"/>
  <c r="Q271" i="5"/>
  <c r="I278" i="5"/>
  <c r="Q278" i="5"/>
  <c r="I285" i="5"/>
  <c r="Q285" i="5"/>
  <c r="I293" i="5"/>
  <c r="Q293" i="5"/>
  <c r="I299" i="5"/>
  <c r="Q299" i="5"/>
  <c r="I306" i="5"/>
  <c r="Q306" i="5"/>
  <c r="I314" i="5"/>
  <c r="Q314" i="5"/>
  <c r="I321" i="5"/>
  <c r="Q321" i="5"/>
  <c r="I327" i="5"/>
  <c r="Q327" i="5"/>
  <c r="I335" i="5"/>
  <c r="Q335" i="5"/>
  <c r="I340" i="5"/>
  <c r="Q340" i="5"/>
  <c r="I345" i="5"/>
  <c r="Q345" i="5"/>
  <c r="I351" i="5"/>
  <c r="Q351" i="5"/>
  <c r="I356" i="5"/>
  <c r="Q356" i="5"/>
  <c r="I361" i="5"/>
  <c r="Q361" i="5"/>
  <c r="I367" i="5"/>
  <c r="Q367" i="5"/>
  <c r="I372" i="5"/>
  <c r="Q372" i="5"/>
  <c r="I377" i="5"/>
  <c r="Q377" i="5"/>
  <c r="I383" i="5"/>
  <c r="Q383" i="5"/>
  <c r="I388" i="5"/>
  <c r="Q388" i="5"/>
  <c r="I393" i="5"/>
  <c r="Q393" i="5"/>
  <c r="I399" i="5"/>
  <c r="Q399" i="5"/>
  <c r="I404" i="5"/>
  <c r="Q404" i="5"/>
  <c r="I409" i="5"/>
  <c r="Q409" i="5"/>
  <c r="I415" i="5"/>
  <c r="Q415" i="5"/>
  <c r="I420" i="5"/>
  <c r="Q420" i="5"/>
  <c r="I425" i="5"/>
  <c r="Q425" i="5"/>
  <c r="I431" i="5"/>
  <c r="Q431" i="5"/>
  <c r="I436" i="5"/>
  <c r="Q436" i="5"/>
  <c r="I441" i="5"/>
  <c r="Q441" i="5"/>
  <c r="I447" i="5"/>
  <c r="Q447" i="5"/>
  <c r="I452" i="5"/>
  <c r="Q452" i="5"/>
  <c r="I457" i="5"/>
  <c r="Q457" i="5"/>
  <c r="I463" i="5"/>
  <c r="Q463" i="5"/>
  <c r="I467" i="5"/>
  <c r="Q467" i="5"/>
  <c r="I471" i="5"/>
  <c r="Q471" i="5"/>
  <c r="I475" i="5"/>
  <c r="Q475" i="5"/>
  <c r="I479" i="5"/>
  <c r="Q479" i="5"/>
  <c r="I483" i="5"/>
  <c r="Q483" i="5"/>
  <c r="I487" i="5"/>
  <c r="Q487" i="5"/>
  <c r="I491" i="5"/>
  <c r="Q491" i="5"/>
  <c r="I495" i="5"/>
  <c r="Q495" i="5"/>
  <c r="I499" i="5"/>
  <c r="Q499" i="5"/>
  <c r="I503" i="5"/>
  <c r="Q503" i="5"/>
  <c r="I507" i="5"/>
  <c r="Q507" i="5"/>
  <c r="I511" i="5"/>
  <c r="Q511" i="5"/>
  <c r="I515" i="5"/>
  <c r="Q515" i="5"/>
  <c r="I519" i="5"/>
  <c r="Q519" i="5"/>
  <c r="I523" i="5"/>
  <c r="Q523" i="5"/>
  <c r="I527" i="5"/>
  <c r="Q527" i="5"/>
  <c r="I531" i="5"/>
  <c r="Q531" i="5"/>
  <c r="I535" i="5"/>
  <c r="Q535" i="5"/>
  <c r="I539" i="5"/>
  <c r="Q539" i="5"/>
  <c r="I543" i="5"/>
  <c r="Q543" i="5"/>
  <c r="I547" i="5"/>
  <c r="Q547" i="5"/>
  <c r="I551" i="5"/>
  <c r="Q551" i="5"/>
  <c r="I555" i="5"/>
  <c r="Q555" i="5"/>
  <c r="I559" i="5"/>
  <c r="Q559" i="5"/>
  <c r="I563" i="5"/>
  <c r="Q563" i="5"/>
  <c r="I567" i="5"/>
  <c r="Q567" i="5"/>
  <c r="I571" i="5"/>
  <c r="Q571" i="5"/>
  <c r="I575" i="5"/>
  <c r="Q575" i="5"/>
  <c r="I579" i="5"/>
  <c r="Q579" i="5"/>
  <c r="I583" i="5"/>
  <c r="Q583" i="5"/>
  <c r="I587" i="5"/>
  <c r="Q587" i="5"/>
  <c r="I591" i="5"/>
  <c r="Q591" i="5"/>
  <c r="I595" i="5"/>
  <c r="Q595" i="5"/>
  <c r="I599" i="5"/>
  <c r="Q599" i="5"/>
  <c r="I603" i="5"/>
  <c r="Q603" i="5"/>
  <c r="I607" i="5"/>
  <c r="Q607" i="5"/>
  <c r="I611" i="5"/>
  <c r="Q611" i="5"/>
  <c r="I615" i="5"/>
  <c r="Q615" i="5"/>
  <c r="I619" i="5"/>
  <c r="Q619" i="5"/>
  <c r="I623" i="5"/>
  <c r="Q623" i="5"/>
  <c r="I627" i="5"/>
  <c r="Q627" i="5"/>
  <c r="I631" i="5"/>
  <c r="Q631" i="5"/>
  <c r="I635" i="5"/>
  <c r="Q635" i="5"/>
  <c r="I639" i="5"/>
  <c r="Q639" i="5"/>
  <c r="I643" i="5"/>
  <c r="Q643" i="5"/>
  <c r="I647" i="5"/>
  <c r="Q647" i="5"/>
  <c r="I651" i="5"/>
  <c r="Q651" i="5"/>
  <c r="I655" i="5"/>
  <c r="Q655" i="5"/>
  <c r="I659" i="5"/>
  <c r="Q659" i="5"/>
  <c r="I663" i="5"/>
  <c r="Q663" i="5"/>
  <c r="I667" i="5"/>
  <c r="Q667" i="5"/>
  <c r="I671" i="5"/>
  <c r="Q671" i="5"/>
  <c r="I675" i="5"/>
  <c r="Q675" i="5"/>
  <c r="I679" i="5"/>
  <c r="Q679" i="5"/>
  <c r="I683" i="5"/>
  <c r="Q683" i="5"/>
  <c r="I687" i="5"/>
  <c r="Q687" i="5"/>
  <c r="I691" i="5"/>
  <c r="Q691" i="5"/>
  <c r="I695" i="5"/>
  <c r="Q695" i="5"/>
  <c r="I699" i="5"/>
  <c r="Q699" i="5"/>
  <c r="I703" i="5"/>
  <c r="Q703" i="5"/>
  <c r="I707" i="5"/>
  <c r="Q707" i="5"/>
  <c r="I711" i="5"/>
  <c r="Q711" i="5"/>
  <c r="I715" i="5"/>
  <c r="Q715" i="5"/>
  <c r="I719" i="5"/>
  <c r="Q719" i="5"/>
  <c r="I723" i="5"/>
  <c r="Q723" i="5"/>
  <c r="I727" i="5"/>
  <c r="Q727" i="5"/>
  <c r="I731" i="5"/>
  <c r="Q731" i="5"/>
  <c r="I735" i="5"/>
  <c r="Q735" i="5"/>
  <c r="I739" i="5"/>
  <c r="Q739" i="5"/>
  <c r="I743" i="5"/>
  <c r="Q743" i="5"/>
  <c r="I747" i="5"/>
  <c r="Q747" i="5"/>
  <c r="I751" i="5"/>
  <c r="Q751" i="5"/>
  <c r="I755" i="5"/>
  <c r="Q755" i="5"/>
  <c r="I759" i="5"/>
  <c r="Q759" i="5"/>
  <c r="I763" i="5"/>
  <c r="Q763" i="5"/>
  <c r="I767" i="5"/>
  <c r="Q767" i="5"/>
  <c r="I771" i="5"/>
  <c r="Q771" i="5"/>
  <c r="I775" i="5"/>
  <c r="Q775" i="5"/>
  <c r="I779" i="5"/>
  <c r="Q779" i="5"/>
  <c r="I783" i="5"/>
  <c r="Q783" i="5"/>
  <c r="I787" i="5"/>
  <c r="Q787" i="5"/>
  <c r="I791" i="5"/>
  <c r="Q791" i="5"/>
  <c r="I795" i="5"/>
  <c r="Q795" i="5"/>
  <c r="I799" i="5"/>
  <c r="Q799" i="5"/>
  <c r="I803" i="5"/>
  <c r="Q803" i="5"/>
  <c r="I807" i="5"/>
  <c r="Q807" i="5"/>
  <c r="I811" i="5"/>
  <c r="Q811" i="5"/>
  <c r="I815" i="5"/>
  <c r="Q815" i="5"/>
  <c r="I819" i="5"/>
  <c r="Q819" i="5"/>
  <c r="I823" i="5"/>
  <c r="Q823" i="5"/>
  <c r="I827" i="5"/>
  <c r="Q827" i="5"/>
  <c r="I831" i="5"/>
  <c r="Q831" i="5"/>
  <c r="I835" i="5"/>
  <c r="Q835" i="5"/>
  <c r="I839" i="5"/>
  <c r="Q839" i="5"/>
  <c r="I843" i="5"/>
  <c r="Q843" i="5"/>
  <c r="I847" i="5"/>
  <c r="Q847" i="5"/>
  <c r="I851" i="5"/>
  <c r="Q851" i="5"/>
  <c r="I855" i="5"/>
  <c r="Q855" i="5"/>
  <c r="I859" i="5"/>
  <c r="Q859" i="5"/>
  <c r="I863" i="5"/>
  <c r="Q863" i="5"/>
  <c r="I867" i="5"/>
  <c r="Q867" i="5"/>
  <c r="I871" i="5"/>
  <c r="Q871" i="5"/>
  <c r="I875" i="5"/>
  <c r="Q875" i="5"/>
  <c r="I879" i="5"/>
  <c r="Q879" i="5"/>
  <c r="I883" i="5"/>
  <c r="Q883" i="5"/>
  <c r="I887" i="5"/>
  <c r="Q887" i="5"/>
  <c r="I1009" i="5"/>
  <c r="Q1009" i="5"/>
  <c r="I1005" i="5"/>
  <c r="Q1005" i="5"/>
  <c r="I1001" i="5"/>
  <c r="Q1001" i="5"/>
  <c r="I997" i="5"/>
  <c r="Q997" i="5"/>
  <c r="I993" i="5"/>
  <c r="Q993" i="5"/>
  <c r="I989" i="5"/>
  <c r="Q989" i="5"/>
  <c r="I985" i="5"/>
  <c r="Q985" i="5"/>
  <c r="I981" i="5"/>
  <c r="Q981" i="5"/>
  <c r="I977" i="5"/>
  <c r="Q977" i="5"/>
  <c r="I973" i="5"/>
  <c r="Q973" i="5"/>
  <c r="I969" i="5"/>
  <c r="Q969" i="5"/>
  <c r="I965" i="5"/>
  <c r="Q965" i="5"/>
  <c r="I961" i="5"/>
  <c r="Q961" i="5"/>
  <c r="I957" i="5"/>
  <c r="Q957" i="5"/>
  <c r="I953" i="5"/>
  <c r="Q953" i="5"/>
  <c r="I949" i="5"/>
  <c r="Q949" i="5"/>
  <c r="I945" i="5"/>
  <c r="Q945" i="5"/>
  <c r="I941" i="5"/>
  <c r="Q941" i="5"/>
  <c r="I937" i="5"/>
  <c r="Q937" i="5"/>
  <c r="I933" i="5"/>
  <c r="Q933" i="5"/>
  <c r="I929" i="5"/>
  <c r="Q929" i="5"/>
  <c r="I925" i="5"/>
  <c r="Q925" i="5"/>
  <c r="I921" i="5"/>
  <c r="Q921" i="5"/>
  <c r="I917" i="5"/>
  <c r="Q917" i="5"/>
  <c r="I913" i="5"/>
  <c r="Q913" i="5"/>
  <c r="I909" i="5"/>
  <c r="Q909" i="5"/>
  <c r="I905" i="5"/>
  <c r="Q905" i="5"/>
  <c r="I901" i="5"/>
  <c r="Q901" i="5"/>
  <c r="I897" i="5"/>
  <c r="Q897" i="5"/>
  <c r="I893" i="5"/>
  <c r="Q893" i="5"/>
  <c r="I889" i="5"/>
  <c r="Q889" i="5"/>
  <c r="I884" i="5"/>
  <c r="Q884" i="5"/>
  <c r="I878" i="5"/>
  <c r="Q878" i="5"/>
  <c r="I873" i="5"/>
  <c r="Q873" i="5"/>
  <c r="I868" i="5"/>
  <c r="Q868" i="5"/>
  <c r="I862" i="5"/>
  <c r="Q862" i="5"/>
  <c r="I857" i="5"/>
  <c r="Q857" i="5"/>
  <c r="I852" i="5"/>
  <c r="Q852" i="5"/>
  <c r="I846" i="5"/>
  <c r="Q846" i="5"/>
  <c r="I841" i="5"/>
  <c r="Q841" i="5"/>
  <c r="I836" i="5"/>
  <c r="Q836" i="5"/>
  <c r="I830" i="5"/>
  <c r="Q830" i="5"/>
  <c r="I825" i="5"/>
  <c r="Q825" i="5"/>
  <c r="I820" i="5"/>
  <c r="Q820" i="5"/>
  <c r="I814" i="5"/>
  <c r="Q814" i="5"/>
  <c r="I809" i="5"/>
  <c r="Q809" i="5"/>
  <c r="I804" i="5"/>
  <c r="Q804" i="5"/>
  <c r="I798" i="5"/>
  <c r="Q798" i="5"/>
  <c r="I793" i="5"/>
  <c r="Q793" i="5"/>
  <c r="I788" i="5"/>
  <c r="Q788" i="5"/>
  <c r="I782" i="5"/>
  <c r="Q782" i="5"/>
  <c r="I777" i="5"/>
  <c r="Q777" i="5"/>
  <c r="I772" i="5"/>
  <c r="Q772" i="5"/>
  <c r="I766" i="5"/>
  <c r="Q766" i="5"/>
  <c r="I761" i="5"/>
  <c r="Q761" i="5"/>
  <c r="I756" i="5"/>
  <c r="Q756" i="5"/>
  <c r="I750" i="5"/>
  <c r="Q750" i="5"/>
  <c r="I745" i="5"/>
  <c r="Q745" i="5"/>
  <c r="I740" i="5"/>
  <c r="Q740" i="5"/>
  <c r="I734" i="5"/>
  <c r="Q734" i="5"/>
  <c r="I729" i="5"/>
  <c r="Q729" i="5"/>
  <c r="I724" i="5"/>
  <c r="Q724" i="5"/>
  <c r="I718" i="5"/>
  <c r="Q718" i="5"/>
  <c r="I713" i="5"/>
  <c r="Q713" i="5"/>
  <c r="I708" i="5"/>
  <c r="Q708" i="5"/>
  <c r="I702" i="5"/>
  <c r="Q702" i="5"/>
  <c r="I697" i="5"/>
  <c r="Q697" i="5"/>
  <c r="I692" i="5"/>
  <c r="Q692" i="5"/>
  <c r="I686" i="5"/>
  <c r="Q686" i="5"/>
  <c r="I681" i="5"/>
  <c r="Q681" i="5"/>
  <c r="I676" i="5"/>
  <c r="Q676" i="5"/>
  <c r="I670" i="5"/>
  <c r="Q670" i="5"/>
  <c r="I665" i="5"/>
  <c r="Q665" i="5"/>
  <c r="I660" i="5"/>
  <c r="Q660" i="5"/>
  <c r="I654" i="5"/>
  <c r="Q654" i="5"/>
  <c r="I649" i="5"/>
  <c r="Q649" i="5"/>
  <c r="I644" i="5"/>
  <c r="Q644" i="5"/>
  <c r="I638" i="5"/>
  <c r="Q638" i="5"/>
  <c r="I633" i="5"/>
  <c r="Q633" i="5"/>
  <c r="I628" i="5"/>
  <c r="Q628" i="5"/>
  <c r="I622" i="5"/>
  <c r="Q622" i="5"/>
  <c r="I617" i="5"/>
  <c r="Q617" i="5"/>
  <c r="I612" i="5"/>
  <c r="Q612" i="5"/>
  <c r="I606" i="5"/>
  <c r="Q606" i="5"/>
  <c r="I601" i="5"/>
  <c r="Q601" i="5"/>
  <c r="I596" i="5"/>
  <c r="Q596" i="5"/>
  <c r="I590" i="5"/>
  <c r="Q590" i="5"/>
  <c r="I585" i="5"/>
  <c r="Q585" i="5"/>
  <c r="I580" i="5"/>
  <c r="Q580" i="5"/>
  <c r="I574" i="5"/>
  <c r="Q574" i="5"/>
  <c r="I569" i="5"/>
  <c r="Q569" i="5"/>
  <c r="I564" i="5"/>
  <c r="Q564" i="5"/>
  <c r="I558" i="5"/>
  <c r="Q558" i="5"/>
  <c r="I553" i="5"/>
  <c r="Q553" i="5"/>
  <c r="I548" i="5"/>
  <c r="Q548" i="5"/>
  <c r="I542" i="5"/>
  <c r="Q542" i="5"/>
  <c r="I537" i="5"/>
  <c r="Q537" i="5"/>
  <c r="I532" i="5"/>
  <c r="Q532" i="5"/>
  <c r="I526" i="5"/>
  <c r="Q526" i="5"/>
  <c r="I521" i="5"/>
  <c r="Q521" i="5"/>
  <c r="I516" i="5"/>
  <c r="Q516" i="5"/>
  <c r="I510" i="5"/>
  <c r="Q510" i="5"/>
  <c r="I505" i="5"/>
  <c r="Q505" i="5"/>
  <c r="I500" i="5"/>
  <c r="Q500" i="5"/>
  <c r="I494" i="5"/>
  <c r="Q494" i="5"/>
  <c r="I489" i="5"/>
  <c r="Q489" i="5"/>
  <c r="I484" i="5"/>
  <c r="Q484" i="5"/>
  <c r="I478" i="5"/>
  <c r="Q478" i="5"/>
  <c r="I473" i="5"/>
  <c r="Q473" i="5"/>
  <c r="I468" i="5"/>
  <c r="Q468" i="5"/>
  <c r="I461" i="5"/>
  <c r="Q461" i="5"/>
  <c r="I455" i="5"/>
  <c r="Q455" i="5"/>
  <c r="I448" i="5"/>
  <c r="Q448" i="5"/>
  <c r="I440" i="5"/>
  <c r="Q440" i="5"/>
  <c r="I433" i="5"/>
  <c r="Q433" i="5"/>
  <c r="I427" i="5"/>
  <c r="Q427" i="5"/>
  <c r="I419" i="5"/>
  <c r="Q419" i="5"/>
  <c r="I412" i="5"/>
  <c r="Q412" i="5"/>
  <c r="I405" i="5"/>
  <c r="Q405" i="5"/>
  <c r="I397" i="5"/>
  <c r="Q397" i="5"/>
  <c r="I391" i="5"/>
  <c r="Q391" i="5"/>
  <c r="I384" i="5"/>
  <c r="Q384" i="5"/>
  <c r="I376" i="5"/>
  <c r="Q376" i="5"/>
  <c r="I369" i="5"/>
  <c r="Q369" i="5"/>
  <c r="I363" i="5"/>
  <c r="Q363" i="5"/>
  <c r="I355" i="5"/>
  <c r="Q355" i="5"/>
  <c r="I348" i="5"/>
  <c r="Q348" i="5"/>
  <c r="I341" i="5"/>
  <c r="Q341" i="5"/>
  <c r="I333" i="5"/>
  <c r="Q333" i="5"/>
  <c r="I325" i="5"/>
  <c r="Q325" i="5"/>
  <c r="I315" i="5"/>
  <c r="Q315" i="5"/>
  <c r="I305" i="5"/>
  <c r="Q305" i="5"/>
  <c r="I295" i="5"/>
  <c r="Q295" i="5"/>
  <c r="I287" i="5"/>
  <c r="Q287" i="5"/>
  <c r="I277" i="5"/>
  <c r="Q277" i="5"/>
  <c r="I267" i="5"/>
  <c r="Q267" i="5"/>
  <c r="I258" i="5"/>
  <c r="Q258" i="5"/>
  <c r="I247" i="5"/>
  <c r="Q247" i="5"/>
  <c r="I239" i="5"/>
  <c r="Q239" i="5"/>
  <c r="I230" i="5"/>
  <c r="Q230" i="5"/>
  <c r="I219" i="5"/>
  <c r="Q219" i="5"/>
  <c r="I210" i="5"/>
  <c r="Q210" i="5"/>
  <c r="I202" i="5"/>
  <c r="Q202" i="5"/>
  <c r="I191" i="5"/>
  <c r="Q191" i="5"/>
  <c r="I182" i="5"/>
  <c r="Q182" i="5"/>
  <c r="I173" i="5"/>
  <c r="Q173" i="5"/>
  <c r="I162" i="5"/>
  <c r="Q162" i="5"/>
  <c r="I154" i="5"/>
  <c r="Q154" i="5"/>
  <c r="I141" i="5"/>
  <c r="Q141" i="5"/>
  <c r="I125" i="5"/>
  <c r="Q125" i="5"/>
  <c r="I110" i="5"/>
  <c r="Q110" i="5"/>
  <c r="I98" i="5"/>
  <c r="Q98" i="5"/>
  <c r="I82" i="5"/>
  <c r="Q82" i="5"/>
  <c r="I69" i="5"/>
  <c r="Q69" i="5"/>
  <c r="I54" i="5"/>
  <c r="Q54" i="5"/>
  <c r="I38" i="5"/>
  <c r="Q38" i="5"/>
  <c r="I26" i="5"/>
  <c r="Q26" i="5"/>
  <c r="I13" i="5"/>
  <c r="Q13" i="5"/>
  <c r="I3" i="5"/>
  <c r="Q3" i="5"/>
  <c r="I7" i="5"/>
  <c r="Q7" i="5"/>
  <c r="I11" i="5"/>
  <c r="Q11" i="5"/>
  <c r="I15" i="5"/>
  <c r="Q15" i="5"/>
  <c r="I19" i="5"/>
  <c r="Q19" i="5"/>
  <c r="I23" i="5"/>
  <c r="Q23" i="5"/>
  <c r="I27" i="5"/>
  <c r="Q27" i="5"/>
  <c r="I31" i="5"/>
  <c r="Q31" i="5"/>
  <c r="I35" i="5"/>
  <c r="Q35" i="5"/>
  <c r="I39" i="5"/>
  <c r="Q39" i="5"/>
  <c r="I43" i="5"/>
  <c r="Q43" i="5"/>
  <c r="I47" i="5"/>
  <c r="Q47" i="5"/>
  <c r="I51" i="5"/>
  <c r="Q51" i="5"/>
  <c r="I55" i="5"/>
  <c r="Q55" i="5"/>
  <c r="I59" i="5"/>
  <c r="Q59" i="5"/>
  <c r="I63" i="5"/>
  <c r="Q63" i="5"/>
  <c r="I67" i="5"/>
  <c r="Q67" i="5"/>
  <c r="I71" i="5"/>
  <c r="Q71" i="5"/>
  <c r="I75" i="5"/>
  <c r="Q75" i="5"/>
  <c r="I79" i="5"/>
  <c r="Q79" i="5"/>
  <c r="I83" i="5"/>
  <c r="Q83" i="5"/>
  <c r="I87" i="5"/>
  <c r="Q87" i="5"/>
  <c r="I91" i="5"/>
  <c r="Q91" i="5"/>
  <c r="I95" i="5"/>
  <c r="Q95" i="5"/>
  <c r="I99" i="5"/>
  <c r="Q99" i="5"/>
  <c r="I103" i="5"/>
  <c r="Q103" i="5"/>
  <c r="I107" i="5"/>
  <c r="Q107" i="5"/>
  <c r="I111" i="5"/>
  <c r="Q111" i="5"/>
  <c r="I115" i="5"/>
  <c r="Q115" i="5"/>
  <c r="I119" i="5"/>
  <c r="Q119" i="5"/>
  <c r="I123" i="5"/>
  <c r="Q123" i="5"/>
  <c r="I127" i="5"/>
  <c r="Q127" i="5"/>
  <c r="I131" i="5"/>
  <c r="Q131" i="5"/>
  <c r="I135" i="5"/>
  <c r="Q135" i="5"/>
  <c r="I139" i="5"/>
  <c r="Q139" i="5"/>
  <c r="I143" i="5"/>
  <c r="Q143" i="5"/>
  <c r="I147" i="5"/>
  <c r="Q147" i="5"/>
  <c r="I151" i="5"/>
  <c r="Q151" i="5"/>
  <c r="I4" i="5"/>
  <c r="Q4" i="5"/>
  <c r="I8" i="5"/>
  <c r="Q8" i="5"/>
  <c r="I12" i="5"/>
  <c r="Q12" i="5"/>
  <c r="I16" i="5"/>
  <c r="Q16" i="5"/>
  <c r="I20" i="5"/>
  <c r="Q20" i="5"/>
  <c r="I24" i="5"/>
  <c r="Q24" i="5"/>
  <c r="I28" i="5"/>
  <c r="Q28" i="5"/>
  <c r="I32" i="5"/>
  <c r="Q32" i="5"/>
  <c r="I36" i="5"/>
  <c r="Q36" i="5"/>
  <c r="I40" i="5"/>
  <c r="Q40" i="5"/>
  <c r="I44" i="5"/>
  <c r="Q44" i="5"/>
  <c r="I48" i="5"/>
  <c r="Q48" i="5"/>
  <c r="I52" i="5"/>
  <c r="Q52" i="5"/>
  <c r="I56" i="5"/>
  <c r="Q56" i="5"/>
  <c r="I60" i="5"/>
  <c r="Q60" i="5"/>
  <c r="I64" i="5"/>
  <c r="Q64" i="5"/>
  <c r="I68" i="5"/>
  <c r="Q68" i="5"/>
  <c r="I72" i="5"/>
  <c r="Q72" i="5"/>
  <c r="I76" i="5"/>
  <c r="Q76" i="5"/>
  <c r="I80" i="5"/>
  <c r="Q80" i="5"/>
  <c r="I84" i="5"/>
  <c r="Q84" i="5"/>
  <c r="I88" i="5"/>
  <c r="Q88" i="5"/>
  <c r="I92" i="5"/>
  <c r="Q92" i="5"/>
  <c r="I96" i="5"/>
  <c r="Q96" i="5"/>
  <c r="I100" i="5"/>
  <c r="Q100" i="5"/>
  <c r="I104" i="5"/>
  <c r="Q104" i="5"/>
  <c r="I108" i="5"/>
  <c r="Q108" i="5"/>
  <c r="I112" i="5"/>
  <c r="Q112" i="5"/>
  <c r="I116" i="5"/>
  <c r="Q116" i="5"/>
  <c r="I120" i="5"/>
  <c r="Q120" i="5"/>
  <c r="I124" i="5"/>
  <c r="Q124" i="5"/>
  <c r="I128" i="5"/>
  <c r="Q128" i="5"/>
  <c r="I132" i="5"/>
  <c r="Q132" i="5"/>
  <c r="I136" i="5"/>
  <c r="Q136" i="5"/>
  <c r="I140" i="5"/>
  <c r="Q140" i="5"/>
  <c r="I144" i="5"/>
  <c r="Q144" i="5"/>
  <c r="I148" i="5"/>
  <c r="Q148" i="5"/>
  <c r="I152" i="5"/>
  <c r="Q152" i="5"/>
  <c r="I156" i="5"/>
  <c r="Q156" i="5"/>
  <c r="I160" i="5"/>
  <c r="Q160" i="5"/>
  <c r="I164" i="5"/>
  <c r="Q164" i="5"/>
  <c r="I168" i="5"/>
  <c r="Q168" i="5"/>
  <c r="I172" i="5"/>
  <c r="Q172" i="5"/>
  <c r="I176" i="5"/>
  <c r="Q176" i="5"/>
  <c r="I180" i="5"/>
  <c r="Q180" i="5"/>
  <c r="I184" i="5"/>
  <c r="Q184" i="5"/>
  <c r="I188" i="5"/>
  <c r="Q188" i="5"/>
  <c r="I192" i="5"/>
  <c r="Q192" i="5"/>
  <c r="I196" i="5"/>
  <c r="Q196" i="5"/>
  <c r="I200" i="5"/>
  <c r="Q200" i="5"/>
  <c r="I204" i="5"/>
  <c r="Q204" i="5"/>
  <c r="I208" i="5"/>
  <c r="Q208" i="5"/>
  <c r="I212" i="5"/>
  <c r="Q212" i="5"/>
  <c r="I216" i="5"/>
  <c r="Q216" i="5"/>
  <c r="I220" i="5"/>
  <c r="Q220" i="5"/>
  <c r="I224" i="5"/>
  <c r="Q224" i="5"/>
  <c r="I228" i="5"/>
  <c r="Q228" i="5"/>
  <c r="I232" i="5"/>
  <c r="Q232" i="5"/>
  <c r="I236" i="5"/>
  <c r="Q236" i="5"/>
  <c r="I240" i="5"/>
  <c r="Q240" i="5"/>
  <c r="I244" i="5"/>
  <c r="Q244" i="5"/>
  <c r="I248" i="5"/>
  <c r="Q248" i="5"/>
  <c r="I252" i="5"/>
  <c r="Q252" i="5"/>
  <c r="I256" i="5"/>
  <c r="Q256" i="5"/>
  <c r="I260" i="5"/>
  <c r="Q260" i="5"/>
  <c r="I264" i="5"/>
  <c r="Q264" i="5"/>
  <c r="I268" i="5"/>
  <c r="Q268" i="5"/>
  <c r="I272" i="5"/>
  <c r="Q272" i="5"/>
  <c r="I276" i="5"/>
  <c r="Q276" i="5"/>
  <c r="I280" i="5"/>
  <c r="Q280" i="5"/>
  <c r="I284" i="5"/>
  <c r="Q284" i="5"/>
  <c r="I288" i="5"/>
  <c r="Q288" i="5"/>
  <c r="I292" i="5"/>
  <c r="Q292" i="5"/>
  <c r="I296" i="5"/>
  <c r="Q296" i="5"/>
  <c r="I300" i="5"/>
  <c r="Q300" i="5"/>
  <c r="I304" i="5"/>
  <c r="Q304" i="5"/>
  <c r="I308" i="5"/>
  <c r="Q308" i="5"/>
  <c r="I312" i="5"/>
  <c r="Q312" i="5"/>
  <c r="I316" i="5"/>
  <c r="Q316" i="5"/>
  <c r="I320" i="5"/>
  <c r="Q320" i="5"/>
  <c r="I324" i="5"/>
  <c r="Q324" i="5"/>
  <c r="I328" i="5"/>
  <c r="Q328" i="5"/>
  <c r="I332" i="5"/>
  <c r="Q332" i="5"/>
  <c r="G6" i="9"/>
  <c r="F2" i="8"/>
</calcChain>
</file>

<file path=xl/sharedStrings.xml><?xml version="1.0" encoding="utf-8"?>
<sst xmlns="http://schemas.openxmlformats.org/spreadsheetml/2006/main" count="8346" uniqueCount="1433">
  <si>
    <t>Transaction ID</t>
  </si>
  <si>
    <t>Branch</t>
  </si>
  <si>
    <t>Product</t>
  </si>
  <si>
    <t>Quantity</t>
  </si>
  <si>
    <t>Unit Price</t>
  </si>
  <si>
    <t>Customer ID</t>
  </si>
  <si>
    <t>Order Date</t>
  </si>
  <si>
    <t>Return Qty</t>
  </si>
  <si>
    <t>T00001</t>
  </si>
  <si>
    <t>Lagos</t>
  </si>
  <si>
    <t>Pasta</t>
  </si>
  <si>
    <t>N/A</t>
  </si>
  <si>
    <t>C0174</t>
  </si>
  <si>
    <t>T00002</t>
  </si>
  <si>
    <t>Port Harcourt</t>
  </si>
  <si>
    <t>RICE</t>
  </si>
  <si>
    <t>C0220</t>
  </si>
  <si>
    <t>T00003</t>
  </si>
  <si>
    <t>Rice</t>
  </si>
  <si>
    <t>C0002</t>
  </si>
  <si>
    <t>T00004</t>
  </si>
  <si>
    <t>Ibadan</t>
  </si>
  <si>
    <t>Chicken</t>
  </si>
  <si>
    <t>C0013</t>
  </si>
  <si>
    <t>T00005</t>
  </si>
  <si>
    <t>Abuja</t>
  </si>
  <si>
    <t>Bread</t>
  </si>
  <si>
    <t>C0242</t>
  </si>
  <si>
    <t>T00006</t>
  </si>
  <si>
    <t>1</t>
  </si>
  <si>
    <t>C0107</t>
  </si>
  <si>
    <t>T00007</t>
  </si>
  <si>
    <t>Tomato</t>
  </si>
  <si>
    <t>C0131</t>
  </si>
  <si>
    <t>T00008</t>
  </si>
  <si>
    <t>C0035</t>
  </si>
  <si>
    <t>T00009</t>
  </si>
  <si>
    <t>C0227</t>
  </si>
  <si>
    <t>T00010</t>
  </si>
  <si>
    <t>Eggs</t>
  </si>
  <si>
    <t>C0282</t>
  </si>
  <si>
    <t>T00011</t>
  </si>
  <si>
    <t>C0225</t>
  </si>
  <si>
    <t>09/01/2026</t>
  </si>
  <si>
    <t>T00012</t>
  </si>
  <si>
    <t>Milk</t>
  </si>
  <si>
    <t>C0292</t>
  </si>
  <si>
    <t>T00013</t>
  </si>
  <si>
    <t>C0094</t>
  </si>
  <si>
    <t>T00014</t>
  </si>
  <si>
    <t>C0099</t>
  </si>
  <si>
    <t>T00015</t>
  </si>
  <si>
    <t>C0102</t>
  </si>
  <si>
    <t>T00016</t>
  </si>
  <si>
    <t>C0196</t>
  </si>
  <si>
    <t>0</t>
  </si>
  <si>
    <t>T00017</t>
  </si>
  <si>
    <t>C0283</t>
  </si>
  <si>
    <t>T00018</t>
  </si>
  <si>
    <t>C0278</t>
  </si>
  <si>
    <t>T00019</t>
  </si>
  <si>
    <t>C0033</t>
  </si>
  <si>
    <t>T00020</t>
  </si>
  <si>
    <t>C0026</t>
  </si>
  <si>
    <t>T00021</t>
  </si>
  <si>
    <t>21/06/2026</t>
  </si>
  <si>
    <t>T00022</t>
  </si>
  <si>
    <t xml:space="preserve">Pasta </t>
  </si>
  <si>
    <t>C0200</t>
  </si>
  <si>
    <t>T00023</t>
  </si>
  <si>
    <t>Cooking Oil</t>
  </si>
  <si>
    <t>C0103</t>
  </si>
  <si>
    <t>T00024</t>
  </si>
  <si>
    <t>C0057</t>
  </si>
  <si>
    <t>T00025</t>
  </si>
  <si>
    <t>C0052</t>
  </si>
  <si>
    <t>T00026</t>
  </si>
  <si>
    <t>20,000</t>
  </si>
  <si>
    <t>C0019</t>
  </si>
  <si>
    <t>T00027</t>
  </si>
  <si>
    <t>C0212</t>
  </si>
  <si>
    <t>T00028</t>
  </si>
  <si>
    <t>C0159</t>
  </si>
  <si>
    <t>T00029</t>
  </si>
  <si>
    <t>C0295</t>
  </si>
  <si>
    <t>T00030</t>
  </si>
  <si>
    <t>C0206</t>
  </si>
  <si>
    <t>T00031</t>
  </si>
  <si>
    <t>C0151</t>
  </si>
  <si>
    <t>T00032</t>
  </si>
  <si>
    <t>C0261</t>
  </si>
  <si>
    <t>T00033</t>
  </si>
  <si>
    <t>C0218</t>
  </si>
  <si>
    <t>T00034</t>
  </si>
  <si>
    <t>T00035</t>
  </si>
  <si>
    <t>C0236</t>
  </si>
  <si>
    <t>T00036</t>
  </si>
  <si>
    <t>C0179</t>
  </si>
  <si>
    <t>T00037</t>
  </si>
  <si>
    <t>C0238</t>
  </si>
  <si>
    <t>T00038</t>
  </si>
  <si>
    <t>C0136</t>
  </si>
  <si>
    <t>T00039</t>
  </si>
  <si>
    <t>C0058</t>
  </si>
  <si>
    <t>T00040</t>
  </si>
  <si>
    <t xml:space="preserve"> Tomato</t>
  </si>
  <si>
    <t>C0104</t>
  </si>
  <si>
    <t>T00041</t>
  </si>
  <si>
    <t>C0043</t>
  </si>
  <si>
    <t>T00042</t>
  </si>
  <si>
    <t>C0070</t>
  </si>
  <si>
    <t>T00043</t>
  </si>
  <si>
    <t>5</t>
  </si>
  <si>
    <t>C0039</t>
  </si>
  <si>
    <t>T00044</t>
  </si>
  <si>
    <t>C0184</t>
  </si>
  <si>
    <t>T00045</t>
  </si>
  <si>
    <t>C0119</t>
  </si>
  <si>
    <t>T00046</t>
  </si>
  <si>
    <t>C0257</t>
  </si>
  <si>
    <t>T00047</t>
  </si>
  <si>
    <t>C0228</t>
  </si>
  <si>
    <t>T00048</t>
  </si>
  <si>
    <t>C0264</t>
  </si>
  <si>
    <t>T00049</t>
  </si>
  <si>
    <t>C0067</t>
  </si>
  <si>
    <t>T00050</t>
  </si>
  <si>
    <t>T00051</t>
  </si>
  <si>
    <t>C0178</t>
  </si>
  <si>
    <t>T00052</t>
  </si>
  <si>
    <t>milk</t>
  </si>
  <si>
    <t>T00053</t>
  </si>
  <si>
    <t>C0208</t>
  </si>
  <si>
    <t>T00054</t>
  </si>
  <si>
    <t>C0146</t>
  </si>
  <si>
    <t>T00055</t>
  </si>
  <si>
    <t>ABUJA</t>
  </si>
  <si>
    <t>C0083</t>
  </si>
  <si>
    <t>T00056</t>
  </si>
  <si>
    <t>T00057</t>
  </si>
  <si>
    <t>C0254</t>
  </si>
  <si>
    <t>T00058</t>
  </si>
  <si>
    <t>C0222</t>
  </si>
  <si>
    <t>T00059</t>
  </si>
  <si>
    <t>C0189</t>
  </si>
  <si>
    <t>T00060</t>
  </si>
  <si>
    <t>C0155</t>
  </si>
  <si>
    <t>T00061</t>
  </si>
  <si>
    <t>C0036</t>
  </si>
  <si>
    <t>T00062</t>
  </si>
  <si>
    <t>14</t>
  </si>
  <si>
    <t>C0251</t>
  </si>
  <si>
    <t>T00063</t>
  </si>
  <si>
    <t>C0233</t>
  </si>
  <si>
    <t>T00064</t>
  </si>
  <si>
    <t>C0289</t>
  </si>
  <si>
    <t>T00065</t>
  </si>
  <si>
    <t>T00066</t>
  </si>
  <si>
    <t xml:space="preserve"> Chicken</t>
  </si>
  <si>
    <t>C0066</t>
  </si>
  <si>
    <t>T00067</t>
  </si>
  <si>
    <t>C0252</t>
  </si>
  <si>
    <t>T00068</t>
  </si>
  <si>
    <t>C0237</t>
  </si>
  <si>
    <t>11/01/2026</t>
  </si>
  <si>
    <t>T00069</t>
  </si>
  <si>
    <t>22</t>
  </si>
  <si>
    <t>C0262</t>
  </si>
  <si>
    <t>T00070</t>
  </si>
  <si>
    <t>C0040</t>
  </si>
  <si>
    <t>T00071</t>
  </si>
  <si>
    <t>C0045</t>
  </si>
  <si>
    <t>T00072</t>
  </si>
  <si>
    <t>C0224</t>
  </si>
  <si>
    <t>T00073</t>
  </si>
  <si>
    <t>C0141</t>
  </si>
  <si>
    <t>T00074</t>
  </si>
  <si>
    <t>C0065</t>
  </si>
  <si>
    <t>T00075</t>
  </si>
  <si>
    <t>C0071</t>
  </si>
  <si>
    <t>T00076</t>
  </si>
  <si>
    <t>C0280</t>
  </si>
  <si>
    <t>T00077</t>
  </si>
  <si>
    <t>C0291</t>
  </si>
  <si>
    <t>T00078</t>
  </si>
  <si>
    <t>port harcourt</t>
  </si>
  <si>
    <t>T00079</t>
  </si>
  <si>
    <t>17</t>
  </si>
  <si>
    <t>15,000</t>
  </si>
  <si>
    <t>T00080</t>
  </si>
  <si>
    <t>C0028</t>
  </si>
  <si>
    <t>T00081</t>
  </si>
  <si>
    <t>T00082</t>
  </si>
  <si>
    <t>C0182</t>
  </si>
  <si>
    <t>T00083</t>
  </si>
  <si>
    <t>C0172</t>
  </si>
  <si>
    <t>T00084</t>
  </si>
  <si>
    <t>C0180</t>
  </si>
  <si>
    <t>T00085</t>
  </si>
  <si>
    <t>C0047</t>
  </si>
  <si>
    <t>T00086</t>
  </si>
  <si>
    <t>C0205</t>
  </si>
  <si>
    <t>T00087</t>
  </si>
  <si>
    <t>C0217</t>
  </si>
  <si>
    <t>T00088</t>
  </si>
  <si>
    <t>C0176</t>
  </si>
  <si>
    <t>T00089</t>
  </si>
  <si>
    <t>C0192</t>
  </si>
  <si>
    <t>T00090</t>
  </si>
  <si>
    <t>C0286</t>
  </si>
  <si>
    <t>T00091</t>
  </si>
  <si>
    <t>C0116</t>
  </si>
  <si>
    <t>14/06/2026</t>
  </si>
  <si>
    <t>T00092</t>
  </si>
  <si>
    <t>C0144</t>
  </si>
  <si>
    <t>T00093</t>
  </si>
  <si>
    <t>C0171</t>
  </si>
  <si>
    <t>T00094</t>
  </si>
  <si>
    <t>C0137</t>
  </si>
  <si>
    <t>T00095</t>
  </si>
  <si>
    <t>C0269</t>
  </si>
  <si>
    <t>T00096</t>
  </si>
  <si>
    <t>C0073</t>
  </si>
  <si>
    <t>T00097</t>
  </si>
  <si>
    <t>31/02/2026</t>
  </si>
  <si>
    <t>T00098</t>
  </si>
  <si>
    <t>C0029</t>
  </si>
  <si>
    <t>T00099</t>
  </si>
  <si>
    <t>C0009</t>
  </si>
  <si>
    <t>T00100</t>
  </si>
  <si>
    <t>C0297</t>
  </si>
  <si>
    <t>T00101</t>
  </si>
  <si>
    <t>C0164</t>
  </si>
  <si>
    <t>T00102</t>
  </si>
  <si>
    <t>T00103</t>
  </si>
  <si>
    <t>FCT</t>
  </si>
  <si>
    <t>C0202</t>
  </si>
  <si>
    <t>T00104</t>
  </si>
  <si>
    <t>T00105</t>
  </si>
  <si>
    <t xml:space="preserve"> Eggs</t>
  </si>
  <si>
    <t>T00106</t>
  </si>
  <si>
    <t>C0086</t>
  </si>
  <si>
    <t>T00107</t>
  </si>
  <si>
    <t>T00108</t>
  </si>
  <si>
    <t>C0025</t>
  </si>
  <si>
    <t>T00109</t>
  </si>
  <si>
    <t>C0093</t>
  </si>
  <si>
    <t>T00110</t>
  </si>
  <si>
    <t>T00111</t>
  </si>
  <si>
    <t>C0111</t>
  </si>
  <si>
    <t>T00112</t>
  </si>
  <si>
    <t xml:space="preserve">Chicken </t>
  </si>
  <si>
    <t>T00113</t>
  </si>
  <si>
    <t>C0274</t>
  </si>
  <si>
    <t>T00114</t>
  </si>
  <si>
    <t>C0163</t>
  </si>
  <si>
    <t>T00115</t>
  </si>
  <si>
    <t>C0001</t>
  </si>
  <si>
    <t>T00116</t>
  </si>
  <si>
    <t>T00117</t>
  </si>
  <si>
    <t>T00118</t>
  </si>
  <si>
    <t>C0021</t>
  </si>
  <si>
    <t>T00119</t>
  </si>
  <si>
    <t>C0253</t>
  </si>
  <si>
    <t>T00120</t>
  </si>
  <si>
    <t>35,000</t>
  </si>
  <si>
    <t>C0149</t>
  </si>
  <si>
    <t>T00121</t>
  </si>
  <si>
    <t>C0143</t>
  </si>
  <si>
    <t>T00122</t>
  </si>
  <si>
    <t>eggs</t>
  </si>
  <si>
    <t>T00123</t>
  </si>
  <si>
    <t>C0125</t>
  </si>
  <si>
    <t>T00124</t>
  </si>
  <si>
    <t>C0090</t>
  </si>
  <si>
    <t>T00125</t>
  </si>
  <si>
    <t>C0181</t>
  </si>
  <si>
    <t>T00126</t>
  </si>
  <si>
    <t>T00127</t>
  </si>
  <si>
    <t>T00128</t>
  </si>
  <si>
    <t>C0204</t>
  </si>
  <si>
    <t>T00129</t>
  </si>
  <si>
    <t>C0199</t>
  </si>
  <si>
    <t>T00130</t>
  </si>
  <si>
    <t>T00131</t>
  </si>
  <si>
    <t>C0088</t>
  </si>
  <si>
    <t>T00132</t>
  </si>
  <si>
    <t>C0032</t>
  </si>
  <si>
    <t>T00133</t>
  </si>
  <si>
    <t>T00134</t>
  </si>
  <si>
    <t>C0048</t>
  </si>
  <si>
    <t>T00135</t>
  </si>
  <si>
    <t>C0270</t>
  </si>
  <si>
    <t>T00136</t>
  </si>
  <si>
    <t>C0122</t>
  </si>
  <si>
    <t>T00137</t>
  </si>
  <si>
    <t>C0085</t>
  </si>
  <si>
    <t>T00138</t>
  </si>
  <si>
    <t>T00139</t>
  </si>
  <si>
    <t>T00140</t>
  </si>
  <si>
    <t>C0194</t>
  </si>
  <si>
    <t>T00141</t>
  </si>
  <si>
    <t>C0020</t>
  </si>
  <si>
    <t>T00142</t>
  </si>
  <si>
    <t>lagos</t>
  </si>
  <si>
    <t>T00143</t>
  </si>
  <si>
    <t>C0161</t>
  </si>
  <si>
    <t>T00144</t>
  </si>
  <si>
    <t>C0223</t>
  </si>
  <si>
    <t>T00145</t>
  </si>
  <si>
    <t>T00146</t>
  </si>
  <si>
    <t>C0260</t>
  </si>
  <si>
    <t>T00147</t>
  </si>
  <si>
    <t>10/02/2026</t>
  </si>
  <si>
    <t>T00148</t>
  </si>
  <si>
    <t>T00149</t>
  </si>
  <si>
    <t>T00150</t>
  </si>
  <si>
    <t>T00151</t>
  </si>
  <si>
    <t>C0127</t>
  </si>
  <si>
    <t>T00152</t>
  </si>
  <si>
    <t>C0187</t>
  </si>
  <si>
    <t>T00153</t>
  </si>
  <si>
    <t>C0081</t>
  </si>
  <si>
    <t>T00154</t>
  </si>
  <si>
    <t>C0056</t>
  </si>
  <si>
    <t>T00155</t>
  </si>
  <si>
    <t>T00156</t>
  </si>
  <si>
    <t>T00157</t>
  </si>
  <si>
    <t>C0140</t>
  </si>
  <si>
    <t>T00158</t>
  </si>
  <si>
    <t xml:space="preserve">Tomato </t>
  </si>
  <si>
    <t>C0005</t>
  </si>
  <si>
    <t>T00159</t>
  </si>
  <si>
    <t>C0284</t>
  </si>
  <si>
    <t>T00160</t>
  </si>
  <si>
    <t>C0096</t>
  </si>
  <si>
    <t>T00161</t>
  </si>
  <si>
    <t>C0112</t>
  </si>
  <si>
    <t>T00162</t>
  </si>
  <si>
    <t>T00163</t>
  </si>
  <si>
    <t>C0213</t>
  </si>
  <si>
    <t>06/03/2026</t>
  </si>
  <si>
    <t>T00164</t>
  </si>
  <si>
    <t>T00165</t>
  </si>
  <si>
    <t>T00166</t>
  </si>
  <si>
    <t>T00167</t>
  </si>
  <si>
    <t>C0078</t>
  </si>
  <si>
    <t>T00168</t>
  </si>
  <si>
    <t>12,000</t>
  </si>
  <si>
    <t>T00169</t>
  </si>
  <si>
    <t>12</t>
  </si>
  <si>
    <t>T00170</t>
  </si>
  <si>
    <t>C0134</t>
  </si>
  <si>
    <t>T00171</t>
  </si>
  <si>
    <t>10</t>
  </si>
  <si>
    <t>C0226</t>
  </si>
  <si>
    <t>T00172</t>
  </si>
  <si>
    <t>T00173</t>
  </si>
  <si>
    <t>IBADAN</t>
  </si>
  <si>
    <t>T00174</t>
  </si>
  <si>
    <t>T00175</t>
  </si>
  <si>
    <t>T00176</t>
  </si>
  <si>
    <t>T00177</t>
  </si>
  <si>
    <t>PH</t>
  </si>
  <si>
    <t>C0203</t>
  </si>
  <si>
    <t>T00178</t>
  </si>
  <si>
    <t>C0123</t>
  </si>
  <si>
    <t>T00179</t>
  </si>
  <si>
    <t>C0215</t>
  </si>
  <si>
    <t>01/03/2026</t>
  </si>
  <si>
    <t>T00180</t>
  </si>
  <si>
    <t>T00181</t>
  </si>
  <si>
    <t>C0150</t>
  </si>
  <si>
    <t>T00182</t>
  </si>
  <si>
    <t>C0022</t>
  </si>
  <si>
    <t>T00183</t>
  </si>
  <si>
    <t>T00184</t>
  </si>
  <si>
    <t>C0050</t>
  </si>
  <si>
    <t>T00185</t>
  </si>
  <si>
    <t>C0124</t>
  </si>
  <si>
    <t>T00186</t>
  </si>
  <si>
    <t>C0132</t>
  </si>
  <si>
    <t>T00187</t>
  </si>
  <si>
    <t>T00188</t>
  </si>
  <si>
    <t>T00189</t>
  </si>
  <si>
    <t>T00190</t>
  </si>
  <si>
    <t>T00191</t>
  </si>
  <si>
    <t>T00192</t>
  </si>
  <si>
    <t>T00193</t>
  </si>
  <si>
    <t>C0276</t>
  </si>
  <si>
    <t>T00194</t>
  </si>
  <si>
    <t>C0219</t>
  </si>
  <si>
    <t>T00195</t>
  </si>
  <si>
    <t>C0087</t>
  </si>
  <si>
    <t>T00196</t>
  </si>
  <si>
    <t>T00197</t>
  </si>
  <si>
    <t>T00198</t>
  </si>
  <si>
    <t>T00199</t>
  </si>
  <si>
    <t>T00200</t>
  </si>
  <si>
    <t>13</t>
  </si>
  <si>
    <t>C0241</t>
  </si>
  <si>
    <t>T00201</t>
  </si>
  <si>
    <t>C0207</t>
  </si>
  <si>
    <t>T00202</t>
  </si>
  <si>
    <t>C0072</t>
  </si>
  <si>
    <t>T00203</t>
  </si>
  <si>
    <t>C0244</t>
  </si>
  <si>
    <t>T00204</t>
  </si>
  <si>
    <t>T00205</t>
  </si>
  <si>
    <t>T00206</t>
  </si>
  <si>
    <t>C0062</t>
  </si>
  <si>
    <t>T00207</t>
  </si>
  <si>
    <t>C0034</t>
  </si>
  <si>
    <t>T00208</t>
  </si>
  <si>
    <t>C0095</t>
  </si>
  <si>
    <t>T00209</t>
  </si>
  <si>
    <t>C0091</t>
  </si>
  <si>
    <t>T00210</t>
  </si>
  <si>
    <t>BREAD</t>
  </si>
  <si>
    <t>C0014</t>
  </si>
  <si>
    <t>T00211</t>
  </si>
  <si>
    <t>T00212</t>
  </si>
  <si>
    <t>T00213</t>
  </si>
  <si>
    <t>T00214</t>
  </si>
  <si>
    <t>C0114</t>
  </si>
  <si>
    <t>T00215</t>
  </si>
  <si>
    <t>LAGOS</t>
  </si>
  <si>
    <t>T00216</t>
  </si>
  <si>
    <t>C0193</t>
  </si>
  <si>
    <t>T00217</t>
  </si>
  <si>
    <t>T00218</t>
  </si>
  <si>
    <t>C0133</t>
  </si>
  <si>
    <t>T00219</t>
  </si>
  <si>
    <t>EGGS</t>
  </si>
  <si>
    <t>T00220</t>
  </si>
  <si>
    <t>T00221</t>
  </si>
  <si>
    <t>T00222</t>
  </si>
  <si>
    <t>C0190</t>
  </si>
  <si>
    <t>T00223</t>
  </si>
  <si>
    <t>7</t>
  </si>
  <si>
    <t>T00224</t>
  </si>
  <si>
    <t>C0041</t>
  </si>
  <si>
    <t>T00225</t>
  </si>
  <si>
    <t>C0277</t>
  </si>
  <si>
    <t>T00226</t>
  </si>
  <si>
    <t>T00227</t>
  </si>
  <si>
    <t>T00228</t>
  </si>
  <si>
    <t>C0153</t>
  </si>
  <si>
    <t>T00229</t>
  </si>
  <si>
    <t>C0042</t>
  </si>
  <si>
    <t>T00230</t>
  </si>
  <si>
    <t>ibadan</t>
  </si>
  <si>
    <t>C0263</t>
  </si>
  <si>
    <t>T00231</t>
  </si>
  <si>
    <t>C0115</t>
  </si>
  <si>
    <t>T00232</t>
  </si>
  <si>
    <t>C0054</t>
  </si>
  <si>
    <t>T00233</t>
  </si>
  <si>
    <t>T00234</t>
  </si>
  <si>
    <t>T00235</t>
  </si>
  <si>
    <t>C0265</t>
  </si>
  <si>
    <t>T00236</t>
  </si>
  <si>
    <t>T00237</t>
  </si>
  <si>
    <t>T00238</t>
  </si>
  <si>
    <t>C0092</t>
  </si>
  <si>
    <t>T00239</t>
  </si>
  <si>
    <t>C0080</t>
  </si>
  <si>
    <t>T00240</t>
  </si>
  <si>
    <t>C0273</t>
  </si>
  <si>
    <t>T00241</t>
  </si>
  <si>
    <t>C0287</t>
  </si>
  <si>
    <t>T00242</t>
  </si>
  <si>
    <t>C0017</t>
  </si>
  <si>
    <t>T00243</t>
  </si>
  <si>
    <t>C0275</t>
  </si>
  <si>
    <t>T00244</t>
  </si>
  <si>
    <t>T00245</t>
  </si>
  <si>
    <t>C0139</t>
  </si>
  <si>
    <t>T00246</t>
  </si>
  <si>
    <t>T00247</t>
  </si>
  <si>
    <t>C0063</t>
  </si>
  <si>
    <t>T00248</t>
  </si>
  <si>
    <t>C0239</t>
  </si>
  <si>
    <t>T00249</t>
  </si>
  <si>
    <t>C0152</t>
  </si>
  <si>
    <t>T00250</t>
  </si>
  <si>
    <t>T00251</t>
  </si>
  <si>
    <t>T00252</t>
  </si>
  <si>
    <t>T00253</t>
  </si>
  <si>
    <t>T00254</t>
  </si>
  <si>
    <t>25</t>
  </si>
  <si>
    <t>T00255</t>
  </si>
  <si>
    <t>2</t>
  </si>
  <si>
    <t>C0288</t>
  </si>
  <si>
    <t>T00256</t>
  </si>
  <si>
    <t>T00257</t>
  </si>
  <si>
    <t>T00258</t>
  </si>
  <si>
    <t>T00259</t>
  </si>
  <si>
    <t>T00260</t>
  </si>
  <si>
    <t>C0268</t>
  </si>
  <si>
    <t>T00261</t>
  </si>
  <si>
    <t>T00262</t>
  </si>
  <si>
    <t>T00263</t>
  </si>
  <si>
    <t>T00264</t>
  </si>
  <si>
    <t>T00265</t>
  </si>
  <si>
    <t>T00266</t>
  </si>
  <si>
    <t>T00267</t>
  </si>
  <si>
    <t>C0293</t>
  </si>
  <si>
    <t>T00268</t>
  </si>
  <si>
    <t>T00269</t>
  </si>
  <si>
    <t>T00270</t>
  </si>
  <si>
    <t>T00271</t>
  </si>
  <si>
    <t>T00272</t>
  </si>
  <si>
    <t>16</t>
  </si>
  <si>
    <t>C0012</t>
  </si>
  <si>
    <t>T00273</t>
  </si>
  <si>
    <t>C0138</t>
  </si>
  <si>
    <t>T00274</t>
  </si>
  <si>
    <t>T00275</t>
  </si>
  <si>
    <t>T00276</t>
  </si>
  <si>
    <t>T00277</t>
  </si>
  <si>
    <t>T00278</t>
  </si>
  <si>
    <t>8,000</t>
  </si>
  <si>
    <t>C0097</t>
  </si>
  <si>
    <t>T00279</t>
  </si>
  <si>
    <t>C0211</t>
  </si>
  <si>
    <t>T00280</t>
  </si>
  <si>
    <t>T00281</t>
  </si>
  <si>
    <t>T00282</t>
  </si>
  <si>
    <t>6</t>
  </si>
  <si>
    <t>C0053</t>
  </si>
  <si>
    <t>T00283</t>
  </si>
  <si>
    <t>T00284</t>
  </si>
  <si>
    <t>T00285</t>
  </si>
  <si>
    <t>T00286</t>
  </si>
  <si>
    <t>C0004</t>
  </si>
  <si>
    <t>T00287</t>
  </si>
  <si>
    <t>T00288</t>
  </si>
  <si>
    <t>T00289</t>
  </si>
  <si>
    <t>C0266</t>
  </si>
  <si>
    <t>T00290</t>
  </si>
  <si>
    <t>C0300</t>
  </si>
  <si>
    <t>T00291</t>
  </si>
  <si>
    <t>C0038</t>
  </si>
  <si>
    <t>T00292</t>
  </si>
  <si>
    <t>T00293</t>
  </si>
  <si>
    <t>T00294</t>
  </si>
  <si>
    <t>T00295</t>
  </si>
  <si>
    <t>T00296</t>
  </si>
  <si>
    <t>T00297</t>
  </si>
  <si>
    <t>T00298</t>
  </si>
  <si>
    <t>C0074</t>
  </si>
  <si>
    <t>T00299</t>
  </si>
  <si>
    <t>T00300</t>
  </si>
  <si>
    <t>C0135</t>
  </si>
  <si>
    <t>T00301</t>
  </si>
  <si>
    <t>T00302</t>
  </si>
  <si>
    <t>T00303</t>
  </si>
  <si>
    <t>T00304</t>
  </si>
  <si>
    <t>PASTA</t>
  </si>
  <si>
    <t>T00305</t>
  </si>
  <si>
    <t>T00306</t>
  </si>
  <si>
    <t>T00307</t>
  </si>
  <si>
    <t>C0249</t>
  </si>
  <si>
    <t>T00308</t>
  </si>
  <si>
    <t>C0007</t>
  </si>
  <si>
    <t>T00309</t>
  </si>
  <si>
    <t>T00310</t>
  </si>
  <si>
    <t>T00311</t>
  </si>
  <si>
    <t>T00312</t>
  </si>
  <si>
    <t>T00313</t>
  </si>
  <si>
    <t>T00314</t>
  </si>
  <si>
    <t>C0082</t>
  </si>
  <si>
    <t>T00315</t>
  </si>
  <si>
    <t>T00316</t>
  </si>
  <si>
    <t>C0145</t>
  </si>
  <si>
    <t>T00317</t>
  </si>
  <si>
    <t>C0117</t>
  </si>
  <si>
    <t>T00318</t>
  </si>
  <si>
    <t>C0198</t>
  </si>
  <si>
    <t>T00319</t>
  </si>
  <si>
    <t>Oyo</t>
  </si>
  <si>
    <t>T00320</t>
  </si>
  <si>
    <t>C0183</t>
  </si>
  <si>
    <t>T00321</t>
  </si>
  <si>
    <t>T00322</t>
  </si>
  <si>
    <t>T00323</t>
  </si>
  <si>
    <t>T00324</t>
  </si>
  <si>
    <t>C0018</t>
  </si>
  <si>
    <t>T00325</t>
  </si>
  <si>
    <t>T00326</t>
  </si>
  <si>
    <t>C0170</t>
  </si>
  <si>
    <t>T00327</t>
  </si>
  <si>
    <t>C0240</t>
  </si>
  <si>
    <t>T00328</t>
  </si>
  <si>
    <t>C0100</t>
  </si>
  <si>
    <t>04/04/2026</t>
  </si>
  <si>
    <t>T00329</t>
  </si>
  <si>
    <t>T00330</t>
  </si>
  <si>
    <t>C0044</t>
  </si>
  <si>
    <t>T00331</t>
  </si>
  <si>
    <t>C0158</t>
  </si>
  <si>
    <t>T00332</t>
  </si>
  <si>
    <t>T00333</t>
  </si>
  <si>
    <t>C0168</t>
  </si>
  <si>
    <t>T00334</t>
  </si>
  <si>
    <t>T00335</t>
  </si>
  <si>
    <t xml:space="preserve"> Bread</t>
  </si>
  <si>
    <t>T00336</t>
  </si>
  <si>
    <t>T00337</t>
  </si>
  <si>
    <t>T00338</t>
  </si>
  <si>
    <t>T00339</t>
  </si>
  <si>
    <t>T00340</t>
  </si>
  <si>
    <t>T00341</t>
  </si>
  <si>
    <t>C0006</t>
  </si>
  <si>
    <t>T00342</t>
  </si>
  <si>
    <t>C0084</t>
  </si>
  <si>
    <t>T00343</t>
  </si>
  <si>
    <t>C0165</t>
  </si>
  <si>
    <t>T00344</t>
  </si>
  <si>
    <t>C0267</t>
  </si>
  <si>
    <t>T00345</t>
  </si>
  <si>
    <t>T00346</t>
  </si>
  <si>
    <t>T00347</t>
  </si>
  <si>
    <t>T00348</t>
  </si>
  <si>
    <t>50,000</t>
  </si>
  <si>
    <t>C0049</t>
  </si>
  <si>
    <t>T00349</t>
  </si>
  <si>
    <t>T00350</t>
  </si>
  <si>
    <t>T00351</t>
  </si>
  <si>
    <t>C0030</t>
  </si>
  <si>
    <t>T00352</t>
  </si>
  <si>
    <t>T00353</t>
  </si>
  <si>
    <t>T00354</t>
  </si>
  <si>
    <t>T00355</t>
  </si>
  <si>
    <t>16/02/2026</t>
  </si>
  <si>
    <t>T00356</t>
  </si>
  <si>
    <t>T00357</t>
  </si>
  <si>
    <t>T00358</t>
  </si>
  <si>
    <t>T00359</t>
  </si>
  <si>
    <t>C0296</t>
  </si>
  <si>
    <t>T00360</t>
  </si>
  <si>
    <t>C0157</t>
  </si>
  <si>
    <t>T00361</t>
  </si>
  <si>
    <t>T00362</t>
  </si>
  <si>
    <t>T00363</t>
  </si>
  <si>
    <t>C0290</t>
  </si>
  <si>
    <t>T00364</t>
  </si>
  <si>
    <t>T00365</t>
  </si>
  <si>
    <t>C0175</t>
  </si>
  <si>
    <t>T00366</t>
  </si>
  <si>
    <t>C0294</t>
  </si>
  <si>
    <t>17/03/2026</t>
  </si>
  <si>
    <t>T00367</t>
  </si>
  <si>
    <t>C0166</t>
  </si>
  <si>
    <t>T00368</t>
  </si>
  <si>
    <t>C0232</t>
  </si>
  <si>
    <t>T00369</t>
  </si>
  <si>
    <t>T00370</t>
  </si>
  <si>
    <t>28,000</t>
  </si>
  <si>
    <t>T00371</t>
  </si>
  <si>
    <t>T00372</t>
  </si>
  <si>
    <t>T00373</t>
  </si>
  <si>
    <t>T00374</t>
  </si>
  <si>
    <t>C0221</t>
  </si>
  <si>
    <t>T00375</t>
  </si>
  <si>
    <t>T00376</t>
  </si>
  <si>
    <t>C0231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</si>
  <si>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</si>
  <si>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</si>
  <si>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</si>
  <si>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</si>
  <si>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</si>
  <si>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</si>
  <si>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</si>
  <si>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</si>
  <si>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 xml:space="preserve"> Cooking Oil</t>
  </si>
  <si>
    <t>C0128</t>
  </si>
  <si>
    <t>T00385</t>
  </si>
  <si>
    <t>Abuja Branch</t>
  </si>
  <si>
    <t>T00386</t>
  </si>
  <si>
    <t>rice</t>
  </si>
  <si>
    <t>T00387</t>
  </si>
  <si>
    <t>C0077</t>
  </si>
  <si>
    <t>T00388</t>
  </si>
  <si>
    <t>T00389</t>
  </si>
  <si>
    <t>T00390</t>
  </si>
  <si>
    <t xml:space="preserve">Milk </t>
  </si>
  <si>
    <t>T00391</t>
  </si>
  <si>
    <t>T00392</t>
  </si>
  <si>
    <t>T00393</t>
  </si>
  <si>
    <t>T00394</t>
  </si>
  <si>
    <t>C0169</t>
  </si>
  <si>
    <t>T00395</t>
  </si>
  <si>
    <t>T00396</t>
  </si>
  <si>
    <t>T00397</t>
  </si>
  <si>
    <t>T00398</t>
  </si>
  <si>
    <t>T00399</t>
  </si>
  <si>
    <t>C0055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</si>
  <si>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</si>
  <si>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</si>
  <si>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</si>
  <si>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</si>
  <si>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</si>
  <si>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</si>
  <si>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</si>
  <si>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</si>
  <si>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C0246</t>
  </si>
  <si>
    <t>T00408</t>
  </si>
  <si>
    <t>T00409</t>
  </si>
  <si>
    <t>C0214</t>
  </si>
  <si>
    <t>T00410</t>
  </si>
  <si>
    <t>C0120</t>
  </si>
  <si>
    <t>T00411</t>
  </si>
  <si>
    <t>T00412</t>
  </si>
  <si>
    <t>T00413</t>
  </si>
  <si>
    <t>C0255</t>
  </si>
  <si>
    <t>T00414</t>
  </si>
  <si>
    <t>T00415</t>
  </si>
  <si>
    <t>C0209</t>
  </si>
  <si>
    <t>06/06/2026</t>
  </si>
  <si>
    <t>T00416</t>
  </si>
  <si>
    <t>T00417</t>
  </si>
  <si>
    <t>T00418</t>
  </si>
  <si>
    <t>MILK</t>
  </si>
  <si>
    <t>T00419</t>
  </si>
  <si>
    <t>T00420</t>
  </si>
  <si>
    <t>T00421</t>
  </si>
  <si>
    <t>T00422</t>
  </si>
  <si>
    <t>T00423</t>
  </si>
  <si>
    <t>C0154</t>
  </si>
  <si>
    <t>T00424</t>
  </si>
  <si>
    <t>C0235</t>
  </si>
  <si>
    <t>T00425</t>
  </si>
  <si>
    <t>T00426</t>
  </si>
  <si>
    <t>T00427</t>
  </si>
  <si>
    <t>T00428</t>
  </si>
  <si>
    <t>T00429</t>
  </si>
  <si>
    <t>T00430</t>
  </si>
  <si>
    <t>T00431</t>
  </si>
  <si>
    <t>C0195</t>
  </si>
  <si>
    <t>T00432</t>
  </si>
  <si>
    <t>T00433</t>
  </si>
  <si>
    <t>T00434</t>
  </si>
  <si>
    <t>T00435</t>
  </si>
  <si>
    <t>T00436</t>
  </si>
  <si>
    <t>T00437</t>
  </si>
  <si>
    <t>T00438</t>
  </si>
  <si>
    <t>C0234</t>
  </si>
  <si>
    <t>T00439</t>
  </si>
  <si>
    <t>T00440</t>
  </si>
  <si>
    <t>T00441</t>
  </si>
  <si>
    <t>C0186</t>
  </si>
  <si>
    <t>T00442</t>
  </si>
  <si>
    <t>T00443</t>
  </si>
  <si>
    <t>T00444</t>
  </si>
  <si>
    <t>T00445</t>
  </si>
  <si>
    <t>T00446</t>
  </si>
  <si>
    <t>T00447</t>
  </si>
  <si>
    <t>T00448</t>
  </si>
  <si>
    <t>C0027</t>
  </si>
  <si>
    <t>T00449</t>
  </si>
  <si>
    <t>22/06/2026</t>
  </si>
  <si>
    <t>T00450</t>
  </si>
  <si>
    <t>T00451</t>
  </si>
  <si>
    <t>CHICKEN</t>
  </si>
  <si>
    <t>T00452</t>
  </si>
  <si>
    <t>C0105</t>
  </si>
  <si>
    <t>T00453</t>
  </si>
  <si>
    <t>T00454</t>
  </si>
  <si>
    <t>C0076</t>
  </si>
  <si>
    <t>T00455</t>
  </si>
  <si>
    <t>T00456</t>
  </si>
  <si>
    <t>C0008</t>
  </si>
  <si>
    <t>T00457</t>
  </si>
  <si>
    <t>T00458</t>
  </si>
  <si>
    <t>C0142</t>
  </si>
  <si>
    <t>T00459</t>
  </si>
  <si>
    <t>T00460</t>
  </si>
  <si>
    <t>T00461</t>
  </si>
  <si>
    <t>T00462</t>
  </si>
  <si>
    <t>T00463</t>
  </si>
  <si>
    <t>T00464</t>
  </si>
  <si>
    <t>T00465</t>
  </si>
  <si>
    <t>C0089</t>
  </si>
  <si>
    <t>T00466</t>
  </si>
  <si>
    <t>T00467</t>
  </si>
  <si>
    <t>T00468</t>
  </si>
  <si>
    <t>T00469</t>
  </si>
  <si>
    <t>C0197</t>
  </si>
  <si>
    <t>T00470</t>
  </si>
  <si>
    <t>T00471</t>
  </si>
  <si>
    <t>T00472</t>
  </si>
  <si>
    <t>tomato</t>
  </si>
  <si>
    <t>T00473</t>
  </si>
  <si>
    <t>C0023</t>
  </si>
  <si>
    <t>T00474</t>
  </si>
  <si>
    <t>T00475</t>
  </si>
  <si>
    <t>T00476</t>
  </si>
  <si>
    <t>T00477</t>
  </si>
  <si>
    <t>T00478</t>
  </si>
  <si>
    <t>T00479</t>
  </si>
  <si>
    <t>C0160</t>
  </si>
  <si>
    <t>T00480</t>
  </si>
  <si>
    <t>T00481</t>
  </si>
  <si>
    <t>C0185</t>
  </si>
  <si>
    <t>T00482</t>
  </si>
  <si>
    <t>T00483</t>
  </si>
  <si>
    <t>T00484</t>
  </si>
  <si>
    <t>C0250</t>
  </si>
  <si>
    <t>T00485</t>
  </si>
  <si>
    <t>T00486</t>
  </si>
  <si>
    <t>C0167</t>
  </si>
  <si>
    <t>T00487</t>
  </si>
  <si>
    <t>C0247</t>
  </si>
  <si>
    <t>T00488</t>
  </si>
  <si>
    <t>C0243</t>
  </si>
  <si>
    <t>T00489</t>
  </si>
  <si>
    <t>T00490</t>
  </si>
  <si>
    <t>T00491</t>
  </si>
  <si>
    <t>C0016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</si>
  <si>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</si>
  <si>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</si>
  <si>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</si>
  <si>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</si>
  <si>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</si>
  <si>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</si>
  <si>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</si>
  <si>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</si>
  <si>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C0098</t>
  </si>
  <si>
    <t>T00500</t>
  </si>
  <si>
    <t>T00501</t>
  </si>
  <si>
    <t>T00502</t>
  </si>
  <si>
    <t>T00503</t>
  </si>
  <si>
    <t>3</t>
  </si>
  <si>
    <t>T00504</t>
  </si>
  <si>
    <t>T00505</t>
  </si>
  <si>
    <t>T00506</t>
  </si>
  <si>
    <t>C0011</t>
  </si>
  <si>
    <t>T00507</t>
  </si>
  <si>
    <t>T00508</t>
  </si>
  <si>
    <t>T00509</t>
  </si>
  <si>
    <t>C0024</t>
  </si>
  <si>
    <t>T00510</t>
  </si>
  <si>
    <t>T00511</t>
  </si>
  <si>
    <t>C0079</t>
  </si>
  <si>
    <t>T00512</t>
  </si>
  <si>
    <t>T00513</t>
  </si>
  <si>
    <t>C0147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</si>
  <si>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</si>
  <si>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</si>
  <si>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</si>
  <si>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</si>
  <si>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</si>
  <si>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</si>
  <si>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</si>
  <si>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</si>
  <si>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C0015</t>
  </si>
  <si>
    <t>13/05/2026</t>
  </si>
  <si>
    <t>T00522</t>
  </si>
  <si>
    <t>T00523</t>
  </si>
  <si>
    <t>C0173</t>
  </si>
  <si>
    <t>T00524</t>
  </si>
  <si>
    <t>T00525</t>
  </si>
  <si>
    <t>T00526</t>
  </si>
  <si>
    <t xml:space="preserve">Bread </t>
  </si>
  <si>
    <t>C0299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</si>
  <si>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</si>
  <si>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</si>
  <si>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</si>
  <si>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</si>
  <si>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</si>
  <si>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</si>
  <si>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</si>
  <si>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</si>
  <si>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</si>
  <si>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</si>
  <si>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</si>
  <si>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11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</si>
  <si>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</si>
  <si>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</si>
  <si>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</si>
  <si>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</si>
  <si>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</si>
  <si>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</si>
  <si>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</si>
  <si>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</si>
  <si>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</si>
  <si>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</si>
  <si>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</si>
  <si>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</si>
  <si>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C0272</t>
  </si>
  <si>
    <t>T00550</t>
  </si>
  <si>
    <t>C0245</t>
  </si>
  <si>
    <t>T00551</t>
  </si>
  <si>
    <t>C0061</t>
  </si>
  <si>
    <t>T00552</t>
  </si>
  <si>
    <t>T00553</t>
  </si>
  <si>
    <t>C0271</t>
  </si>
  <si>
    <t>T00554</t>
  </si>
  <si>
    <t>C0051</t>
  </si>
  <si>
    <t>T00555</t>
  </si>
  <si>
    <t>T00556</t>
  </si>
  <si>
    <t>T00557</t>
  </si>
  <si>
    <t>T00558</t>
  </si>
  <si>
    <t>C0259</t>
  </si>
  <si>
    <t>T00559</t>
  </si>
  <si>
    <t>T00560</t>
  </si>
  <si>
    <t>T00561</t>
  </si>
  <si>
    <t>T00562</t>
  </si>
  <si>
    <t>T00563</t>
  </si>
  <si>
    <t>T00564</t>
  </si>
  <si>
    <t xml:space="preserve">Rice </t>
  </si>
  <si>
    <t>12/05/2026</t>
  </si>
  <si>
    <t>T00565</t>
  </si>
  <si>
    <t>03/04/2026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</si>
  <si>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</si>
  <si>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</si>
  <si>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</si>
  <si>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</si>
  <si>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</si>
  <si>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</si>
  <si>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</si>
  <si>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</si>
  <si>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</si>
  <si>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</si>
  <si>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</si>
  <si>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</si>
  <si>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</si>
  <si>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abuja</t>
  </si>
  <si>
    <t>T00579</t>
  </si>
  <si>
    <t>T00580</t>
  </si>
  <si>
    <t>T00581</t>
  </si>
  <si>
    <t>T00582</t>
  </si>
  <si>
    <t>T00583</t>
  </si>
  <si>
    <t>T00584</t>
  </si>
  <si>
    <t>T00585</t>
  </si>
  <si>
    <t>C0210</t>
  </si>
  <si>
    <t>T00586</t>
  </si>
  <si>
    <t>T00587</t>
  </si>
  <si>
    <t>C0113</t>
  </si>
  <si>
    <t>T00588</t>
  </si>
  <si>
    <t>C0064</t>
  </si>
  <si>
    <t>T00589</t>
  </si>
  <si>
    <t>T00590</t>
  </si>
  <si>
    <t>T00591</t>
  </si>
  <si>
    <t>C0298</t>
  </si>
  <si>
    <t>T00592</t>
  </si>
  <si>
    <t>T00593</t>
  </si>
  <si>
    <t>C0069</t>
  </si>
  <si>
    <t>T00594</t>
  </si>
  <si>
    <t>T00595</t>
  </si>
  <si>
    <t>T00596</t>
  </si>
  <si>
    <t>24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</si>
  <si>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</si>
  <si>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</si>
  <si>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</si>
  <si>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</si>
  <si>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</si>
  <si>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</si>
  <si>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</si>
  <si>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</si>
  <si>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</si>
  <si>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</si>
  <si>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C0148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</si>
  <si>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</si>
  <si>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</si>
  <si>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</si>
  <si>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</si>
  <si>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</si>
  <si>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</si>
  <si>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</si>
  <si>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</si>
  <si>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</si>
  <si>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</si>
  <si>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C0109</t>
  </si>
  <si>
    <t>T00617</t>
  </si>
  <si>
    <t>T00618</t>
  </si>
  <si>
    <t>T00619</t>
  </si>
  <si>
    <t>T00620</t>
  </si>
  <si>
    <t>T00621</t>
  </si>
  <si>
    <t>T00622</t>
  </si>
  <si>
    <t>T00623</t>
  </si>
  <si>
    <t>C0108</t>
  </si>
  <si>
    <t>T00624</t>
  </si>
  <si>
    <t>T00625</t>
  </si>
  <si>
    <t>T00626</t>
  </si>
  <si>
    <t>T00627</t>
  </si>
  <si>
    <t>T00628</t>
  </si>
  <si>
    <t>T00629</t>
  </si>
  <si>
    <t>PORT HARCOURT</t>
  </si>
  <si>
    <t>T00630</t>
  </si>
  <si>
    <t>T00631</t>
  </si>
  <si>
    <t>T00632</t>
  </si>
  <si>
    <t>T00633</t>
  </si>
  <si>
    <t>T00634</t>
  </si>
  <si>
    <t>T00635</t>
  </si>
  <si>
    <t>C0256</t>
  </si>
  <si>
    <t>10/01/2026</t>
  </si>
  <si>
    <t>T00636</t>
  </si>
  <si>
    <t>T00637</t>
  </si>
  <si>
    <t>T00638</t>
  </si>
  <si>
    <t>T00639</t>
  </si>
  <si>
    <t>16/06/2026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</si>
  <si>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</si>
  <si>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</si>
  <si>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</si>
  <si>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</si>
  <si>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</si>
  <si>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</si>
  <si>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</si>
  <si>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</si>
  <si>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TOMATO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</si>
  <si>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</si>
  <si>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</si>
  <si>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</si>
  <si>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</si>
  <si>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</si>
  <si>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</si>
  <si>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</si>
  <si>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</si>
  <si>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</si>
  <si>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</si>
  <si>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</si>
  <si>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</si>
  <si>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</si>
  <si>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</si>
  <si>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</si>
  <si>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</si>
  <si>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</si>
  <si>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</si>
  <si>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</si>
  <si>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</si>
  <si>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</si>
  <si>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</si>
  <si>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</si>
  <si>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</si>
  <si>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</si>
  <si>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</si>
  <si>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C0162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</si>
  <si>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</si>
  <si>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</si>
  <si>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</si>
  <si>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</si>
  <si>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</si>
  <si>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</si>
  <si>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</si>
  <si>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</si>
  <si>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</si>
  <si>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</si>
  <si>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</si>
  <si>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</si>
  <si>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</si>
  <si>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</si>
  <si>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C0248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</si>
  <si>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</si>
  <si>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</si>
  <si>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</si>
  <si>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</si>
  <si>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</si>
  <si>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</si>
  <si>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</si>
  <si>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</si>
  <si>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</si>
  <si>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C0060</t>
  </si>
  <si>
    <t>T00697</t>
  </si>
  <si>
    <t>T00698</t>
  </si>
  <si>
    <t>T00699</t>
  </si>
  <si>
    <t>T00700</t>
  </si>
  <si>
    <t>T00701</t>
  </si>
  <si>
    <t>T00702</t>
  </si>
  <si>
    <t>T00703</t>
  </si>
  <si>
    <t>C0101</t>
  </si>
  <si>
    <t>T00704</t>
  </si>
  <si>
    <t>T00705</t>
  </si>
  <si>
    <t>T00706</t>
  </si>
  <si>
    <t>T00707</t>
  </si>
  <si>
    <t>T00708</t>
  </si>
  <si>
    <t>T00709</t>
  </si>
  <si>
    <t>C0010</t>
  </si>
  <si>
    <t>T00710</t>
  </si>
  <si>
    <t>T00711</t>
  </si>
  <si>
    <t>T00712</t>
  </si>
  <si>
    <t>T00713</t>
  </si>
  <si>
    <t>T00714</t>
  </si>
  <si>
    <t>T00715</t>
  </si>
  <si>
    <t>C0106</t>
  </si>
  <si>
    <t>T00716</t>
  </si>
  <si>
    <t>8</t>
  </si>
  <si>
    <t>T00717</t>
  </si>
  <si>
    <t>T00718</t>
  </si>
  <si>
    <t>C0130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</si>
  <si>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</si>
  <si>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</si>
  <si>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</si>
  <si>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</si>
  <si>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</si>
  <si>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</si>
  <si>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</si>
  <si>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</si>
  <si>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</si>
  <si>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</si>
  <si>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</si>
  <si>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</si>
  <si>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</si>
  <si>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</si>
  <si>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</si>
  <si>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</si>
  <si>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</si>
  <si>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</si>
  <si>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</si>
  <si>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</si>
  <si>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</si>
  <si>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</si>
  <si>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</si>
  <si>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</si>
  <si>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</si>
  <si>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</si>
  <si>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</si>
  <si>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</si>
  <si>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C0258</t>
  </si>
  <si>
    <t>T00747</t>
  </si>
  <si>
    <t>T00748</t>
  </si>
  <si>
    <t>T00749</t>
  </si>
  <si>
    <t>T00750</t>
  </si>
  <si>
    <t>C0285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</si>
  <si>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</si>
  <si>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</si>
  <si>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</si>
  <si>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</si>
  <si>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</si>
  <si>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</si>
  <si>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</si>
  <si>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</si>
  <si>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</si>
  <si>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</si>
  <si>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</si>
  <si>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</si>
  <si>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</si>
  <si>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</si>
  <si>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</si>
  <si>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</si>
  <si>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</si>
  <si>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</si>
  <si>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</si>
  <si>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</si>
  <si>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</si>
  <si>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</si>
  <si>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</si>
  <si>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</si>
  <si>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</si>
  <si>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</si>
  <si>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</si>
  <si>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</si>
  <si>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</si>
  <si>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</si>
  <si>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</si>
  <si>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</si>
  <si>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C0126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</si>
  <si>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</si>
  <si>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</si>
  <si>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</si>
  <si>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</si>
  <si>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</si>
  <si>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</si>
  <si>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</si>
  <si>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</si>
  <si>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</si>
  <si>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</si>
  <si>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C0156</t>
  </si>
  <si>
    <t>T00793</t>
  </si>
  <si>
    <t>T00794</t>
  </si>
  <si>
    <t xml:space="preserve"> Rice</t>
  </si>
  <si>
    <t>T00795</t>
  </si>
  <si>
    <t>T00796</t>
  </si>
  <si>
    <t>T00797</t>
  </si>
  <si>
    <t>T00798</t>
  </si>
  <si>
    <t>C0110</t>
  </si>
  <si>
    <t>T00799</t>
  </si>
  <si>
    <t>C0046</t>
  </si>
  <si>
    <t>T00800</t>
  </si>
  <si>
    <t>T00801</t>
  </si>
  <si>
    <t>T00802</t>
  </si>
  <si>
    <t>T00803</t>
  </si>
  <si>
    <t>T00804</t>
  </si>
  <si>
    <t>T00805</t>
  </si>
  <si>
    <t>T00806</t>
  </si>
  <si>
    <t>4</t>
  </si>
  <si>
    <t>T00807</t>
  </si>
  <si>
    <t>T00808</t>
  </si>
  <si>
    <t>T00809</t>
  </si>
  <si>
    <t>T00810</t>
  </si>
  <si>
    <t>T00811</t>
  </si>
  <si>
    <t>T00812</t>
  </si>
  <si>
    <t xml:space="preserve">Eggs 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</si>
  <si>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</si>
  <si>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</si>
  <si>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</si>
  <si>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</si>
  <si>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</si>
  <si>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</si>
  <si>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</si>
  <si>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</si>
  <si>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C0230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</si>
  <si>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</si>
  <si>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</si>
  <si>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</si>
  <si>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</si>
  <si>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</si>
  <si>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</si>
  <si>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</si>
  <si>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</si>
  <si>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</si>
  <si>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</si>
  <si>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18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</si>
  <si>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</si>
  <si>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</si>
  <si>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</si>
  <si>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</si>
  <si>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</si>
  <si>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</si>
  <si>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</si>
  <si>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</si>
  <si>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</si>
  <si>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</si>
  <si>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</si>
  <si>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</si>
  <si>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</si>
  <si>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</si>
  <si>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</si>
  <si>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</si>
  <si>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</si>
  <si>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</si>
  <si>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</si>
  <si>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</si>
  <si>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</si>
  <si>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</si>
  <si>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C0177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</si>
  <si>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</si>
  <si>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</si>
  <si>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</si>
  <si>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</si>
  <si>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</si>
  <si>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</si>
  <si>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</si>
  <si>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</si>
  <si>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</si>
  <si>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</si>
  <si>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</si>
  <si>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pasta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</si>
  <si>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</si>
  <si>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</si>
  <si>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</si>
  <si>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</si>
  <si>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</si>
  <si>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</si>
  <si>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</si>
  <si>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</si>
  <si>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</si>
  <si>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</si>
  <si>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</si>
  <si>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</si>
  <si>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</si>
  <si>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</si>
  <si>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</si>
  <si>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</si>
  <si>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C0279</t>
  </si>
  <si>
    <t>T00880</t>
  </si>
  <si>
    <t>T00881</t>
  </si>
  <si>
    <t>C0191</t>
  </si>
  <si>
    <t>T00882</t>
  </si>
  <si>
    <t>T00883</t>
  </si>
  <si>
    <t>T00884</t>
  </si>
  <si>
    <t xml:space="preserve"> Pasta</t>
  </si>
  <si>
    <t>C0121</t>
  </si>
  <si>
    <t>T00885</t>
  </si>
  <si>
    <t>T00886</t>
  </si>
  <si>
    <t>T00887</t>
  </si>
  <si>
    <t>T00888</t>
  </si>
  <si>
    <t>C0188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</si>
  <si>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</si>
  <si>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</si>
  <si>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</si>
  <si>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</si>
  <si>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</si>
  <si>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</si>
  <si>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</si>
  <si>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</si>
  <si>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</si>
  <si>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</si>
  <si>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</si>
  <si>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</si>
  <si>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</si>
  <si>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</si>
  <si>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</si>
  <si>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</si>
  <si>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</si>
  <si>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</si>
  <si>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</si>
  <si>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</si>
  <si>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</si>
  <si>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</si>
  <si>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</si>
  <si>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</si>
  <si>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</si>
  <si>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</si>
  <si>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</si>
  <si>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</si>
  <si>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</si>
  <si>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</si>
  <si>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</si>
  <si>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</si>
  <si>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</si>
  <si>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</si>
  <si>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</si>
  <si>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</si>
  <si>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</si>
  <si>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</si>
  <si>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</si>
  <si>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</si>
  <si>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</si>
  <si>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</si>
  <si>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</si>
  <si>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</si>
  <si>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</si>
  <si>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</si>
  <si>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</si>
  <si>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</si>
  <si>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</si>
  <si>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</si>
  <si>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</si>
  <si>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</si>
  <si>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</si>
  <si>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</si>
  <si>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</si>
  <si>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</si>
  <si>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</si>
  <si>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</si>
  <si>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9</t>
  </si>
  <si>
    <t>C0075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</si>
  <si>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</si>
  <si>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</si>
  <si>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</si>
  <si>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</si>
  <si>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</si>
  <si>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</si>
  <si>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</si>
  <si>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</si>
  <si>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</si>
  <si>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</si>
  <si>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</si>
  <si>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</si>
  <si>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</si>
  <si>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</si>
  <si>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</si>
  <si>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</si>
  <si>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</si>
  <si>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</si>
  <si>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</si>
  <si>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</si>
  <si>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</si>
  <si>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</si>
  <si>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</si>
  <si>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</si>
  <si>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</si>
  <si>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</si>
  <si>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C0118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</si>
  <si>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</si>
  <si>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</si>
  <si>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</si>
  <si>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</si>
  <si>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</si>
  <si>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</si>
  <si>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</si>
  <si>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</si>
  <si>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</si>
  <si>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</si>
  <si>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</si>
  <si>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</si>
  <si>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</si>
  <si>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</si>
  <si>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</si>
  <si>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</si>
  <si>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</si>
  <si>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</si>
  <si>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</si>
  <si>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</si>
  <si>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</si>
  <si>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</si>
  <si>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</si>
  <si>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</si>
  <si>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</si>
  <si>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</si>
  <si>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</si>
  <si>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</si>
  <si>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T11013</t>
  </si>
  <si>
    <t>T11014</t>
  </si>
  <si>
    <t>T11015</t>
  </si>
  <si>
    <t>T11016</t>
  </si>
  <si>
    <t>T11017</t>
  </si>
  <si>
    <t>T11018</t>
  </si>
  <si>
    <t>T11019</t>
  </si>
  <si>
    <t>T11020</t>
  </si>
  <si>
    <t>T11021</t>
  </si>
  <si>
    <t>T11022</t>
  </si>
  <si>
    <t>Action</t>
  </si>
  <si>
    <t>Fct</t>
  </si>
  <si>
    <t>Ph</t>
  </si>
  <si>
    <t>is quantity sold &gt; quantity returned?</t>
  </si>
  <si>
    <t>branch</t>
  </si>
  <si>
    <t>Unit price is valid</t>
  </si>
  <si>
    <t>COLUMN</t>
  </si>
  <si>
    <t>NUMBER OF ISSUES NOTICED</t>
  </si>
  <si>
    <t>COMMENT</t>
  </si>
  <si>
    <t>is the date valid</t>
  </si>
  <si>
    <t>no. of transactions</t>
  </si>
  <si>
    <t>TABLE DETAILS</t>
  </si>
  <si>
    <t>valid QTY</t>
  </si>
  <si>
    <t>are branches correct</t>
  </si>
  <si>
    <t>How many QTY returned &gt; QTY sold</t>
  </si>
  <si>
    <t>How many unit price are invalid</t>
  </si>
  <si>
    <t>invalid QTY</t>
  </si>
  <si>
    <t>How many date are invalid</t>
  </si>
  <si>
    <t>All 15 issues are "N/A" errors. I could have imputed the values but I can't simply determine if there were dicount associated with those transactions.</t>
  </si>
  <si>
    <t>some date values are invalid showing "N/A". I will need additional data to verify when the transaction actually took place</t>
  </si>
  <si>
    <t>Couldn't determine if FCT, PH, OYO, and Abuja branch are unique or the same, but with abbrivated names. Need to ask some questions to verify this.</t>
  </si>
  <si>
    <t>The Quantity column has too many errors like negative values and missing data that needs to be clearified. I need to know if the missing data was an error or the transaction never happened and if the negative values means goods returned or a typo.</t>
  </si>
  <si>
    <t>Cells that require review</t>
  </si>
  <si>
    <t>TOTAL CELL THAT REQUIRE REVIEW:</t>
  </si>
  <si>
    <t>Revenue before return</t>
  </si>
  <si>
    <t>Revenue after return</t>
  </si>
  <si>
    <t>Amount of order  returned</t>
  </si>
  <si>
    <t>According to the bussiness rule given to me Quantity return shouldn't be greater than Quantity sold. And stili, I need to understand and know what to do with the data after few clearification if it should be removed permanently or can be recovered from past data or additional 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</si>
</sst>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0.0"/>
    <numFmt numFmtId="166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3" borderId="1" xfId="0" applyFont="1" applyFill="1" applyBorder="1"/>
    <xf numFmtId="0" fontId="3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5B5B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7" formatCode="dd/mm/yyyy"/>
      <alignment horizontal="right" vertical="bottom" textRotation="0" wrapText="0" indent="0" justifyLastLine="0" shrinkToFit="0" readingOrder="0"/>
    </dxf>
    <dxf>
      <numFmt numFmtId="1" formatCode="0"/>
    </dxf>
    <dxf>
      <numFmt numFmtId="1" formatCode="0"/>
      <alignment horizontal="right" vertical="bottom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9" defaultPivotStyle="PivotStyleLight16"/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Q1012" totalsRowShown="0" headerRowDxfId="20">
  <tableColumns count="17">
    <tableColumn id="1" xr3:uid="{00000000-0010-0000-0000-000001000000}" name="Transaction ID"/>
    <tableColumn id="11" xr3:uid="{00000000-0010-0000-0000-00000B000000}" name="Branch" dataDxfId="19"/>
    <tableColumn id="3" xr3:uid="{00000000-0010-0000-0000-000003000000}" name="Product"/>
    <tableColumn id="4" xr3:uid="{00000000-0010-0000-0000-000004000000}" name="Quantity" dataDxfId="18"/>
    <tableColumn id="5" xr3:uid="{00000000-0010-0000-0000-000005000000}" name="Unit Price" dataDxfId="17"/>
    <tableColumn id="6" xr3:uid="{00000000-0010-0000-0000-000006000000}" name="Customer ID"/>
    <tableColumn id="7" xr3:uid="{00000000-0010-0000-0000-000007000000}" name="Order Date" dataDxfId="16"/>
    <tableColumn id="8" xr3:uid="{00000000-0010-0000-0000-000008000000}" name="Return Qty" dataDxfId="15"/>
    <tableColumn id="9" xr3:uid="{00000000-0010-0000-0000-000009000000}" name="are branches correct" dataDxfId="14">
      <calculatedColumnFormula>IF(OR('CAL-DATA VALIDATION'!$A$2=Table3[[#This Row],[Branch]], 'CAL-DATA VALIDATION'!$A$3=Table3[[#This Row],[Branch]],'CAL-DATA VALIDATION'!$A$4=Table3[[#This Row],[Branch]],'CAL-DATA VALIDATION'!$A$5=Table3[[#This Row],[Branch]]), TRUE, FALSE)</calculatedColumnFormula>
    </tableColumn>
    <tableColumn id="15" xr3:uid="{00000000-0010-0000-0000-00000F000000}" name="valid QTY" dataDxfId="13">
      <calculatedColumnFormula>((ISNUMBER(Table3[[#This Row],[Quantity]]) )* (Table3[[#This Row],[Quantity]]&gt;0))=1</calculatedColumnFormula>
    </tableColumn>
    <tableColumn id="10" xr3:uid="{00000000-0010-0000-0000-00000A000000}" name="is quantity sold &gt; quantity returned?" dataDxfId="12">
      <calculatedColumnFormula>((Table3[[#This Row],[Quantity]]&gt;=Table3[[#This Row],[Return Qty]])*(ISNUMBER(Table3[[#This Row],[Quantity]])))=1</calculatedColumnFormula>
    </tableColumn>
    <tableColumn id="13" xr3:uid="{00000000-0010-0000-0000-00000D000000}" name="Unit price is valid" dataDxfId="11">
      <calculatedColumnFormula>ISNUMBER(Table3[[#This Row],[Unit Price]])</calculatedColumnFormula>
    </tableColumn>
    <tableColumn id="14" xr3:uid="{00000000-0010-0000-0000-00000E000000}" name="is the date valid" dataDxfId="10">
      <calculatedColumnFormula>ISNUMBER(Table3[[#This Row],[Order Date]])</calculatedColumnFormula>
    </tableColumn>
    <tableColumn id="17" xr3:uid="{00000000-0010-0000-0000-000011000000}" name="Revenue before return" dataDxfId="9">
      <calculatedColumnFormula>IFERROR(IF(Table3[[#This Row],[Quantity]]*Table3[[#This Row],[Unit Price]]&lt;0, "N/A", Table3[[#This Row],[Quantity]]*Table3[[#This Row],[Unit Price]]), "N/A")</calculatedColumnFormula>
    </tableColumn>
    <tableColumn id="18" xr3:uid="{00000000-0010-0000-0000-000012000000}" name="Amount of order  returned" dataDxfId="8">
      <calculatedColumnFormula>IFERROR(Table3[[#This Row],[Unit Price]]*Table3[[#This Row],[Return Qty]], "N/A")</calculatedColumnFormula>
    </tableColumn>
    <tableColumn id="19" xr3:uid="{00000000-0010-0000-0000-000013000000}" name="Revenue after return" dataDxfId="7">
      <calculatedColumnFormula>IFERROR(IF((Table3[[#This Row],[Revenue before return]]-Table3[[#This Row],[Amount of order  returned]])&lt;0, "N/A", Table3[[#This Row],[Revenue before return]]-Table3[[#This Row],[Amount of order  returned]]), "N/A")</calculatedColumnFormula>
    </tableColumn>
    <tableColumn id="12" xr3:uid="{00000000-0010-0000-0000-00000C000000}" name="Action" dataDxfId="6">
      <calculatedColumnFormula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D1:D9" totalsRowShown="0">
  <autoFilter ref="D1:D9" xr:uid="{00000000-0009-0000-0100-000001000000}"/>
  <tableColumns count="1">
    <tableColumn id="1" xr3:uid="{00000000-0010-0000-0100-000001000000}" name="TABLE DETAIL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C6" totalsRowShown="0">
  <autoFilter ref="A1:C6" xr:uid="{00000000-0009-0000-0100-000002000000}"/>
  <tableColumns count="3">
    <tableColumn id="1" xr3:uid="{00000000-0010-0000-0200-000001000000}" name="COLUMN" dataDxfId="5"/>
    <tableColumn id="2" xr3:uid="{00000000-0010-0000-0200-000002000000}" name="NUMBER OF ISSUES NOTICED" dataDxfId="4"/>
    <tableColumn id="3" xr3:uid="{00000000-0010-0000-0200-000003000000}" name="COMMENT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2"/>
  <sheetViews>
    <sheetView topLeftCell="H1" workbookViewId="0">
      <pane ySplit="1" topLeftCell="H2" activePane="bottomLeft" state="frozen"/>
      <selection activeCell="H1" sqref="H1"/>
      <selection pane="bottomLeft" activeCell="D3" sqref="D3"/>
    </sheetView>
  </sheetViews>
  <sheetFormatPr defaultRowHeight="15" x14ac:dyDescent="0.2"/>
  <cols>
    <col min="1" max="1" width="16.0078125" customWidth="1"/>
    <col min="2" max="3" width="20.04296875" customWidth="1"/>
    <col min="4" max="4" width="13.98828125" customWidth="1"/>
    <col min="5" max="5" width="16.0078125" customWidth="1"/>
    <col min="6" max="6" width="13.98828125" customWidth="1"/>
    <col min="7" max="7" width="17.21875" bestFit="1" customWidth="1"/>
    <col min="8" max="8" width="13.98828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15000</v>
      </c>
      <c r="F2" t="s">
        <v>12</v>
      </c>
      <c r="G2" s="2">
        <v>46125</v>
      </c>
      <c r="H2">
        <v>0</v>
      </c>
    </row>
    <row r="3" spans="1:8" x14ac:dyDescent="0.2">
      <c r="A3" t="s">
        <v>13</v>
      </c>
      <c r="B3" t="s">
        <v>14</v>
      </c>
      <c r="C3" t="s">
        <v>15</v>
      </c>
      <c r="D3">
        <v>3</v>
      </c>
      <c r="E3">
        <v>50000</v>
      </c>
      <c r="F3" t="s">
        <v>16</v>
      </c>
      <c r="G3" s="2">
        <v>46046</v>
      </c>
      <c r="H3">
        <v>0</v>
      </c>
    </row>
    <row r="4" spans="1:8" x14ac:dyDescent="0.2">
      <c r="A4" t="s">
        <v>17</v>
      </c>
      <c r="B4" t="s">
        <v>14</v>
      </c>
      <c r="C4" t="s">
        <v>18</v>
      </c>
      <c r="D4">
        <v>13</v>
      </c>
      <c r="E4">
        <v>50000</v>
      </c>
      <c r="F4" t="s">
        <v>19</v>
      </c>
      <c r="G4" s="2">
        <v>46032</v>
      </c>
      <c r="H4">
        <v>0</v>
      </c>
    </row>
    <row r="5" spans="1:8" x14ac:dyDescent="0.2">
      <c r="A5" t="s">
        <v>20</v>
      </c>
      <c r="B5" t="s">
        <v>21</v>
      </c>
      <c r="C5" t="s">
        <v>22</v>
      </c>
      <c r="D5">
        <v>18</v>
      </c>
      <c r="E5">
        <v>35000</v>
      </c>
      <c r="F5" t="s">
        <v>23</v>
      </c>
      <c r="G5" s="2">
        <v>46091</v>
      </c>
      <c r="H5">
        <v>5</v>
      </c>
    </row>
    <row r="6" spans="1:8" x14ac:dyDescent="0.2">
      <c r="A6" t="s">
        <v>24</v>
      </c>
      <c r="B6" t="s">
        <v>25</v>
      </c>
      <c r="C6" t="s">
        <v>26</v>
      </c>
      <c r="D6">
        <v>11</v>
      </c>
      <c r="E6">
        <v>20000</v>
      </c>
      <c r="F6" t="s">
        <v>27</v>
      </c>
      <c r="G6" s="2">
        <v>46048</v>
      </c>
      <c r="H6">
        <v>0</v>
      </c>
    </row>
    <row r="7" spans="1:8" x14ac:dyDescent="0.2">
      <c r="A7" t="s">
        <v>28</v>
      </c>
      <c r="B7" t="s">
        <v>9</v>
      </c>
      <c r="C7" t="s">
        <v>18</v>
      </c>
      <c r="D7" t="s">
        <v>29</v>
      </c>
      <c r="E7">
        <v>50000</v>
      </c>
      <c r="F7" t="s">
        <v>30</v>
      </c>
      <c r="G7" s="2">
        <v>46089</v>
      </c>
      <c r="H7">
        <v>0</v>
      </c>
    </row>
    <row r="8" spans="1:8" x14ac:dyDescent="0.2">
      <c r="A8" t="s">
        <v>31</v>
      </c>
      <c r="B8" t="s">
        <v>9</v>
      </c>
      <c r="C8" t="s">
        <v>32</v>
      </c>
      <c r="D8">
        <v>12</v>
      </c>
      <c r="E8">
        <v>8000</v>
      </c>
      <c r="F8" t="s">
        <v>33</v>
      </c>
      <c r="G8" s="2">
        <v>46025</v>
      </c>
      <c r="H8">
        <v>0</v>
      </c>
    </row>
    <row r="9" spans="1:8" x14ac:dyDescent="0.2">
      <c r="A9" t="s">
        <v>34</v>
      </c>
      <c r="B9" t="s">
        <v>21</v>
      </c>
      <c r="C9" t="s">
        <v>22</v>
      </c>
      <c r="D9">
        <v>4</v>
      </c>
      <c r="E9">
        <v>35000</v>
      </c>
      <c r="F9" t="s">
        <v>35</v>
      </c>
      <c r="G9" s="2">
        <v>46180</v>
      </c>
      <c r="H9">
        <v>0</v>
      </c>
    </row>
    <row r="10" spans="1:8" x14ac:dyDescent="0.2">
      <c r="A10" t="s">
        <v>36</v>
      </c>
      <c r="B10" t="s">
        <v>25</v>
      </c>
      <c r="C10" t="s">
        <v>26</v>
      </c>
      <c r="D10">
        <v>-1</v>
      </c>
      <c r="E10">
        <v>20000</v>
      </c>
      <c r="F10" t="s">
        <v>37</v>
      </c>
      <c r="G10" s="2">
        <v>46079</v>
      </c>
      <c r="H10">
        <v>0</v>
      </c>
    </row>
    <row r="11" spans="1:8" x14ac:dyDescent="0.2">
      <c r="A11" t="s">
        <v>38</v>
      </c>
      <c r="B11" t="s">
        <v>21</v>
      </c>
      <c r="C11" t="s">
        <v>39</v>
      </c>
      <c r="D11">
        <v>6</v>
      </c>
      <c r="E11">
        <v>12000</v>
      </c>
      <c r="F11" t="s">
        <v>40</v>
      </c>
      <c r="G11" s="2">
        <v>46035</v>
      </c>
      <c r="H11">
        <v>5</v>
      </c>
    </row>
    <row r="12" spans="1:8" x14ac:dyDescent="0.2">
      <c r="A12" t="s">
        <v>41</v>
      </c>
      <c r="B12" t="s">
        <v>14</v>
      </c>
      <c r="C12" t="s">
        <v>26</v>
      </c>
      <c r="D12">
        <v>6</v>
      </c>
      <c r="E12">
        <v>20000</v>
      </c>
      <c r="F12" t="s">
        <v>42</v>
      </c>
      <c r="G12" t="s">
        <v>43</v>
      </c>
      <c r="H12">
        <v>0</v>
      </c>
    </row>
    <row r="13" spans="1:8" x14ac:dyDescent="0.2">
      <c r="A13" t="s">
        <v>44</v>
      </c>
      <c r="B13" t="s">
        <v>25</v>
      </c>
      <c r="C13" t="s">
        <v>45</v>
      </c>
      <c r="D13">
        <v>3</v>
      </c>
      <c r="E13">
        <v>20000</v>
      </c>
      <c r="F13" t="s">
        <v>46</v>
      </c>
      <c r="G13" s="2">
        <v>46177</v>
      </c>
      <c r="H13">
        <v>0</v>
      </c>
    </row>
    <row r="14" spans="1:8" x14ac:dyDescent="0.2">
      <c r="A14" t="s">
        <v>47</v>
      </c>
      <c r="B14" t="s">
        <v>9</v>
      </c>
      <c r="C14" t="s">
        <v>10</v>
      </c>
      <c r="D14">
        <v>3</v>
      </c>
      <c r="E14">
        <v>15000</v>
      </c>
      <c r="F14" t="s">
        <v>48</v>
      </c>
      <c r="G14" s="2">
        <v>46127</v>
      </c>
      <c r="H14">
        <v>0</v>
      </c>
    </row>
    <row r="15" spans="1:8" x14ac:dyDescent="0.2">
      <c r="A15" t="s">
        <v>49</v>
      </c>
      <c r="B15" t="s">
        <v>21</v>
      </c>
      <c r="C15" t="s">
        <v>32</v>
      </c>
      <c r="D15">
        <v>7</v>
      </c>
      <c r="E15">
        <v>8000</v>
      </c>
      <c r="F15" t="s">
        <v>50</v>
      </c>
      <c r="G15" s="2">
        <v>46043</v>
      </c>
      <c r="H15">
        <v>0</v>
      </c>
    </row>
    <row r="16" spans="1:8" x14ac:dyDescent="0.2">
      <c r="A16" t="s">
        <v>51</v>
      </c>
      <c r="B16" t="s">
        <v>14</v>
      </c>
      <c r="C16" t="s">
        <v>45</v>
      </c>
      <c r="D16">
        <v>21</v>
      </c>
      <c r="E16">
        <v>20000</v>
      </c>
      <c r="F16" t="s">
        <v>52</v>
      </c>
      <c r="G16" s="2">
        <v>46101</v>
      </c>
      <c r="H16">
        <v>0</v>
      </c>
    </row>
    <row r="17" spans="1:8" x14ac:dyDescent="0.2">
      <c r="A17" t="s">
        <v>53</v>
      </c>
      <c r="B17" t="s">
        <v>25</v>
      </c>
      <c r="C17" t="s">
        <v>22</v>
      </c>
      <c r="D17">
        <v>10</v>
      </c>
      <c r="E17">
        <v>35000</v>
      </c>
      <c r="F17" t="s">
        <v>54</v>
      </c>
      <c r="G17" s="2">
        <v>46123</v>
      </c>
      <c r="H17" t="s">
        <v>55</v>
      </c>
    </row>
    <row r="18" spans="1:8" x14ac:dyDescent="0.2">
      <c r="A18" t="s">
        <v>56</v>
      </c>
      <c r="B18" t="s">
        <v>9</v>
      </c>
      <c r="C18" t="s">
        <v>39</v>
      </c>
      <c r="D18">
        <v>23</v>
      </c>
      <c r="E18">
        <v>12000</v>
      </c>
      <c r="F18" t="s">
        <v>57</v>
      </c>
      <c r="G18" s="2">
        <v>46027</v>
      </c>
      <c r="H18">
        <v>0</v>
      </c>
    </row>
    <row r="19" spans="1:8" x14ac:dyDescent="0.2">
      <c r="A19" t="s">
        <v>58</v>
      </c>
      <c r="B19" t="s">
        <v>9</v>
      </c>
      <c r="C19" t="s">
        <v>18</v>
      </c>
      <c r="D19">
        <v>24</v>
      </c>
      <c r="E19">
        <v>50000</v>
      </c>
      <c r="F19" t="s">
        <v>59</v>
      </c>
      <c r="G19" s="2">
        <v>46128</v>
      </c>
      <c r="H19">
        <v>3</v>
      </c>
    </row>
    <row r="20" spans="1:8" x14ac:dyDescent="0.2">
      <c r="A20" t="s">
        <v>60</v>
      </c>
      <c r="B20" t="s">
        <v>14</v>
      </c>
      <c r="C20" t="s">
        <v>18</v>
      </c>
      <c r="D20">
        <v>24</v>
      </c>
      <c r="E20">
        <v>50000</v>
      </c>
      <c r="F20" t="s">
        <v>61</v>
      </c>
      <c r="G20" s="2">
        <v>46200</v>
      </c>
      <c r="H20">
        <v>0</v>
      </c>
    </row>
    <row r="21" spans="1:8" x14ac:dyDescent="0.2">
      <c r="A21" t="s">
        <v>62</v>
      </c>
      <c r="B21" t="s">
        <v>25</v>
      </c>
      <c r="C21" t="s">
        <v>22</v>
      </c>
      <c r="D21">
        <v>25</v>
      </c>
      <c r="E21">
        <v>35000</v>
      </c>
      <c r="F21" t="s">
        <v>63</v>
      </c>
      <c r="G21" s="2">
        <v>46120</v>
      </c>
      <c r="H21">
        <v>0</v>
      </c>
    </row>
    <row r="22" spans="1:8" x14ac:dyDescent="0.2">
      <c r="A22" t="s">
        <v>64</v>
      </c>
      <c r="B22" t="s">
        <v>21</v>
      </c>
      <c r="C22" t="s">
        <v>22</v>
      </c>
      <c r="D22">
        <v>22</v>
      </c>
      <c r="E22">
        <v>35000</v>
      </c>
      <c r="F22" t="s">
        <v>59</v>
      </c>
      <c r="G22" t="s">
        <v>65</v>
      </c>
      <c r="H22">
        <v>3</v>
      </c>
    </row>
    <row r="23" spans="1:8" x14ac:dyDescent="0.2">
      <c r="A23" t="s">
        <v>66</v>
      </c>
      <c r="B23" t="s">
        <v>9</v>
      </c>
      <c r="C23" t="s">
        <v>67</v>
      </c>
      <c r="D23">
        <v>18</v>
      </c>
      <c r="E23">
        <v>15000</v>
      </c>
      <c r="F23" t="s">
        <v>68</v>
      </c>
      <c r="G23" s="2">
        <v>46054</v>
      </c>
      <c r="H23">
        <v>0</v>
      </c>
    </row>
    <row r="24" spans="1:8" x14ac:dyDescent="0.2">
      <c r="A24" t="s">
        <v>69</v>
      </c>
      <c r="B24" t="s">
        <v>25</v>
      </c>
      <c r="C24" t="s">
        <v>70</v>
      </c>
      <c r="D24">
        <v>17</v>
      </c>
      <c r="E24">
        <v>28000</v>
      </c>
      <c r="F24" t="s">
        <v>71</v>
      </c>
      <c r="G24" s="2">
        <v>46099</v>
      </c>
      <c r="H24">
        <v>0</v>
      </c>
    </row>
    <row r="25" spans="1:8" x14ac:dyDescent="0.2">
      <c r="A25" t="s">
        <v>72</v>
      </c>
      <c r="B25" t="s">
        <v>21</v>
      </c>
      <c r="C25" t="s">
        <v>45</v>
      </c>
      <c r="D25">
        <v>8</v>
      </c>
      <c r="E25">
        <v>20000</v>
      </c>
      <c r="F25" t="s">
        <v>73</v>
      </c>
      <c r="G25" s="2">
        <v>46169</v>
      </c>
      <c r="H25">
        <v>5</v>
      </c>
    </row>
    <row r="26" spans="1:8" x14ac:dyDescent="0.2">
      <c r="A26" t="s">
        <v>74</v>
      </c>
      <c r="B26" t="s">
        <v>21</v>
      </c>
      <c r="C26" t="s">
        <v>22</v>
      </c>
      <c r="D26">
        <v>4</v>
      </c>
      <c r="E26">
        <v>70000</v>
      </c>
      <c r="F26" t="s">
        <v>75</v>
      </c>
      <c r="G26" s="2">
        <v>46165</v>
      </c>
      <c r="H26">
        <v>0</v>
      </c>
    </row>
    <row r="27" spans="1:8" x14ac:dyDescent="0.2">
      <c r="A27" t="s">
        <v>76</v>
      </c>
      <c r="B27" t="s">
        <v>9</v>
      </c>
      <c r="C27" t="s">
        <v>26</v>
      </c>
      <c r="D27">
        <v>7</v>
      </c>
      <c r="E27" t="s">
        <v>77</v>
      </c>
      <c r="F27" t="s">
        <v>78</v>
      </c>
      <c r="G27" s="2">
        <v>46081</v>
      </c>
      <c r="H27">
        <v>0</v>
      </c>
    </row>
    <row r="28" spans="1:8" x14ac:dyDescent="0.2">
      <c r="A28" t="s">
        <v>79</v>
      </c>
      <c r="B28" t="s">
        <v>9</v>
      </c>
      <c r="C28" t="s">
        <v>45</v>
      </c>
      <c r="D28">
        <v>1</v>
      </c>
      <c r="E28">
        <v>20000</v>
      </c>
      <c r="F28" t="s">
        <v>80</v>
      </c>
      <c r="G28" s="2">
        <v>46148</v>
      </c>
      <c r="H28">
        <v>0</v>
      </c>
    </row>
    <row r="29" spans="1:8" x14ac:dyDescent="0.2">
      <c r="A29" t="s">
        <v>81</v>
      </c>
      <c r="B29" t="s">
        <v>25</v>
      </c>
      <c r="C29" t="s">
        <v>45</v>
      </c>
      <c r="D29">
        <v>11</v>
      </c>
      <c r="E29">
        <v>20000</v>
      </c>
      <c r="F29" t="s">
        <v>82</v>
      </c>
      <c r="G29" s="2">
        <v>46067</v>
      </c>
      <c r="H29">
        <v>4</v>
      </c>
    </row>
    <row r="30" spans="1:8" x14ac:dyDescent="0.2">
      <c r="A30" t="s">
        <v>83</v>
      </c>
      <c r="B30" t="s">
        <v>21</v>
      </c>
      <c r="C30" t="s">
        <v>32</v>
      </c>
      <c r="D30">
        <v>19</v>
      </c>
      <c r="E30">
        <v>8000</v>
      </c>
      <c r="F30" t="s">
        <v>84</v>
      </c>
      <c r="G30" s="2">
        <v>46055</v>
      </c>
      <c r="H30">
        <v>0</v>
      </c>
    </row>
    <row r="31" spans="1:8" x14ac:dyDescent="0.2">
      <c r="A31" t="s">
        <v>85</v>
      </c>
      <c r="B31" t="s">
        <v>14</v>
      </c>
      <c r="C31" t="s">
        <v>18</v>
      </c>
      <c r="D31">
        <v>1</v>
      </c>
      <c r="E31">
        <v>50000</v>
      </c>
      <c r="F31" t="s">
        <v>86</v>
      </c>
      <c r="G31" s="2">
        <v>46031</v>
      </c>
      <c r="H31">
        <v>0</v>
      </c>
    </row>
    <row r="32" spans="1:8" x14ac:dyDescent="0.2">
      <c r="A32" t="s">
        <v>87</v>
      </c>
      <c r="B32" t="s">
        <v>14</v>
      </c>
      <c r="C32" t="s">
        <v>18</v>
      </c>
      <c r="D32">
        <v>12</v>
      </c>
      <c r="E32">
        <v>50000</v>
      </c>
      <c r="F32" t="s">
        <v>88</v>
      </c>
      <c r="G32" s="2">
        <v>46105</v>
      </c>
      <c r="H32">
        <v>0</v>
      </c>
    </row>
    <row r="33" spans="1:8" x14ac:dyDescent="0.2">
      <c r="A33" t="s">
        <v>89</v>
      </c>
      <c r="B33" t="s">
        <v>25</v>
      </c>
      <c r="C33" t="s">
        <v>45</v>
      </c>
      <c r="D33">
        <v>11</v>
      </c>
      <c r="E33">
        <v>20000</v>
      </c>
      <c r="F33" t="s">
        <v>90</v>
      </c>
      <c r="G33" s="2">
        <v>46091</v>
      </c>
      <c r="H33">
        <v>0</v>
      </c>
    </row>
    <row r="34" spans="1:8" x14ac:dyDescent="0.2">
      <c r="A34" t="s">
        <v>91</v>
      </c>
      <c r="B34" t="s">
        <v>9</v>
      </c>
      <c r="C34" t="s">
        <v>10</v>
      </c>
      <c r="D34">
        <v>24</v>
      </c>
      <c r="E34">
        <v>15000</v>
      </c>
      <c r="F34" t="s">
        <v>92</v>
      </c>
      <c r="G34" s="2">
        <v>46043</v>
      </c>
      <c r="H34">
        <v>3</v>
      </c>
    </row>
    <row r="35" spans="1:8" x14ac:dyDescent="0.2">
      <c r="A35" t="s">
        <v>93</v>
      </c>
      <c r="B35" t="s">
        <v>9</v>
      </c>
      <c r="C35" t="s">
        <v>22</v>
      </c>
      <c r="D35">
        <v>20</v>
      </c>
      <c r="E35">
        <v>35000</v>
      </c>
      <c r="F35" t="s">
        <v>37</v>
      </c>
      <c r="G35" s="2">
        <v>46070</v>
      </c>
      <c r="H35">
        <v>0</v>
      </c>
    </row>
    <row r="36" spans="1:8" x14ac:dyDescent="0.2">
      <c r="A36" t="s">
        <v>94</v>
      </c>
      <c r="B36" t="s">
        <v>9</v>
      </c>
      <c r="C36" t="s">
        <v>32</v>
      </c>
      <c r="D36">
        <v>12</v>
      </c>
      <c r="E36">
        <v>8000</v>
      </c>
      <c r="F36" t="s">
        <v>95</v>
      </c>
      <c r="G36" s="2">
        <v>46108</v>
      </c>
      <c r="H36">
        <v>0</v>
      </c>
    </row>
    <row r="37" spans="1:8" x14ac:dyDescent="0.2">
      <c r="A37" t="s">
        <v>96</v>
      </c>
      <c r="B37" t="s">
        <v>25</v>
      </c>
      <c r="C37" t="s">
        <v>32</v>
      </c>
      <c r="D37">
        <v>4</v>
      </c>
      <c r="E37">
        <v>8000</v>
      </c>
      <c r="F37" t="s">
        <v>97</v>
      </c>
      <c r="G37" s="2">
        <v>46159</v>
      </c>
      <c r="H37">
        <v>0</v>
      </c>
    </row>
    <row r="38" spans="1:8" x14ac:dyDescent="0.2">
      <c r="A38" t="s">
        <v>98</v>
      </c>
      <c r="B38" t="s">
        <v>21</v>
      </c>
      <c r="C38" t="s">
        <v>32</v>
      </c>
      <c r="D38">
        <v>12</v>
      </c>
      <c r="E38">
        <v>8000</v>
      </c>
      <c r="F38" t="s">
        <v>99</v>
      </c>
      <c r="G38" s="2">
        <v>46110</v>
      </c>
      <c r="H38">
        <v>0</v>
      </c>
    </row>
    <row r="39" spans="1:8" x14ac:dyDescent="0.2">
      <c r="A39" t="s">
        <v>100</v>
      </c>
      <c r="B39" t="s">
        <v>9</v>
      </c>
      <c r="C39" t="s">
        <v>32</v>
      </c>
      <c r="D39">
        <v>-6</v>
      </c>
      <c r="E39">
        <v>8000</v>
      </c>
      <c r="F39" t="s">
        <v>101</v>
      </c>
      <c r="G39" s="2">
        <v>46139</v>
      </c>
      <c r="H39">
        <v>0</v>
      </c>
    </row>
    <row r="40" spans="1:8" x14ac:dyDescent="0.2">
      <c r="A40" t="s">
        <v>102</v>
      </c>
      <c r="B40" t="s">
        <v>25</v>
      </c>
      <c r="C40" t="s">
        <v>70</v>
      </c>
      <c r="D40">
        <v>22</v>
      </c>
      <c r="E40">
        <v>28000</v>
      </c>
      <c r="F40" t="s">
        <v>103</v>
      </c>
      <c r="G40" s="2">
        <v>46080</v>
      </c>
      <c r="H40">
        <v>0</v>
      </c>
    </row>
    <row r="41" spans="1:8" x14ac:dyDescent="0.2">
      <c r="A41" t="s">
        <v>104</v>
      </c>
      <c r="B41" t="s">
        <v>9</v>
      </c>
      <c r="C41" t="s">
        <v>105</v>
      </c>
      <c r="D41">
        <v>18</v>
      </c>
      <c r="E41">
        <v>8000</v>
      </c>
      <c r="F41" t="s">
        <v>106</v>
      </c>
      <c r="G41" s="2">
        <v>46136</v>
      </c>
      <c r="H41">
        <v>0</v>
      </c>
    </row>
    <row r="42" spans="1:8" x14ac:dyDescent="0.2">
      <c r="A42" t="s">
        <v>107</v>
      </c>
      <c r="B42" t="s">
        <v>25</v>
      </c>
      <c r="C42" t="s">
        <v>26</v>
      </c>
      <c r="D42">
        <v>2</v>
      </c>
      <c r="E42">
        <v>20000</v>
      </c>
      <c r="F42" t="s">
        <v>108</v>
      </c>
      <c r="G42" s="2">
        <v>46136</v>
      </c>
      <c r="H42">
        <v>0</v>
      </c>
    </row>
    <row r="43" spans="1:8" x14ac:dyDescent="0.2">
      <c r="A43" t="s">
        <v>109</v>
      </c>
      <c r="B43" t="s">
        <v>21</v>
      </c>
      <c r="C43" t="s">
        <v>22</v>
      </c>
      <c r="D43">
        <v>6</v>
      </c>
      <c r="E43">
        <v>35000</v>
      </c>
      <c r="F43" t="s">
        <v>110</v>
      </c>
      <c r="G43" s="2">
        <v>46119</v>
      </c>
      <c r="H43">
        <v>0</v>
      </c>
    </row>
    <row r="44" spans="1:8" x14ac:dyDescent="0.2">
      <c r="A44" t="s">
        <v>111</v>
      </c>
      <c r="B44" t="s">
        <v>21</v>
      </c>
      <c r="C44" t="s">
        <v>26</v>
      </c>
      <c r="D44" t="s">
        <v>112</v>
      </c>
      <c r="E44">
        <v>20000</v>
      </c>
      <c r="F44" t="s">
        <v>113</v>
      </c>
      <c r="H44">
        <v>1</v>
      </c>
    </row>
    <row r="45" spans="1:8" x14ac:dyDescent="0.2">
      <c r="A45" t="s">
        <v>114</v>
      </c>
      <c r="B45" t="s">
        <v>25</v>
      </c>
      <c r="C45" t="s">
        <v>39</v>
      </c>
      <c r="D45">
        <v>8</v>
      </c>
      <c r="E45">
        <v>12000</v>
      </c>
      <c r="F45" t="s">
        <v>115</v>
      </c>
      <c r="G45" s="2">
        <v>46177</v>
      </c>
      <c r="H45">
        <v>0</v>
      </c>
    </row>
    <row r="46" spans="1:8" x14ac:dyDescent="0.2">
      <c r="A46" t="s">
        <v>116</v>
      </c>
      <c r="B46" t="s">
        <v>21</v>
      </c>
      <c r="C46" t="s">
        <v>26</v>
      </c>
      <c r="D46">
        <v>6</v>
      </c>
      <c r="E46">
        <v>20000</v>
      </c>
      <c r="F46" t="s">
        <v>117</v>
      </c>
      <c r="G46" s="2">
        <v>46039</v>
      </c>
      <c r="H46">
        <v>0</v>
      </c>
    </row>
    <row r="47" spans="1:8" x14ac:dyDescent="0.2">
      <c r="A47" t="s">
        <v>118</v>
      </c>
      <c r="B47" t="s">
        <v>21</v>
      </c>
      <c r="C47" t="s">
        <v>10</v>
      </c>
      <c r="D47">
        <v>23</v>
      </c>
      <c r="E47">
        <v>15000</v>
      </c>
      <c r="F47" t="s">
        <v>119</v>
      </c>
      <c r="G47" s="2">
        <v>46182</v>
      </c>
      <c r="H47">
        <v>2</v>
      </c>
    </row>
    <row r="48" spans="1:8" x14ac:dyDescent="0.2">
      <c r="A48" t="s">
        <v>120</v>
      </c>
      <c r="B48" t="s">
        <v>21</v>
      </c>
      <c r="C48" t="s">
        <v>26</v>
      </c>
      <c r="D48" t="s">
        <v>11</v>
      </c>
      <c r="E48">
        <v>20000</v>
      </c>
      <c r="F48" t="s">
        <v>121</v>
      </c>
      <c r="G48" s="2">
        <v>46189</v>
      </c>
      <c r="H48">
        <v>0</v>
      </c>
    </row>
    <row r="49" spans="1:8" x14ac:dyDescent="0.2">
      <c r="A49" t="s">
        <v>122</v>
      </c>
      <c r="B49" t="s">
        <v>25</v>
      </c>
      <c r="C49" t="s">
        <v>39</v>
      </c>
      <c r="D49">
        <v>5</v>
      </c>
      <c r="E49">
        <v>12000</v>
      </c>
      <c r="F49" t="s">
        <v>123</v>
      </c>
      <c r="G49" s="2">
        <v>46172</v>
      </c>
      <c r="H49">
        <v>0</v>
      </c>
    </row>
    <row r="50" spans="1:8" x14ac:dyDescent="0.2">
      <c r="A50" t="s">
        <v>124</v>
      </c>
      <c r="B50" t="s">
        <v>21</v>
      </c>
      <c r="C50" t="s">
        <v>18</v>
      </c>
      <c r="D50">
        <v>5</v>
      </c>
      <c r="E50">
        <v>50000</v>
      </c>
      <c r="F50" t="s">
        <v>125</v>
      </c>
      <c r="G50" s="2">
        <v>46193</v>
      </c>
      <c r="H50">
        <v>0</v>
      </c>
    </row>
    <row r="51" spans="1:8" x14ac:dyDescent="0.2">
      <c r="A51" t="s">
        <v>126</v>
      </c>
      <c r="B51" t="s">
        <v>9</v>
      </c>
      <c r="C51" t="s">
        <v>32</v>
      </c>
      <c r="D51">
        <v>17</v>
      </c>
      <c r="E51">
        <v>8000</v>
      </c>
      <c r="F51" t="s">
        <v>35</v>
      </c>
      <c r="G51" s="2">
        <v>46079</v>
      </c>
      <c r="H51">
        <v>3</v>
      </c>
    </row>
    <row r="52" spans="1:8" x14ac:dyDescent="0.2">
      <c r="A52" t="s">
        <v>127</v>
      </c>
      <c r="B52" t="s">
        <v>25</v>
      </c>
      <c r="C52" t="s">
        <v>70</v>
      </c>
      <c r="D52">
        <v>16</v>
      </c>
      <c r="E52">
        <v>28000</v>
      </c>
      <c r="F52" t="s">
        <v>128</v>
      </c>
      <c r="G52" s="2">
        <v>46134</v>
      </c>
      <c r="H52">
        <v>0</v>
      </c>
    </row>
    <row r="53" spans="1:8" x14ac:dyDescent="0.2">
      <c r="A53" t="s">
        <v>129</v>
      </c>
      <c r="B53" t="s">
        <v>14</v>
      </c>
      <c r="C53" t="s">
        <v>130</v>
      </c>
      <c r="D53">
        <v>11</v>
      </c>
      <c r="E53">
        <v>20000</v>
      </c>
      <c r="F53" t="s">
        <v>50</v>
      </c>
      <c r="G53" s="2">
        <v>46048</v>
      </c>
      <c r="H53">
        <v>0</v>
      </c>
    </row>
    <row r="54" spans="1:8" x14ac:dyDescent="0.2">
      <c r="A54" t="s">
        <v>131</v>
      </c>
      <c r="B54" t="s">
        <v>9</v>
      </c>
      <c r="C54" t="s">
        <v>70</v>
      </c>
      <c r="D54">
        <v>9</v>
      </c>
      <c r="E54">
        <v>28000</v>
      </c>
      <c r="F54" t="s">
        <v>132</v>
      </c>
      <c r="G54" s="2">
        <v>46072</v>
      </c>
      <c r="H54">
        <v>0</v>
      </c>
    </row>
    <row r="55" spans="1:8" x14ac:dyDescent="0.2">
      <c r="A55" t="s">
        <v>133</v>
      </c>
      <c r="B55" t="s">
        <v>21</v>
      </c>
      <c r="C55" t="s">
        <v>45</v>
      </c>
      <c r="D55">
        <v>24</v>
      </c>
      <c r="E55">
        <v>20000</v>
      </c>
      <c r="F55" t="s">
        <v>134</v>
      </c>
      <c r="G55" s="2">
        <v>46182</v>
      </c>
      <c r="H55">
        <v>0</v>
      </c>
    </row>
    <row r="56" spans="1:8" x14ac:dyDescent="0.2">
      <c r="A56" t="s">
        <v>135</v>
      </c>
      <c r="B56" t="s">
        <v>25</v>
      </c>
      <c r="C56" t="s">
        <v>18</v>
      </c>
      <c r="D56">
        <v>15</v>
      </c>
      <c r="E56">
        <v>50000</v>
      </c>
      <c r="F56" t="s">
        <v>137</v>
      </c>
      <c r="G56" s="2">
        <v>46075</v>
      </c>
      <c r="H56">
        <v>0</v>
      </c>
    </row>
    <row r="57" spans="1:8" x14ac:dyDescent="0.2">
      <c r="A57" t="s">
        <v>138</v>
      </c>
      <c r="B57" t="s">
        <v>21</v>
      </c>
      <c r="C57" t="s">
        <v>18</v>
      </c>
      <c r="D57">
        <v>14</v>
      </c>
      <c r="E57">
        <v>50000</v>
      </c>
      <c r="F57" t="s">
        <v>75</v>
      </c>
      <c r="G57" s="2">
        <v>46079</v>
      </c>
      <c r="H57">
        <v>0</v>
      </c>
    </row>
    <row r="58" spans="1:8" x14ac:dyDescent="0.2">
      <c r="A58" t="s">
        <v>139</v>
      </c>
      <c r="B58" t="s">
        <v>9</v>
      </c>
      <c r="C58" t="s">
        <v>18</v>
      </c>
      <c r="D58">
        <v>24</v>
      </c>
      <c r="E58">
        <v>50000</v>
      </c>
      <c r="F58" t="s">
        <v>140</v>
      </c>
      <c r="G58" s="2">
        <v>46112</v>
      </c>
      <c r="H58">
        <v>0</v>
      </c>
    </row>
    <row r="59" spans="1:8" x14ac:dyDescent="0.2">
      <c r="A59" t="s">
        <v>141</v>
      </c>
      <c r="B59" t="s">
        <v>21</v>
      </c>
      <c r="C59" t="s">
        <v>22</v>
      </c>
      <c r="D59">
        <v>20</v>
      </c>
      <c r="E59">
        <v>17500</v>
      </c>
      <c r="F59" t="s">
        <v>142</v>
      </c>
      <c r="G59" s="2">
        <v>46095</v>
      </c>
      <c r="H59">
        <v>0</v>
      </c>
    </row>
    <row r="60" spans="1:8" x14ac:dyDescent="0.2">
      <c r="A60" t="s">
        <v>143</v>
      </c>
      <c r="B60" t="s">
        <v>25</v>
      </c>
      <c r="C60" t="s">
        <v>70</v>
      </c>
      <c r="D60">
        <v>15</v>
      </c>
      <c r="E60">
        <v>28000</v>
      </c>
      <c r="F60" t="s">
        <v>144</v>
      </c>
      <c r="G60" s="2">
        <v>46058</v>
      </c>
      <c r="H60">
        <v>0</v>
      </c>
    </row>
    <row r="61" spans="1:8" x14ac:dyDescent="0.2">
      <c r="A61" t="s">
        <v>145</v>
      </c>
      <c r="B61" t="s">
        <v>21</v>
      </c>
      <c r="C61" t="s">
        <v>70</v>
      </c>
      <c r="D61">
        <v>4</v>
      </c>
      <c r="E61">
        <v>28000</v>
      </c>
      <c r="F61" t="s">
        <v>146</v>
      </c>
      <c r="G61" s="2">
        <v>46033</v>
      </c>
      <c r="H61">
        <v>0</v>
      </c>
    </row>
    <row r="62" spans="1:8" x14ac:dyDescent="0.2">
      <c r="A62" t="s">
        <v>147</v>
      </c>
      <c r="B62" t="s">
        <v>9</v>
      </c>
      <c r="C62" t="s">
        <v>10</v>
      </c>
      <c r="D62">
        <v>18</v>
      </c>
      <c r="E62">
        <v>15000</v>
      </c>
      <c r="F62" t="s">
        <v>148</v>
      </c>
      <c r="G62" s="2">
        <v>46072</v>
      </c>
      <c r="H62">
        <v>0</v>
      </c>
    </row>
    <row r="63" spans="1:8" x14ac:dyDescent="0.2">
      <c r="A63" t="s">
        <v>149</v>
      </c>
      <c r="B63" t="s">
        <v>25</v>
      </c>
      <c r="C63" t="s">
        <v>45</v>
      </c>
      <c r="D63" t="s">
        <v>150</v>
      </c>
      <c r="E63">
        <v>20000</v>
      </c>
      <c r="F63" t="s">
        <v>151</v>
      </c>
      <c r="G63" s="2">
        <v>46144</v>
      </c>
      <c r="H63">
        <v>0</v>
      </c>
    </row>
    <row r="64" spans="1:8" x14ac:dyDescent="0.2">
      <c r="A64" t="s">
        <v>152</v>
      </c>
      <c r="B64" t="s">
        <v>21</v>
      </c>
      <c r="C64" t="s">
        <v>32</v>
      </c>
      <c r="D64">
        <v>25</v>
      </c>
      <c r="E64">
        <v>8000</v>
      </c>
      <c r="F64" t="s">
        <v>153</v>
      </c>
      <c r="G64" s="2">
        <v>46161</v>
      </c>
      <c r="H64">
        <v>0</v>
      </c>
    </row>
    <row r="65" spans="1:8" x14ac:dyDescent="0.2">
      <c r="A65" t="s">
        <v>154</v>
      </c>
      <c r="B65" t="s">
        <v>21</v>
      </c>
      <c r="C65" t="s">
        <v>70</v>
      </c>
      <c r="D65">
        <v>7</v>
      </c>
      <c r="E65">
        <v>28000</v>
      </c>
      <c r="F65" t="s">
        <v>155</v>
      </c>
      <c r="G65" s="2">
        <v>46100</v>
      </c>
      <c r="H65">
        <v>0</v>
      </c>
    </row>
    <row r="66" spans="1:8" x14ac:dyDescent="0.2">
      <c r="A66" t="s">
        <v>156</v>
      </c>
      <c r="B66" t="s">
        <v>9</v>
      </c>
      <c r="C66" t="s">
        <v>32</v>
      </c>
      <c r="D66">
        <v>20</v>
      </c>
      <c r="E66">
        <v>8000</v>
      </c>
      <c r="G66" s="2">
        <v>46081</v>
      </c>
      <c r="H66">
        <v>0</v>
      </c>
    </row>
    <row r="67" spans="1:8" x14ac:dyDescent="0.2">
      <c r="A67" t="s">
        <v>157</v>
      </c>
      <c r="B67" t="s">
        <v>14</v>
      </c>
      <c r="C67" t="s">
        <v>158</v>
      </c>
      <c r="D67">
        <v>24</v>
      </c>
      <c r="E67">
        <v>35000</v>
      </c>
      <c r="F67" t="s">
        <v>159</v>
      </c>
      <c r="G67" s="2">
        <v>46057</v>
      </c>
      <c r="H67">
        <v>0</v>
      </c>
    </row>
    <row r="68" spans="1:8" x14ac:dyDescent="0.2">
      <c r="A68" t="s">
        <v>160</v>
      </c>
      <c r="B68" t="s">
        <v>21</v>
      </c>
      <c r="C68" t="s">
        <v>18</v>
      </c>
      <c r="D68">
        <v>19</v>
      </c>
      <c r="E68">
        <v>50000</v>
      </c>
      <c r="F68" t="s">
        <v>161</v>
      </c>
      <c r="G68" s="2">
        <v>46085</v>
      </c>
      <c r="H68">
        <v>0</v>
      </c>
    </row>
    <row r="69" spans="1:8" x14ac:dyDescent="0.2">
      <c r="A69" t="s">
        <v>162</v>
      </c>
      <c r="B69" t="s">
        <v>9</v>
      </c>
      <c r="C69" t="s">
        <v>39</v>
      </c>
      <c r="D69">
        <v>1</v>
      </c>
      <c r="E69">
        <v>12000</v>
      </c>
      <c r="F69" t="s">
        <v>163</v>
      </c>
      <c r="G69" t="s">
        <v>164</v>
      </c>
      <c r="H69">
        <v>1</v>
      </c>
    </row>
    <row r="70" spans="1:8" x14ac:dyDescent="0.2">
      <c r="A70" t="s">
        <v>165</v>
      </c>
      <c r="B70" t="s">
        <v>9</v>
      </c>
      <c r="C70" t="s">
        <v>26</v>
      </c>
      <c r="D70" t="s">
        <v>166</v>
      </c>
      <c r="E70">
        <v>20000</v>
      </c>
      <c r="F70" t="s">
        <v>167</v>
      </c>
      <c r="G70" s="2">
        <v>46100</v>
      </c>
      <c r="H70">
        <v>2</v>
      </c>
    </row>
    <row r="71" spans="1:8" x14ac:dyDescent="0.2">
      <c r="A71" t="s">
        <v>168</v>
      </c>
      <c r="B71" t="s">
        <v>21</v>
      </c>
      <c r="C71" t="s">
        <v>26</v>
      </c>
      <c r="D71">
        <v>1</v>
      </c>
      <c r="E71">
        <v>20000</v>
      </c>
      <c r="F71" t="s">
        <v>169</v>
      </c>
      <c r="G71" s="2">
        <v>46051</v>
      </c>
      <c r="H71" t="s">
        <v>55</v>
      </c>
    </row>
    <row r="72" spans="1:8" x14ac:dyDescent="0.2">
      <c r="A72" t="s">
        <v>170</v>
      </c>
      <c r="B72" t="s">
        <v>9</v>
      </c>
      <c r="C72" t="s">
        <v>70</v>
      </c>
      <c r="D72">
        <v>24</v>
      </c>
      <c r="E72">
        <v>28000</v>
      </c>
      <c r="F72" t="s">
        <v>171</v>
      </c>
      <c r="H72">
        <v>0</v>
      </c>
    </row>
    <row r="73" spans="1:8" x14ac:dyDescent="0.2">
      <c r="A73" t="s">
        <v>172</v>
      </c>
      <c r="B73" t="s">
        <v>21</v>
      </c>
      <c r="C73" t="s">
        <v>22</v>
      </c>
      <c r="D73">
        <v>23</v>
      </c>
      <c r="E73">
        <v>35000</v>
      </c>
      <c r="F73" t="s">
        <v>173</v>
      </c>
      <c r="G73" s="2">
        <v>46153</v>
      </c>
      <c r="H73">
        <v>0</v>
      </c>
    </row>
    <row r="74" spans="1:8" x14ac:dyDescent="0.2">
      <c r="A74" t="s">
        <v>174</v>
      </c>
      <c r="B74" t="s">
        <v>25</v>
      </c>
      <c r="C74" t="s">
        <v>32</v>
      </c>
      <c r="D74">
        <v>24</v>
      </c>
      <c r="E74">
        <v>8000</v>
      </c>
      <c r="F74" t="s">
        <v>175</v>
      </c>
      <c r="G74" s="2">
        <v>46163</v>
      </c>
      <c r="H74">
        <v>0</v>
      </c>
    </row>
    <row r="75" spans="1:8" x14ac:dyDescent="0.2">
      <c r="A75" t="s">
        <v>176</v>
      </c>
      <c r="B75" t="s">
        <v>14</v>
      </c>
      <c r="C75" t="s">
        <v>10</v>
      </c>
      <c r="D75">
        <v>1</v>
      </c>
      <c r="E75">
        <v>15000</v>
      </c>
      <c r="F75" t="s">
        <v>177</v>
      </c>
      <c r="G75" s="2">
        <v>46076</v>
      </c>
      <c r="H75">
        <v>0</v>
      </c>
    </row>
    <row r="76" spans="1:8" x14ac:dyDescent="0.2">
      <c r="A76" t="s">
        <v>178</v>
      </c>
      <c r="B76" t="s">
        <v>25</v>
      </c>
      <c r="C76" t="s">
        <v>22</v>
      </c>
      <c r="D76">
        <v>24</v>
      </c>
      <c r="E76">
        <v>35000</v>
      </c>
      <c r="F76" t="s">
        <v>179</v>
      </c>
      <c r="G76" s="2">
        <v>46106</v>
      </c>
      <c r="H76">
        <v>4</v>
      </c>
    </row>
    <row r="77" spans="1:8" x14ac:dyDescent="0.2">
      <c r="A77" t="s">
        <v>180</v>
      </c>
      <c r="B77" t="s">
        <v>25</v>
      </c>
      <c r="C77" t="s">
        <v>70</v>
      </c>
      <c r="D77">
        <v>5</v>
      </c>
      <c r="E77">
        <v>28000</v>
      </c>
      <c r="F77" t="s">
        <v>181</v>
      </c>
      <c r="G77" s="2">
        <v>46142</v>
      </c>
      <c r="H77">
        <v>0</v>
      </c>
    </row>
    <row r="78" spans="1:8" x14ac:dyDescent="0.2">
      <c r="A78" t="s">
        <v>182</v>
      </c>
      <c r="B78" t="s">
        <v>21</v>
      </c>
      <c r="C78" t="s">
        <v>70</v>
      </c>
      <c r="D78">
        <v>13</v>
      </c>
      <c r="E78">
        <v>28000</v>
      </c>
      <c r="F78" t="s">
        <v>183</v>
      </c>
      <c r="G78" s="2">
        <v>46103</v>
      </c>
      <c r="H78">
        <v>21</v>
      </c>
    </row>
    <row r="79" spans="1:8" x14ac:dyDescent="0.2">
      <c r="A79" t="s">
        <v>184</v>
      </c>
      <c r="B79" t="s">
        <v>14</v>
      </c>
      <c r="C79" t="s">
        <v>32</v>
      </c>
      <c r="D79">
        <v>8</v>
      </c>
      <c r="E79">
        <v>8000</v>
      </c>
      <c r="F79" t="s">
        <v>16</v>
      </c>
      <c r="G79" s="2">
        <v>46175</v>
      </c>
      <c r="H79">
        <v>0</v>
      </c>
    </row>
    <row r="80" spans="1:8" x14ac:dyDescent="0.2">
      <c r="A80" t="s">
        <v>186</v>
      </c>
      <c r="B80" t="s">
        <v>25</v>
      </c>
      <c r="C80" t="s">
        <v>10</v>
      </c>
      <c r="D80" t="s">
        <v>187</v>
      </c>
      <c r="E80" t="s">
        <v>188</v>
      </c>
      <c r="F80" t="s">
        <v>50</v>
      </c>
      <c r="G80" s="2">
        <v>46119</v>
      </c>
      <c r="H80">
        <v>0</v>
      </c>
    </row>
    <row r="81" spans="1:8" x14ac:dyDescent="0.2">
      <c r="A81" t="s">
        <v>189</v>
      </c>
      <c r="B81" t="s">
        <v>14</v>
      </c>
      <c r="C81" t="s">
        <v>22</v>
      </c>
      <c r="D81">
        <v>19</v>
      </c>
      <c r="E81">
        <v>35000</v>
      </c>
      <c r="F81" t="s">
        <v>190</v>
      </c>
      <c r="G81" s="2">
        <v>46056</v>
      </c>
      <c r="H81">
        <v>0</v>
      </c>
    </row>
    <row r="82" spans="1:8" x14ac:dyDescent="0.2">
      <c r="A82" t="s">
        <v>191</v>
      </c>
      <c r="B82" t="s">
        <v>21</v>
      </c>
      <c r="C82" t="s">
        <v>10</v>
      </c>
      <c r="D82">
        <v>15</v>
      </c>
      <c r="E82" t="s">
        <v>188</v>
      </c>
      <c r="F82" t="s">
        <v>163</v>
      </c>
      <c r="G82" s="2">
        <v>46135</v>
      </c>
      <c r="H82">
        <v>0</v>
      </c>
    </row>
    <row r="83" spans="1:8" x14ac:dyDescent="0.2">
      <c r="A83" t="s">
        <v>192</v>
      </c>
      <c r="B83" t="s">
        <v>25</v>
      </c>
      <c r="C83" t="s">
        <v>22</v>
      </c>
      <c r="D83">
        <v>4</v>
      </c>
      <c r="E83">
        <v>35000</v>
      </c>
      <c r="F83" t="s">
        <v>193</v>
      </c>
      <c r="G83" s="2">
        <v>46193</v>
      </c>
      <c r="H83" t="s">
        <v>29</v>
      </c>
    </row>
    <row r="84" spans="1:8" x14ac:dyDescent="0.2">
      <c r="A84" t="s">
        <v>194</v>
      </c>
      <c r="B84" t="s">
        <v>25</v>
      </c>
      <c r="C84" t="s">
        <v>18</v>
      </c>
      <c r="D84">
        <v>7</v>
      </c>
      <c r="E84">
        <v>50000</v>
      </c>
      <c r="F84" t="s">
        <v>195</v>
      </c>
      <c r="G84" s="2">
        <v>46158</v>
      </c>
      <c r="H84">
        <v>0</v>
      </c>
    </row>
    <row r="85" spans="1:8" x14ac:dyDescent="0.2">
      <c r="A85" t="s">
        <v>196</v>
      </c>
      <c r="B85" t="s">
        <v>25</v>
      </c>
      <c r="C85" t="s">
        <v>70</v>
      </c>
      <c r="D85">
        <v>7</v>
      </c>
      <c r="E85">
        <v>28000</v>
      </c>
      <c r="F85" t="s">
        <v>197</v>
      </c>
      <c r="G85" s="2">
        <v>46103</v>
      </c>
      <c r="H85">
        <v>2</v>
      </c>
    </row>
    <row r="86" spans="1:8" x14ac:dyDescent="0.2">
      <c r="A86" t="s">
        <v>198</v>
      </c>
      <c r="B86" t="s">
        <v>25</v>
      </c>
      <c r="C86" t="s">
        <v>32</v>
      </c>
      <c r="D86">
        <v>7</v>
      </c>
      <c r="E86">
        <v>8000</v>
      </c>
      <c r="F86" t="s">
        <v>199</v>
      </c>
      <c r="G86" s="2">
        <v>46173</v>
      </c>
      <c r="H86">
        <v>0</v>
      </c>
    </row>
    <row r="87" spans="1:8" x14ac:dyDescent="0.2">
      <c r="A87" t="s">
        <v>200</v>
      </c>
      <c r="B87" t="s">
        <v>14</v>
      </c>
      <c r="C87" t="s">
        <v>70</v>
      </c>
      <c r="D87">
        <v>7</v>
      </c>
      <c r="E87">
        <v>28000</v>
      </c>
      <c r="F87" t="s">
        <v>201</v>
      </c>
      <c r="G87" s="2">
        <v>46173</v>
      </c>
      <c r="H87">
        <v>0</v>
      </c>
    </row>
    <row r="88" spans="1:8" x14ac:dyDescent="0.2">
      <c r="A88" t="s">
        <v>202</v>
      </c>
      <c r="B88" t="s">
        <v>9</v>
      </c>
      <c r="C88" t="s">
        <v>70</v>
      </c>
      <c r="D88">
        <v>18</v>
      </c>
      <c r="E88">
        <v>28000</v>
      </c>
      <c r="F88" t="s">
        <v>203</v>
      </c>
      <c r="G88" s="2">
        <v>46138</v>
      </c>
      <c r="H88">
        <v>0</v>
      </c>
    </row>
    <row r="89" spans="1:8" x14ac:dyDescent="0.2">
      <c r="A89" t="s">
        <v>204</v>
      </c>
      <c r="B89" t="s">
        <v>14</v>
      </c>
      <c r="C89" t="s">
        <v>10</v>
      </c>
      <c r="D89">
        <v>1</v>
      </c>
      <c r="E89">
        <v>15000</v>
      </c>
      <c r="F89" t="s">
        <v>205</v>
      </c>
      <c r="G89" s="2">
        <v>46029</v>
      </c>
      <c r="H89">
        <v>9</v>
      </c>
    </row>
    <row r="90" spans="1:8" x14ac:dyDescent="0.2">
      <c r="A90" t="s">
        <v>206</v>
      </c>
      <c r="B90" t="s">
        <v>14</v>
      </c>
      <c r="C90" t="s">
        <v>10</v>
      </c>
      <c r="D90">
        <v>21</v>
      </c>
      <c r="E90">
        <v>15000</v>
      </c>
      <c r="F90" t="s">
        <v>207</v>
      </c>
      <c r="G90" s="2">
        <v>46102</v>
      </c>
      <c r="H90">
        <v>0</v>
      </c>
    </row>
    <row r="91" spans="1:8" x14ac:dyDescent="0.2">
      <c r="A91" t="s">
        <v>208</v>
      </c>
      <c r="B91" t="s">
        <v>21</v>
      </c>
      <c r="C91" t="s">
        <v>18</v>
      </c>
      <c r="D91">
        <v>8</v>
      </c>
      <c r="E91">
        <v>50000</v>
      </c>
      <c r="F91" t="s">
        <v>209</v>
      </c>
      <c r="G91" s="2">
        <v>46121</v>
      </c>
      <c r="H91">
        <v>0</v>
      </c>
    </row>
    <row r="92" spans="1:8" x14ac:dyDescent="0.2">
      <c r="A92" t="s">
        <v>210</v>
      </c>
      <c r="B92" t="s">
        <v>21</v>
      </c>
      <c r="C92" t="s">
        <v>22</v>
      </c>
      <c r="D92">
        <v>4</v>
      </c>
      <c r="E92">
        <v>35000</v>
      </c>
      <c r="F92" t="s">
        <v>211</v>
      </c>
      <c r="G92" t="s">
        <v>212</v>
      </c>
      <c r="H92">
        <v>0</v>
      </c>
    </row>
    <row r="93" spans="1:8" x14ac:dyDescent="0.2">
      <c r="A93" t="s">
        <v>213</v>
      </c>
      <c r="B93" t="s">
        <v>21</v>
      </c>
      <c r="C93" t="s">
        <v>10</v>
      </c>
      <c r="D93">
        <v>25</v>
      </c>
      <c r="E93">
        <v>15000</v>
      </c>
      <c r="F93" t="s">
        <v>214</v>
      </c>
      <c r="G93" t="s">
        <v>43</v>
      </c>
      <c r="H93">
        <v>0</v>
      </c>
    </row>
    <row r="94" spans="1:8" x14ac:dyDescent="0.2">
      <c r="A94" t="s">
        <v>215</v>
      </c>
      <c r="B94" t="s">
        <v>14</v>
      </c>
      <c r="C94" t="s">
        <v>10</v>
      </c>
      <c r="D94">
        <v>10</v>
      </c>
      <c r="E94">
        <v>15000</v>
      </c>
      <c r="F94" t="s">
        <v>216</v>
      </c>
      <c r="H94">
        <v>0</v>
      </c>
    </row>
    <row r="95" spans="1:8" x14ac:dyDescent="0.2">
      <c r="A95" t="s">
        <v>217</v>
      </c>
      <c r="B95" t="s">
        <v>14</v>
      </c>
      <c r="C95" t="s">
        <v>45</v>
      </c>
      <c r="D95">
        <v>9</v>
      </c>
      <c r="E95">
        <v>20000</v>
      </c>
      <c r="F95" t="s">
        <v>218</v>
      </c>
      <c r="G95" s="2">
        <v>46101</v>
      </c>
      <c r="H95">
        <v>0</v>
      </c>
    </row>
    <row r="96" spans="1:8" x14ac:dyDescent="0.2">
      <c r="A96" t="s">
        <v>219</v>
      </c>
      <c r="B96" t="s">
        <v>21</v>
      </c>
      <c r="C96" t="s">
        <v>39</v>
      </c>
      <c r="D96">
        <v>25</v>
      </c>
      <c r="E96">
        <v>12000</v>
      </c>
      <c r="F96" t="s">
        <v>220</v>
      </c>
      <c r="G96" s="2">
        <v>46096</v>
      </c>
      <c r="H96">
        <v>0</v>
      </c>
    </row>
    <row r="97" spans="1:8" x14ac:dyDescent="0.2">
      <c r="A97" t="s">
        <v>221</v>
      </c>
      <c r="B97" t="s">
        <v>21</v>
      </c>
      <c r="C97" t="s">
        <v>39</v>
      </c>
      <c r="D97">
        <v>23</v>
      </c>
      <c r="E97">
        <v>12000</v>
      </c>
      <c r="F97" t="s">
        <v>222</v>
      </c>
      <c r="G97" s="2">
        <v>46032</v>
      </c>
      <c r="H97">
        <v>0</v>
      </c>
    </row>
    <row r="98" spans="1:8" x14ac:dyDescent="0.2">
      <c r="A98" t="s">
        <v>223</v>
      </c>
      <c r="B98" t="s">
        <v>21</v>
      </c>
      <c r="C98" t="s">
        <v>39</v>
      </c>
      <c r="D98">
        <v>15</v>
      </c>
      <c r="E98">
        <v>12000</v>
      </c>
      <c r="F98" t="s">
        <v>190</v>
      </c>
      <c r="G98" t="s">
        <v>224</v>
      </c>
      <c r="H98">
        <v>0</v>
      </c>
    </row>
    <row r="99" spans="1:8" x14ac:dyDescent="0.2">
      <c r="A99" t="s">
        <v>225</v>
      </c>
      <c r="B99" t="s">
        <v>25</v>
      </c>
      <c r="C99" t="s">
        <v>22</v>
      </c>
      <c r="D99">
        <v>1</v>
      </c>
      <c r="E99">
        <v>35000</v>
      </c>
      <c r="F99" t="s">
        <v>226</v>
      </c>
      <c r="G99" s="2">
        <v>46181</v>
      </c>
      <c r="H99">
        <v>0</v>
      </c>
    </row>
    <row r="100" spans="1:8" x14ac:dyDescent="0.2">
      <c r="A100" t="s">
        <v>227</v>
      </c>
      <c r="B100" t="s">
        <v>9</v>
      </c>
      <c r="C100" t="s">
        <v>26</v>
      </c>
      <c r="D100">
        <v>18</v>
      </c>
      <c r="E100">
        <v>20000</v>
      </c>
      <c r="F100" t="s">
        <v>228</v>
      </c>
      <c r="G100" s="2">
        <v>46034</v>
      </c>
      <c r="H100">
        <v>0</v>
      </c>
    </row>
    <row r="101" spans="1:8" x14ac:dyDescent="0.2">
      <c r="A101" t="s">
        <v>229</v>
      </c>
      <c r="B101" t="s">
        <v>9</v>
      </c>
      <c r="C101" t="s">
        <v>10</v>
      </c>
      <c r="D101">
        <v>12</v>
      </c>
      <c r="E101">
        <v>15000</v>
      </c>
      <c r="F101" t="s">
        <v>230</v>
      </c>
      <c r="G101" s="2">
        <v>46052</v>
      </c>
      <c r="H101">
        <v>4</v>
      </c>
    </row>
    <row r="102" spans="1:8" x14ac:dyDescent="0.2">
      <c r="A102" t="s">
        <v>231</v>
      </c>
      <c r="B102" t="s">
        <v>25</v>
      </c>
      <c r="C102" t="s">
        <v>18</v>
      </c>
      <c r="D102">
        <v>11</v>
      </c>
      <c r="E102">
        <v>50000</v>
      </c>
      <c r="F102" t="s">
        <v>232</v>
      </c>
      <c r="G102" s="2">
        <v>46101</v>
      </c>
      <c r="H102">
        <v>0</v>
      </c>
    </row>
    <row r="103" spans="1:8" x14ac:dyDescent="0.2">
      <c r="A103" t="s">
        <v>233</v>
      </c>
      <c r="B103" t="s">
        <v>9</v>
      </c>
      <c r="C103" t="s">
        <v>22</v>
      </c>
      <c r="D103">
        <v>4</v>
      </c>
      <c r="E103">
        <v>35000</v>
      </c>
      <c r="F103" t="s">
        <v>16</v>
      </c>
      <c r="G103" s="2">
        <v>46026</v>
      </c>
      <c r="H103">
        <v>0</v>
      </c>
    </row>
    <row r="104" spans="1:8" x14ac:dyDescent="0.2">
      <c r="A104" t="s">
        <v>234</v>
      </c>
      <c r="B104" t="s">
        <v>1406</v>
      </c>
      <c r="C104" t="s">
        <v>26</v>
      </c>
      <c r="D104">
        <v>7</v>
      </c>
      <c r="E104">
        <v>20000</v>
      </c>
      <c r="F104" t="s">
        <v>236</v>
      </c>
      <c r="G104" s="2">
        <v>46118</v>
      </c>
      <c r="H104">
        <v>0</v>
      </c>
    </row>
    <row r="105" spans="1:8" x14ac:dyDescent="0.2">
      <c r="A105" t="s">
        <v>237</v>
      </c>
      <c r="B105" t="s">
        <v>25</v>
      </c>
      <c r="C105" t="s">
        <v>45</v>
      </c>
      <c r="D105">
        <v>12</v>
      </c>
      <c r="E105">
        <v>20000</v>
      </c>
      <c r="F105" t="s">
        <v>218</v>
      </c>
      <c r="G105" s="2">
        <v>46189</v>
      </c>
      <c r="H105">
        <v>0</v>
      </c>
    </row>
    <row r="106" spans="1:8" x14ac:dyDescent="0.2">
      <c r="A106" t="s">
        <v>238</v>
      </c>
      <c r="B106" t="s">
        <v>14</v>
      </c>
      <c r="C106" t="s">
        <v>239</v>
      </c>
      <c r="D106">
        <v>24</v>
      </c>
      <c r="E106">
        <v>12000</v>
      </c>
      <c r="F106" t="s">
        <v>92</v>
      </c>
      <c r="G106" s="2">
        <v>46125</v>
      </c>
      <c r="H106">
        <v>3</v>
      </c>
    </row>
    <row r="107" spans="1:8" x14ac:dyDescent="0.2">
      <c r="A107" t="s">
        <v>240</v>
      </c>
      <c r="B107" t="s">
        <v>25</v>
      </c>
      <c r="C107" t="s">
        <v>22</v>
      </c>
      <c r="D107">
        <v>23</v>
      </c>
      <c r="E107">
        <v>35000</v>
      </c>
      <c r="F107" t="s">
        <v>241</v>
      </c>
      <c r="G107" s="2">
        <v>46048</v>
      </c>
      <c r="H107">
        <v>1</v>
      </c>
    </row>
    <row r="108" spans="1:8" x14ac:dyDescent="0.2">
      <c r="A108" t="s">
        <v>242</v>
      </c>
      <c r="B108" t="s">
        <v>14</v>
      </c>
      <c r="C108" t="s">
        <v>22</v>
      </c>
      <c r="D108">
        <v>19</v>
      </c>
      <c r="E108">
        <v>35000</v>
      </c>
      <c r="F108" t="s">
        <v>209</v>
      </c>
      <c r="G108" s="2">
        <v>46129</v>
      </c>
      <c r="H108">
        <v>0</v>
      </c>
    </row>
    <row r="109" spans="1:8" x14ac:dyDescent="0.2">
      <c r="A109" t="s">
        <v>243</v>
      </c>
      <c r="B109" t="s">
        <v>9</v>
      </c>
      <c r="C109" t="s">
        <v>10</v>
      </c>
      <c r="D109">
        <v>6</v>
      </c>
      <c r="E109">
        <v>15000</v>
      </c>
      <c r="F109" t="s">
        <v>244</v>
      </c>
      <c r="G109" s="2">
        <v>46035</v>
      </c>
      <c r="H109">
        <v>0</v>
      </c>
    </row>
    <row r="110" spans="1:8" x14ac:dyDescent="0.2">
      <c r="A110" t="s">
        <v>245</v>
      </c>
      <c r="B110" t="s">
        <v>9</v>
      </c>
      <c r="C110" t="s">
        <v>26</v>
      </c>
      <c r="D110">
        <v>4</v>
      </c>
      <c r="E110" t="s">
        <v>11</v>
      </c>
      <c r="F110" t="s">
        <v>246</v>
      </c>
      <c r="G110" s="2">
        <v>46181</v>
      </c>
      <c r="H110">
        <v>0</v>
      </c>
    </row>
    <row r="111" spans="1:8" x14ac:dyDescent="0.2">
      <c r="A111" t="s">
        <v>247</v>
      </c>
      <c r="B111" t="s">
        <v>25</v>
      </c>
      <c r="C111" t="s">
        <v>18</v>
      </c>
      <c r="D111">
        <v>11</v>
      </c>
      <c r="E111">
        <v>50000</v>
      </c>
      <c r="F111" t="s">
        <v>205</v>
      </c>
      <c r="G111" s="2">
        <v>46154</v>
      </c>
      <c r="H111">
        <v>4</v>
      </c>
    </row>
    <row r="112" spans="1:8" x14ac:dyDescent="0.2">
      <c r="A112" t="s">
        <v>248</v>
      </c>
      <c r="B112" t="s">
        <v>9</v>
      </c>
      <c r="C112" t="s">
        <v>26</v>
      </c>
      <c r="D112">
        <v>24</v>
      </c>
      <c r="E112">
        <v>20000</v>
      </c>
      <c r="F112" t="s">
        <v>249</v>
      </c>
      <c r="G112" s="2">
        <v>46100</v>
      </c>
      <c r="H112">
        <v>3</v>
      </c>
    </row>
    <row r="113" spans="1:8" x14ac:dyDescent="0.2">
      <c r="A113" t="s">
        <v>250</v>
      </c>
      <c r="B113" t="s">
        <v>21</v>
      </c>
      <c r="C113" t="s">
        <v>251</v>
      </c>
      <c r="D113">
        <v>1</v>
      </c>
      <c r="E113">
        <v>35000</v>
      </c>
      <c r="G113" s="2">
        <v>46101</v>
      </c>
      <c r="H113">
        <v>0</v>
      </c>
    </row>
    <row r="114" spans="1:8" x14ac:dyDescent="0.2">
      <c r="A114" t="s">
        <v>252</v>
      </c>
      <c r="B114" t="s">
        <v>21</v>
      </c>
      <c r="C114" t="s">
        <v>18</v>
      </c>
      <c r="D114" t="s">
        <v>112</v>
      </c>
      <c r="E114">
        <v>50000</v>
      </c>
      <c r="F114" t="s">
        <v>253</v>
      </c>
      <c r="G114" s="2">
        <v>46040</v>
      </c>
      <c r="H114">
        <v>0</v>
      </c>
    </row>
    <row r="115" spans="1:8" x14ac:dyDescent="0.2">
      <c r="A115" t="s">
        <v>254</v>
      </c>
      <c r="B115" t="s">
        <v>21</v>
      </c>
      <c r="C115" t="s">
        <v>22</v>
      </c>
      <c r="D115">
        <v>13</v>
      </c>
      <c r="E115">
        <v>35000</v>
      </c>
      <c r="F115" t="s">
        <v>255</v>
      </c>
      <c r="G115" s="2">
        <v>46145</v>
      </c>
      <c r="H115">
        <v>2</v>
      </c>
    </row>
    <row r="116" spans="1:8" x14ac:dyDescent="0.2">
      <c r="A116" t="s">
        <v>256</v>
      </c>
      <c r="B116" t="s">
        <v>21</v>
      </c>
      <c r="C116" t="s">
        <v>45</v>
      </c>
      <c r="D116" t="s">
        <v>112</v>
      </c>
      <c r="E116">
        <v>20000</v>
      </c>
      <c r="F116" t="s">
        <v>257</v>
      </c>
      <c r="G116" s="2">
        <v>46126</v>
      </c>
      <c r="H116">
        <v>0</v>
      </c>
    </row>
    <row r="117" spans="1:8" x14ac:dyDescent="0.2">
      <c r="A117" t="s">
        <v>258</v>
      </c>
      <c r="B117" t="s">
        <v>9</v>
      </c>
      <c r="C117" t="s">
        <v>32</v>
      </c>
      <c r="D117">
        <v>25</v>
      </c>
      <c r="E117">
        <v>8000</v>
      </c>
      <c r="F117" t="s">
        <v>125</v>
      </c>
      <c r="G117" s="2">
        <v>46045</v>
      </c>
      <c r="H117">
        <v>0</v>
      </c>
    </row>
    <row r="118" spans="1:8" x14ac:dyDescent="0.2">
      <c r="A118" t="s">
        <v>259</v>
      </c>
      <c r="B118" t="s">
        <v>25</v>
      </c>
      <c r="C118" t="s">
        <v>10</v>
      </c>
      <c r="D118">
        <v>6</v>
      </c>
      <c r="E118">
        <v>15000</v>
      </c>
      <c r="G118" s="2">
        <v>46126</v>
      </c>
      <c r="H118">
        <v>0</v>
      </c>
    </row>
    <row r="119" spans="1:8" x14ac:dyDescent="0.2">
      <c r="A119" t="s">
        <v>260</v>
      </c>
      <c r="B119" t="s">
        <v>21</v>
      </c>
      <c r="C119" t="s">
        <v>18</v>
      </c>
      <c r="D119">
        <v>5</v>
      </c>
      <c r="E119">
        <v>50000</v>
      </c>
      <c r="F119" t="s">
        <v>261</v>
      </c>
      <c r="G119" s="2">
        <v>46190</v>
      </c>
      <c r="H119">
        <v>1</v>
      </c>
    </row>
    <row r="120" spans="1:8" x14ac:dyDescent="0.2">
      <c r="A120" t="s">
        <v>262</v>
      </c>
      <c r="B120" t="s">
        <v>21</v>
      </c>
      <c r="C120" t="s">
        <v>70</v>
      </c>
      <c r="D120">
        <v>13</v>
      </c>
      <c r="E120">
        <v>28000</v>
      </c>
      <c r="F120" t="s">
        <v>263</v>
      </c>
      <c r="G120" s="2">
        <v>46046</v>
      </c>
      <c r="H120">
        <v>0</v>
      </c>
    </row>
    <row r="121" spans="1:8" x14ac:dyDescent="0.2">
      <c r="A121" t="s">
        <v>264</v>
      </c>
      <c r="B121" t="s">
        <v>21</v>
      </c>
      <c r="C121" t="s">
        <v>22</v>
      </c>
      <c r="D121">
        <v>16</v>
      </c>
      <c r="E121" t="s">
        <v>265</v>
      </c>
      <c r="F121" t="s">
        <v>266</v>
      </c>
      <c r="G121" t="s">
        <v>224</v>
      </c>
      <c r="H121">
        <v>0</v>
      </c>
    </row>
    <row r="122" spans="1:8" x14ac:dyDescent="0.2">
      <c r="A122" t="s">
        <v>267</v>
      </c>
      <c r="B122" t="s">
        <v>9</v>
      </c>
      <c r="C122" t="s">
        <v>32</v>
      </c>
      <c r="D122">
        <v>2</v>
      </c>
      <c r="E122">
        <v>8000</v>
      </c>
      <c r="F122" t="s">
        <v>268</v>
      </c>
      <c r="G122" s="2">
        <v>46051</v>
      </c>
      <c r="H122">
        <v>0</v>
      </c>
    </row>
    <row r="123" spans="1:8" x14ac:dyDescent="0.2">
      <c r="A123" t="s">
        <v>269</v>
      </c>
      <c r="B123" t="s">
        <v>25</v>
      </c>
      <c r="C123" t="s">
        <v>270</v>
      </c>
      <c r="D123">
        <v>8</v>
      </c>
      <c r="E123">
        <v>12000</v>
      </c>
      <c r="F123" t="s">
        <v>23</v>
      </c>
      <c r="G123" s="2">
        <v>46157</v>
      </c>
      <c r="H123">
        <v>0</v>
      </c>
    </row>
    <row r="124" spans="1:8" x14ac:dyDescent="0.2">
      <c r="A124" t="s">
        <v>271</v>
      </c>
      <c r="B124" t="s">
        <v>14</v>
      </c>
      <c r="C124" t="s">
        <v>22</v>
      </c>
      <c r="D124">
        <v>13</v>
      </c>
      <c r="E124">
        <v>35000</v>
      </c>
      <c r="F124" t="s">
        <v>272</v>
      </c>
      <c r="G124" s="2">
        <v>46116</v>
      </c>
      <c r="H124">
        <v>0</v>
      </c>
    </row>
    <row r="125" spans="1:8" x14ac:dyDescent="0.2">
      <c r="A125" t="s">
        <v>273</v>
      </c>
      <c r="B125" t="s">
        <v>9</v>
      </c>
      <c r="C125" t="s">
        <v>26</v>
      </c>
      <c r="D125">
        <v>5</v>
      </c>
      <c r="E125">
        <v>20000</v>
      </c>
      <c r="F125" t="s">
        <v>274</v>
      </c>
      <c r="G125" s="2">
        <v>46125</v>
      </c>
      <c r="H125">
        <v>0</v>
      </c>
    </row>
    <row r="126" spans="1:8" x14ac:dyDescent="0.2">
      <c r="A126" t="s">
        <v>275</v>
      </c>
      <c r="B126" t="s">
        <v>14</v>
      </c>
      <c r="C126" t="s">
        <v>18</v>
      </c>
      <c r="D126">
        <v>17</v>
      </c>
      <c r="E126">
        <v>50000</v>
      </c>
      <c r="F126" t="s">
        <v>276</v>
      </c>
      <c r="G126" s="2">
        <v>46055</v>
      </c>
      <c r="H126">
        <v>0</v>
      </c>
    </row>
    <row r="127" spans="1:8" x14ac:dyDescent="0.2">
      <c r="A127" t="s">
        <v>277</v>
      </c>
      <c r="B127" t="s">
        <v>21</v>
      </c>
      <c r="C127" t="s">
        <v>70</v>
      </c>
      <c r="D127">
        <v>1</v>
      </c>
      <c r="E127">
        <v>28000</v>
      </c>
      <c r="F127" t="s">
        <v>148</v>
      </c>
      <c r="G127" s="2">
        <v>46062</v>
      </c>
      <c r="H127">
        <v>0</v>
      </c>
    </row>
    <row r="128" spans="1:8" x14ac:dyDescent="0.2">
      <c r="A128" t="s">
        <v>278</v>
      </c>
      <c r="B128" t="s">
        <v>14</v>
      </c>
      <c r="C128" t="s">
        <v>26</v>
      </c>
      <c r="D128">
        <v>21</v>
      </c>
      <c r="E128">
        <v>20000</v>
      </c>
      <c r="F128" t="s">
        <v>148</v>
      </c>
      <c r="G128" t="s">
        <v>224</v>
      </c>
      <c r="H128">
        <v>4</v>
      </c>
    </row>
    <row r="129" spans="1:8" x14ac:dyDescent="0.2">
      <c r="A129" t="s">
        <v>279</v>
      </c>
      <c r="B129" t="s">
        <v>14</v>
      </c>
      <c r="C129" t="s">
        <v>39</v>
      </c>
      <c r="D129">
        <v>19</v>
      </c>
      <c r="E129">
        <v>12000</v>
      </c>
      <c r="F129" t="s">
        <v>280</v>
      </c>
      <c r="G129" s="2">
        <v>46189</v>
      </c>
      <c r="H129">
        <v>0</v>
      </c>
    </row>
    <row r="130" spans="1:8" x14ac:dyDescent="0.2">
      <c r="A130" t="s">
        <v>281</v>
      </c>
      <c r="B130" t="s">
        <v>9</v>
      </c>
      <c r="C130" t="s">
        <v>45</v>
      </c>
      <c r="D130">
        <v>22</v>
      </c>
      <c r="E130">
        <v>20000</v>
      </c>
      <c r="F130" t="s">
        <v>282</v>
      </c>
      <c r="G130" s="2">
        <v>46122</v>
      </c>
      <c r="H130">
        <v>28</v>
      </c>
    </row>
    <row r="131" spans="1:8" x14ac:dyDescent="0.2">
      <c r="A131" t="s">
        <v>283</v>
      </c>
      <c r="B131" t="s">
        <v>21</v>
      </c>
      <c r="C131" t="s">
        <v>32</v>
      </c>
      <c r="D131">
        <v>9</v>
      </c>
      <c r="E131">
        <v>8000</v>
      </c>
      <c r="F131" t="s">
        <v>103</v>
      </c>
      <c r="G131" s="2">
        <v>46152</v>
      </c>
      <c r="H131">
        <v>2</v>
      </c>
    </row>
    <row r="132" spans="1:8" x14ac:dyDescent="0.2">
      <c r="A132" t="s">
        <v>284</v>
      </c>
      <c r="B132" t="s">
        <v>14</v>
      </c>
      <c r="C132" t="s">
        <v>22</v>
      </c>
      <c r="D132">
        <v>6</v>
      </c>
      <c r="E132">
        <v>35000</v>
      </c>
      <c r="F132" t="s">
        <v>285</v>
      </c>
      <c r="G132" s="2">
        <v>46152</v>
      </c>
      <c r="H132">
        <v>0</v>
      </c>
    </row>
    <row r="133" spans="1:8" x14ac:dyDescent="0.2">
      <c r="A133" t="s">
        <v>286</v>
      </c>
      <c r="B133" t="s">
        <v>14</v>
      </c>
      <c r="C133" t="s">
        <v>45</v>
      </c>
      <c r="D133">
        <v>11</v>
      </c>
      <c r="E133">
        <v>20000</v>
      </c>
      <c r="F133" t="s">
        <v>287</v>
      </c>
      <c r="G133" s="2">
        <v>46134</v>
      </c>
      <c r="H133">
        <v>5</v>
      </c>
    </row>
    <row r="134" spans="1:8" x14ac:dyDescent="0.2">
      <c r="A134" t="s">
        <v>288</v>
      </c>
      <c r="B134" t="s">
        <v>14</v>
      </c>
      <c r="C134" t="s">
        <v>18</v>
      </c>
      <c r="D134">
        <v>15</v>
      </c>
      <c r="E134">
        <v>50000</v>
      </c>
      <c r="F134" t="s">
        <v>121</v>
      </c>
      <c r="G134" s="2">
        <v>46140</v>
      </c>
      <c r="H134">
        <v>0</v>
      </c>
    </row>
    <row r="135" spans="1:8" x14ac:dyDescent="0.2">
      <c r="A135" t="s">
        <v>289</v>
      </c>
      <c r="B135" t="s">
        <v>25</v>
      </c>
      <c r="C135" t="s">
        <v>22</v>
      </c>
      <c r="D135">
        <v>21</v>
      </c>
      <c r="E135">
        <v>35000</v>
      </c>
      <c r="F135" t="s">
        <v>290</v>
      </c>
      <c r="G135" s="2">
        <v>46165</v>
      </c>
      <c r="H135">
        <v>0</v>
      </c>
    </row>
    <row r="136" spans="1:8" x14ac:dyDescent="0.2">
      <c r="A136" t="s">
        <v>291</v>
      </c>
      <c r="B136" t="s">
        <v>25</v>
      </c>
      <c r="C136" t="s">
        <v>32</v>
      </c>
      <c r="D136">
        <v>20</v>
      </c>
      <c r="E136">
        <v>8000</v>
      </c>
      <c r="F136" t="s">
        <v>292</v>
      </c>
      <c r="G136" s="2">
        <v>46148</v>
      </c>
      <c r="H136">
        <v>0</v>
      </c>
    </row>
    <row r="137" spans="1:8" x14ac:dyDescent="0.2">
      <c r="A137" t="s">
        <v>293</v>
      </c>
      <c r="B137" t="s">
        <v>25</v>
      </c>
      <c r="C137" t="s">
        <v>26</v>
      </c>
      <c r="D137">
        <v>10</v>
      </c>
      <c r="E137">
        <v>20000</v>
      </c>
      <c r="F137" t="s">
        <v>294</v>
      </c>
      <c r="G137" s="2">
        <v>46120</v>
      </c>
      <c r="H137">
        <v>0</v>
      </c>
    </row>
    <row r="138" spans="1:8" x14ac:dyDescent="0.2">
      <c r="A138" t="s">
        <v>295</v>
      </c>
      <c r="B138" t="s">
        <v>25</v>
      </c>
      <c r="C138" t="s">
        <v>18</v>
      </c>
      <c r="D138" t="s">
        <v>187</v>
      </c>
      <c r="E138">
        <v>25000</v>
      </c>
      <c r="F138" t="s">
        <v>296</v>
      </c>
      <c r="G138" s="2">
        <v>46144</v>
      </c>
      <c r="H138">
        <v>0</v>
      </c>
    </row>
    <row r="139" spans="1:8" x14ac:dyDescent="0.2">
      <c r="A139" t="s">
        <v>297</v>
      </c>
      <c r="B139" t="s">
        <v>14</v>
      </c>
      <c r="C139" t="s">
        <v>22</v>
      </c>
      <c r="D139">
        <v>13</v>
      </c>
      <c r="E139">
        <v>35000</v>
      </c>
      <c r="F139" t="s">
        <v>88</v>
      </c>
      <c r="G139" s="2">
        <v>46193</v>
      </c>
      <c r="H139">
        <v>0</v>
      </c>
    </row>
    <row r="140" spans="1:8" x14ac:dyDescent="0.2">
      <c r="A140" t="s">
        <v>298</v>
      </c>
      <c r="B140" t="s">
        <v>14</v>
      </c>
      <c r="C140" t="s">
        <v>70</v>
      </c>
      <c r="D140">
        <v>24</v>
      </c>
      <c r="E140">
        <v>28000</v>
      </c>
      <c r="F140" t="s">
        <v>159</v>
      </c>
      <c r="G140" s="2">
        <v>46069</v>
      </c>
      <c r="H140">
        <v>0</v>
      </c>
    </row>
    <row r="141" spans="1:8" x14ac:dyDescent="0.2">
      <c r="A141" t="s">
        <v>299</v>
      </c>
      <c r="B141" t="s">
        <v>21</v>
      </c>
      <c r="C141" t="s">
        <v>32</v>
      </c>
      <c r="D141">
        <v>2</v>
      </c>
      <c r="E141">
        <v>8000</v>
      </c>
      <c r="F141" t="s">
        <v>300</v>
      </c>
      <c r="G141" s="2">
        <v>46107</v>
      </c>
      <c r="H141">
        <v>0</v>
      </c>
    </row>
    <row r="142" spans="1:8" x14ac:dyDescent="0.2">
      <c r="A142" t="s">
        <v>301</v>
      </c>
      <c r="B142" t="s">
        <v>14</v>
      </c>
      <c r="C142" t="s">
        <v>26</v>
      </c>
      <c r="D142">
        <v>3</v>
      </c>
      <c r="E142">
        <v>20000</v>
      </c>
      <c r="F142" t="s">
        <v>302</v>
      </c>
      <c r="G142" s="2">
        <v>46161</v>
      </c>
      <c r="H142">
        <v>2</v>
      </c>
    </row>
    <row r="143" spans="1:8" x14ac:dyDescent="0.2">
      <c r="A143" t="s">
        <v>303</v>
      </c>
      <c r="B143" t="s">
        <v>9</v>
      </c>
      <c r="C143" t="s">
        <v>39</v>
      </c>
      <c r="D143">
        <v>24</v>
      </c>
      <c r="E143">
        <v>12000</v>
      </c>
      <c r="F143" t="s">
        <v>300</v>
      </c>
      <c r="G143" s="2">
        <v>46110</v>
      </c>
      <c r="H143">
        <v>0</v>
      </c>
    </row>
    <row r="144" spans="1:8" x14ac:dyDescent="0.2">
      <c r="A144" t="s">
        <v>305</v>
      </c>
      <c r="B144" t="s">
        <v>25</v>
      </c>
      <c r="C144" t="s">
        <v>239</v>
      </c>
      <c r="D144">
        <v>25</v>
      </c>
      <c r="E144">
        <v>12000</v>
      </c>
      <c r="F144" t="s">
        <v>306</v>
      </c>
      <c r="G144" s="2">
        <v>46070</v>
      </c>
      <c r="H144">
        <v>0</v>
      </c>
    </row>
    <row r="145" spans="1:8" x14ac:dyDescent="0.2">
      <c r="A145" t="s">
        <v>307</v>
      </c>
      <c r="B145" t="s">
        <v>9</v>
      </c>
      <c r="C145" t="s">
        <v>26</v>
      </c>
      <c r="D145">
        <v>23</v>
      </c>
      <c r="E145">
        <v>20000</v>
      </c>
      <c r="F145" t="s">
        <v>308</v>
      </c>
      <c r="G145" s="2">
        <v>46065</v>
      </c>
      <c r="H145">
        <v>0</v>
      </c>
    </row>
    <row r="146" spans="1:8" x14ac:dyDescent="0.2">
      <c r="A146" t="s">
        <v>309</v>
      </c>
      <c r="B146" t="s">
        <v>9</v>
      </c>
      <c r="C146" t="s">
        <v>39</v>
      </c>
      <c r="D146">
        <v>5</v>
      </c>
      <c r="E146">
        <v>12000</v>
      </c>
      <c r="F146" t="s">
        <v>68</v>
      </c>
      <c r="G146" s="2">
        <v>46158</v>
      </c>
      <c r="H146">
        <v>2</v>
      </c>
    </row>
    <row r="147" spans="1:8" x14ac:dyDescent="0.2">
      <c r="A147" t="s">
        <v>310</v>
      </c>
      <c r="B147" t="s">
        <v>21</v>
      </c>
      <c r="C147" t="s">
        <v>45</v>
      </c>
      <c r="D147">
        <v>19</v>
      </c>
      <c r="E147">
        <v>20000</v>
      </c>
      <c r="F147" t="s">
        <v>311</v>
      </c>
      <c r="G147" s="2">
        <v>46084</v>
      </c>
      <c r="H147">
        <v>24</v>
      </c>
    </row>
    <row r="148" spans="1:8" x14ac:dyDescent="0.2">
      <c r="A148" t="s">
        <v>312</v>
      </c>
      <c r="B148" t="s">
        <v>9</v>
      </c>
      <c r="C148" t="s">
        <v>39</v>
      </c>
      <c r="D148">
        <v>5</v>
      </c>
      <c r="E148">
        <v>12000</v>
      </c>
      <c r="F148" t="s">
        <v>263</v>
      </c>
      <c r="G148" t="s">
        <v>313</v>
      </c>
      <c r="H148">
        <v>0</v>
      </c>
    </row>
    <row r="149" spans="1:8" x14ac:dyDescent="0.2">
      <c r="A149" t="s">
        <v>314</v>
      </c>
      <c r="B149" t="s">
        <v>25</v>
      </c>
      <c r="C149" t="s">
        <v>39</v>
      </c>
      <c r="D149">
        <v>20</v>
      </c>
      <c r="E149">
        <v>12000</v>
      </c>
      <c r="F149" t="s">
        <v>97</v>
      </c>
      <c r="G149" s="2">
        <v>46126</v>
      </c>
      <c r="H149">
        <v>0</v>
      </c>
    </row>
    <row r="150" spans="1:8" x14ac:dyDescent="0.2">
      <c r="A150" t="s">
        <v>315</v>
      </c>
      <c r="B150" t="s">
        <v>14</v>
      </c>
      <c r="C150" t="s">
        <v>26</v>
      </c>
      <c r="D150">
        <v>200</v>
      </c>
      <c r="E150">
        <v>20000</v>
      </c>
      <c r="F150" t="s">
        <v>276</v>
      </c>
      <c r="G150" s="2">
        <v>46187</v>
      </c>
      <c r="H150">
        <v>0</v>
      </c>
    </row>
    <row r="151" spans="1:8" x14ac:dyDescent="0.2">
      <c r="A151" t="s">
        <v>316</v>
      </c>
      <c r="B151" t="s">
        <v>25</v>
      </c>
      <c r="C151" t="s">
        <v>70</v>
      </c>
      <c r="D151">
        <v>23</v>
      </c>
      <c r="E151">
        <v>28000</v>
      </c>
      <c r="F151" t="s">
        <v>246</v>
      </c>
      <c r="G151" s="2">
        <v>46029</v>
      </c>
      <c r="H151">
        <v>0</v>
      </c>
    </row>
    <row r="152" spans="1:8" x14ac:dyDescent="0.2">
      <c r="A152" t="s">
        <v>317</v>
      </c>
      <c r="B152" t="s">
        <v>25</v>
      </c>
      <c r="C152" t="s">
        <v>26</v>
      </c>
      <c r="D152">
        <v>11</v>
      </c>
      <c r="E152">
        <v>20000</v>
      </c>
      <c r="F152" t="s">
        <v>318</v>
      </c>
      <c r="G152" s="2">
        <v>46035</v>
      </c>
      <c r="H152">
        <v>0</v>
      </c>
    </row>
    <row r="153" spans="1:8" x14ac:dyDescent="0.2">
      <c r="A153" t="s">
        <v>319</v>
      </c>
      <c r="B153" t="s">
        <v>25</v>
      </c>
      <c r="C153" t="s">
        <v>26</v>
      </c>
      <c r="D153">
        <v>21</v>
      </c>
      <c r="E153">
        <v>20000</v>
      </c>
      <c r="F153" t="s">
        <v>320</v>
      </c>
      <c r="G153" s="2">
        <v>46200</v>
      </c>
      <c r="H153">
        <v>0</v>
      </c>
    </row>
    <row r="154" spans="1:8" x14ac:dyDescent="0.2">
      <c r="A154" t="s">
        <v>321</v>
      </c>
      <c r="B154" t="s">
        <v>21</v>
      </c>
      <c r="C154" t="s">
        <v>70</v>
      </c>
      <c r="D154">
        <v>10</v>
      </c>
      <c r="E154" t="s">
        <v>11</v>
      </c>
      <c r="F154" t="s">
        <v>322</v>
      </c>
      <c r="G154" s="2">
        <v>46159</v>
      </c>
      <c r="H154">
        <v>0</v>
      </c>
    </row>
    <row r="155" spans="1:8" x14ac:dyDescent="0.2">
      <c r="A155" t="s">
        <v>323</v>
      </c>
      <c r="B155" t="s">
        <v>14</v>
      </c>
      <c r="C155" t="s">
        <v>26</v>
      </c>
      <c r="D155">
        <v>3</v>
      </c>
      <c r="E155">
        <v>20000</v>
      </c>
      <c r="F155" t="s">
        <v>324</v>
      </c>
      <c r="H155">
        <v>0</v>
      </c>
    </row>
    <row r="156" spans="1:8" x14ac:dyDescent="0.2">
      <c r="A156" t="s">
        <v>325</v>
      </c>
      <c r="B156" t="s">
        <v>9</v>
      </c>
      <c r="C156" t="s">
        <v>18</v>
      </c>
      <c r="D156">
        <v>23</v>
      </c>
      <c r="E156">
        <v>50000</v>
      </c>
      <c r="F156" t="s">
        <v>110</v>
      </c>
      <c r="G156" s="2">
        <v>46095</v>
      </c>
      <c r="H156">
        <v>1</v>
      </c>
    </row>
    <row r="157" spans="1:8" x14ac:dyDescent="0.2">
      <c r="A157" t="s">
        <v>326</v>
      </c>
      <c r="B157" t="s">
        <v>14</v>
      </c>
      <c r="C157" t="s">
        <v>26</v>
      </c>
      <c r="D157">
        <v>9</v>
      </c>
      <c r="E157">
        <v>20000</v>
      </c>
      <c r="F157" t="s">
        <v>246</v>
      </c>
      <c r="G157" s="2">
        <v>46055</v>
      </c>
      <c r="H157">
        <v>0</v>
      </c>
    </row>
    <row r="158" spans="1:8" x14ac:dyDescent="0.2">
      <c r="A158" t="s">
        <v>327</v>
      </c>
      <c r="B158" t="s">
        <v>25</v>
      </c>
      <c r="C158" t="s">
        <v>26</v>
      </c>
      <c r="D158" t="s">
        <v>150</v>
      </c>
      <c r="E158">
        <v>20000</v>
      </c>
      <c r="F158" t="s">
        <v>328</v>
      </c>
      <c r="G158" s="2">
        <v>46178</v>
      </c>
      <c r="H158">
        <v>0</v>
      </c>
    </row>
    <row r="159" spans="1:8" x14ac:dyDescent="0.2">
      <c r="A159" t="s">
        <v>329</v>
      </c>
      <c r="B159" t="s">
        <v>14</v>
      </c>
      <c r="C159" t="s">
        <v>330</v>
      </c>
      <c r="D159">
        <v>11</v>
      </c>
      <c r="E159">
        <v>8000</v>
      </c>
      <c r="F159" t="s">
        <v>331</v>
      </c>
      <c r="G159" s="2">
        <v>46025</v>
      </c>
      <c r="H159">
        <v>0</v>
      </c>
    </row>
    <row r="160" spans="1:8" x14ac:dyDescent="0.2">
      <c r="A160" t="s">
        <v>332</v>
      </c>
      <c r="B160" t="s">
        <v>14</v>
      </c>
      <c r="C160" t="s">
        <v>18</v>
      </c>
      <c r="D160">
        <v>10</v>
      </c>
      <c r="E160">
        <v>50000</v>
      </c>
      <c r="F160" t="s">
        <v>333</v>
      </c>
      <c r="G160" s="2">
        <v>46122</v>
      </c>
      <c r="H160">
        <v>0</v>
      </c>
    </row>
    <row r="161" spans="1:8" x14ac:dyDescent="0.2">
      <c r="A161" t="s">
        <v>334</v>
      </c>
      <c r="B161" t="s">
        <v>21</v>
      </c>
      <c r="C161" t="s">
        <v>10</v>
      </c>
      <c r="D161">
        <v>23</v>
      </c>
      <c r="E161">
        <v>15000</v>
      </c>
      <c r="F161" t="s">
        <v>335</v>
      </c>
      <c r="G161" s="2">
        <v>46066</v>
      </c>
      <c r="H161">
        <v>2</v>
      </c>
    </row>
    <row r="162" spans="1:8" x14ac:dyDescent="0.2">
      <c r="A162" t="s">
        <v>336</v>
      </c>
      <c r="B162" t="s">
        <v>25</v>
      </c>
      <c r="C162" t="s">
        <v>10</v>
      </c>
      <c r="D162">
        <v>7</v>
      </c>
      <c r="E162">
        <v>15000</v>
      </c>
      <c r="F162" t="s">
        <v>337</v>
      </c>
      <c r="G162" s="2">
        <v>46042</v>
      </c>
      <c r="H162">
        <v>0</v>
      </c>
    </row>
    <row r="163" spans="1:8" x14ac:dyDescent="0.2">
      <c r="A163" t="s">
        <v>338</v>
      </c>
      <c r="B163" t="s">
        <v>25</v>
      </c>
      <c r="C163" t="s">
        <v>22</v>
      </c>
      <c r="D163">
        <v>3</v>
      </c>
      <c r="E163">
        <v>35000</v>
      </c>
      <c r="G163" s="2">
        <v>46124</v>
      </c>
      <c r="H163">
        <v>0</v>
      </c>
    </row>
    <row r="164" spans="1:8" x14ac:dyDescent="0.2">
      <c r="A164" t="s">
        <v>339</v>
      </c>
      <c r="B164" t="s">
        <v>25</v>
      </c>
      <c r="C164" t="s">
        <v>22</v>
      </c>
      <c r="D164">
        <v>15</v>
      </c>
      <c r="E164">
        <v>35000</v>
      </c>
      <c r="F164" t="s">
        <v>340</v>
      </c>
      <c r="G164" t="s">
        <v>341</v>
      </c>
      <c r="H164">
        <v>0</v>
      </c>
    </row>
    <row r="165" spans="1:8" x14ac:dyDescent="0.2">
      <c r="A165" t="s">
        <v>342</v>
      </c>
      <c r="B165" t="s">
        <v>25</v>
      </c>
      <c r="C165" t="s">
        <v>10</v>
      </c>
      <c r="D165">
        <v>2</v>
      </c>
      <c r="E165">
        <v>15000</v>
      </c>
      <c r="F165" t="s">
        <v>123</v>
      </c>
      <c r="G165" s="2">
        <v>46123</v>
      </c>
      <c r="H165">
        <v>0</v>
      </c>
    </row>
    <row r="166" spans="1:8" x14ac:dyDescent="0.2">
      <c r="A166" t="s">
        <v>343</v>
      </c>
      <c r="B166" t="s">
        <v>9</v>
      </c>
      <c r="C166" t="s">
        <v>18</v>
      </c>
      <c r="D166">
        <v>10</v>
      </c>
      <c r="E166" t="s">
        <v>11</v>
      </c>
      <c r="F166" t="s">
        <v>340</v>
      </c>
      <c r="G166" s="2">
        <v>46097</v>
      </c>
      <c r="H166">
        <v>1</v>
      </c>
    </row>
    <row r="167" spans="1:8" x14ac:dyDescent="0.2">
      <c r="A167" t="s">
        <v>344</v>
      </c>
      <c r="B167" t="s">
        <v>25</v>
      </c>
      <c r="C167" t="s">
        <v>45</v>
      </c>
      <c r="D167">
        <v>17</v>
      </c>
      <c r="E167">
        <v>20000</v>
      </c>
      <c r="F167" t="s">
        <v>190</v>
      </c>
      <c r="G167" s="2">
        <v>46121</v>
      </c>
      <c r="H167">
        <v>0</v>
      </c>
    </row>
    <row r="168" spans="1:8" x14ac:dyDescent="0.2">
      <c r="A168" t="s">
        <v>345</v>
      </c>
      <c r="B168" t="s">
        <v>9</v>
      </c>
      <c r="C168" t="s">
        <v>70</v>
      </c>
      <c r="D168">
        <v>7</v>
      </c>
      <c r="E168">
        <v>28000</v>
      </c>
      <c r="F168" t="s">
        <v>346</v>
      </c>
      <c r="G168" s="2">
        <v>46089</v>
      </c>
      <c r="H168">
        <v>3</v>
      </c>
    </row>
    <row r="169" spans="1:8" x14ac:dyDescent="0.2">
      <c r="A169" t="s">
        <v>347</v>
      </c>
      <c r="B169" t="s">
        <v>25</v>
      </c>
      <c r="C169" t="s">
        <v>39</v>
      </c>
      <c r="D169">
        <v>24</v>
      </c>
      <c r="E169" t="s">
        <v>348</v>
      </c>
      <c r="F169" t="s">
        <v>134</v>
      </c>
      <c r="G169" s="2">
        <v>46067</v>
      </c>
      <c r="H169">
        <v>2</v>
      </c>
    </row>
    <row r="170" spans="1:8" x14ac:dyDescent="0.2">
      <c r="A170" t="s">
        <v>349</v>
      </c>
      <c r="B170" t="s">
        <v>9</v>
      </c>
      <c r="C170" t="s">
        <v>22</v>
      </c>
      <c r="D170" t="s">
        <v>350</v>
      </c>
      <c r="E170">
        <v>35000</v>
      </c>
      <c r="F170" t="s">
        <v>40</v>
      </c>
      <c r="G170" s="2">
        <v>46113</v>
      </c>
      <c r="H170">
        <v>5</v>
      </c>
    </row>
    <row r="171" spans="1:8" x14ac:dyDescent="0.2">
      <c r="A171" t="s">
        <v>351</v>
      </c>
      <c r="B171" t="s">
        <v>9</v>
      </c>
      <c r="C171" t="s">
        <v>70</v>
      </c>
      <c r="D171">
        <v>22</v>
      </c>
      <c r="E171">
        <v>28000</v>
      </c>
      <c r="F171" t="s">
        <v>352</v>
      </c>
      <c r="G171" s="2">
        <v>46106</v>
      </c>
      <c r="H171">
        <v>0</v>
      </c>
    </row>
    <row r="172" spans="1:8" x14ac:dyDescent="0.2">
      <c r="A172" t="s">
        <v>353</v>
      </c>
      <c r="B172" t="s">
        <v>9</v>
      </c>
      <c r="C172" t="s">
        <v>26</v>
      </c>
      <c r="D172" t="s">
        <v>354</v>
      </c>
      <c r="E172">
        <v>20000</v>
      </c>
      <c r="F172" t="s">
        <v>355</v>
      </c>
      <c r="G172" s="2">
        <v>46065</v>
      </c>
      <c r="H172">
        <v>0</v>
      </c>
    </row>
    <row r="173" spans="1:8" x14ac:dyDescent="0.2">
      <c r="A173" t="s">
        <v>356</v>
      </c>
      <c r="B173" t="s">
        <v>9</v>
      </c>
      <c r="C173" t="s">
        <v>70</v>
      </c>
      <c r="D173">
        <v>7</v>
      </c>
      <c r="E173">
        <v>28000</v>
      </c>
      <c r="F173" t="s">
        <v>128</v>
      </c>
      <c r="G173" s="2">
        <v>46077</v>
      </c>
      <c r="H173">
        <v>0</v>
      </c>
    </row>
    <row r="174" spans="1:8" x14ac:dyDescent="0.2">
      <c r="A174" t="s">
        <v>357</v>
      </c>
      <c r="B174" t="s">
        <v>21</v>
      </c>
      <c r="C174" t="s">
        <v>39</v>
      </c>
      <c r="D174">
        <v>23</v>
      </c>
      <c r="E174">
        <v>12000</v>
      </c>
      <c r="F174" t="s">
        <v>337</v>
      </c>
      <c r="G174" s="2">
        <v>46135</v>
      </c>
      <c r="H174">
        <v>0</v>
      </c>
    </row>
    <row r="175" spans="1:8" x14ac:dyDescent="0.2">
      <c r="A175" t="s">
        <v>359</v>
      </c>
      <c r="B175" t="s">
        <v>9</v>
      </c>
      <c r="C175" t="s">
        <v>22</v>
      </c>
      <c r="D175">
        <v>13</v>
      </c>
      <c r="E175">
        <v>35000</v>
      </c>
      <c r="F175" t="s">
        <v>95</v>
      </c>
      <c r="G175" s="2">
        <v>46088</v>
      </c>
      <c r="H175">
        <v>1</v>
      </c>
    </row>
    <row r="176" spans="1:8" x14ac:dyDescent="0.2">
      <c r="A176" t="s">
        <v>360</v>
      </c>
      <c r="B176" t="s">
        <v>9</v>
      </c>
      <c r="C176" t="s">
        <v>39</v>
      </c>
      <c r="D176">
        <v>11</v>
      </c>
      <c r="E176">
        <v>12000</v>
      </c>
      <c r="F176" t="s">
        <v>222</v>
      </c>
      <c r="G176" s="2">
        <v>46185</v>
      </c>
      <c r="H176">
        <v>0</v>
      </c>
    </row>
    <row r="177" spans="1:8" x14ac:dyDescent="0.2">
      <c r="A177" t="s">
        <v>361</v>
      </c>
      <c r="B177" t="s">
        <v>14</v>
      </c>
      <c r="C177" t="s">
        <v>70</v>
      </c>
      <c r="D177">
        <v>19</v>
      </c>
      <c r="E177">
        <v>28000</v>
      </c>
      <c r="F177" t="s">
        <v>12</v>
      </c>
      <c r="G177" s="2">
        <v>46110</v>
      </c>
      <c r="H177">
        <v>3</v>
      </c>
    </row>
    <row r="178" spans="1:8" x14ac:dyDescent="0.2">
      <c r="A178" t="s">
        <v>362</v>
      </c>
      <c r="B178" t="s">
        <v>1407</v>
      </c>
      <c r="C178" t="s">
        <v>32</v>
      </c>
      <c r="D178">
        <v>4</v>
      </c>
      <c r="E178">
        <v>8000</v>
      </c>
      <c r="F178" t="s">
        <v>364</v>
      </c>
      <c r="G178" s="2">
        <v>46198</v>
      </c>
      <c r="H178">
        <v>0</v>
      </c>
    </row>
    <row r="179" spans="1:8" x14ac:dyDescent="0.2">
      <c r="A179" t="s">
        <v>365</v>
      </c>
      <c r="B179" t="s">
        <v>21</v>
      </c>
      <c r="C179" t="s">
        <v>26</v>
      </c>
      <c r="D179">
        <v>10</v>
      </c>
      <c r="E179">
        <v>20000</v>
      </c>
      <c r="F179" t="s">
        <v>366</v>
      </c>
      <c r="G179" s="2">
        <v>46050</v>
      </c>
      <c r="H179">
        <v>2</v>
      </c>
    </row>
    <row r="180" spans="1:8" x14ac:dyDescent="0.2">
      <c r="A180" t="s">
        <v>367</v>
      </c>
      <c r="B180" t="s">
        <v>21</v>
      </c>
      <c r="C180" t="s">
        <v>22</v>
      </c>
      <c r="D180" t="s">
        <v>11</v>
      </c>
      <c r="E180">
        <v>35000</v>
      </c>
      <c r="F180" t="s">
        <v>368</v>
      </c>
      <c r="G180" t="s">
        <v>369</v>
      </c>
      <c r="H180">
        <v>3</v>
      </c>
    </row>
    <row r="181" spans="1:8" x14ac:dyDescent="0.2">
      <c r="A181" t="s">
        <v>370</v>
      </c>
      <c r="B181" t="s">
        <v>21</v>
      </c>
      <c r="C181" t="s">
        <v>26</v>
      </c>
      <c r="D181">
        <v>25</v>
      </c>
      <c r="E181">
        <v>20000</v>
      </c>
      <c r="F181" t="s">
        <v>134</v>
      </c>
      <c r="G181" s="2">
        <v>46129</v>
      </c>
      <c r="H181">
        <v>0</v>
      </c>
    </row>
    <row r="182" spans="1:8" x14ac:dyDescent="0.2">
      <c r="A182" t="s">
        <v>371</v>
      </c>
      <c r="B182" t="s">
        <v>14</v>
      </c>
      <c r="C182" t="s">
        <v>10</v>
      </c>
      <c r="D182">
        <v>18</v>
      </c>
      <c r="E182">
        <v>15000</v>
      </c>
      <c r="F182" t="s">
        <v>372</v>
      </c>
      <c r="G182" s="2">
        <v>46028</v>
      </c>
      <c r="H182">
        <v>0</v>
      </c>
    </row>
    <row r="183" spans="1:8" x14ac:dyDescent="0.2">
      <c r="A183" t="s">
        <v>373</v>
      </c>
      <c r="B183" t="s">
        <v>14</v>
      </c>
      <c r="C183" t="s">
        <v>70</v>
      </c>
      <c r="D183">
        <v>17</v>
      </c>
      <c r="E183">
        <v>28000</v>
      </c>
      <c r="F183" t="s">
        <v>374</v>
      </c>
      <c r="G183" s="2">
        <v>46091</v>
      </c>
      <c r="H183">
        <v>0</v>
      </c>
    </row>
    <row r="184" spans="1:8" x14ac:dyDescent="0.2">
      <c r="A184" t="s">
        <v>375</v>
      </c>
      <c r="B184" t="s">
        <v>9</v>
      </c>
      <c r="C184" t="s">
        <v>18</v>
      </c>
      <c r="D184">
        <v>4</v>
      </c>
      <c r="E184">
        <v>50000</v>
      </c>
      <c r="G184" s="2">
        <v>46196</v>
      </c>
      <c r="H184">
        <v>4</v>
      </c>
    </row>
    <row r="185" spans="1:8" x14ac:dyDescent="0.2">
      <c r="A185" t="s">
        <v>376</v>
      </c>
      <c r="B185" t="s">
        <v>14</v>
      </c>
      <c r="C185" t="s">
        <v>22</v>
      </c>
      <c r="D185">
        <v>16</v>
      </c>
      <c r="E185">
        <v>35000</v>
      </c>
      <c r="F185" t="s">
        <v>377</v>
      </c>
      <c r="G185" s="2">
        <v>46050</v>
      </c>
      <c r="H185">
        <v>0</v>
      </c>
    </row>
    <row r="186" spans="1:8" x14ac:dyDescent="0.2">
      <c r="A186" t="s">
        <v>378</v>
      </c>
      <c r="B186" t="s">
        <v>9</v>
      </c>
      <c r="C186" t="s">
        <v>70</v>
      </c>
      <c r="D186">
        <v>16</v>
      </c>
      <c r="E186">
        <v>28000</v>
      </c>
      <c r="F186" t="s">
        <v>379</v>
      </c>
      <c r="G186" s="2">
        <v>46108</v>
      </c>
      <c r="H186">
        <v>0</v>
      </c>
    </row>
    <row r="187" spans="1:8" x14ac:dyDescent="0.2">
      <c r="A187" t="s">
        <v>380</v>
      </c>
      <c r="B187" t="s">
        <v>25</v>
      </c>
      <c r="C187" t="s">
        <v>239</v>
      </c>
      <c r="D187">
        <v>4</v>
      </c>
      <c r="E187">
        <v>12000</v>
      </c>
      <c r="F187" t="s">
        <v>381</v>
      </c>
      <c r="G187" s="2">
        <v>46111</v>
      </c>
      <c r="H187">
        <v>0</v>
      </c>
    </row>
    <row r="188" spans="1:8" x14ac:dyDescent="0.2">
      <c r="A188" t="s">
        <v>382</v>
      </c>
      <c r="B188" t="s">
        <v>9</v>
      </c>
      <c r="C188" t="s">
        <v>39</v>
      </c>
      <c r="D188">
        <v>12</v>
      </c>
      <c r="E188">
        <v>12000</v>
      </c>
      <c r="F188" t="s">
        <v>195</v>
      </c>
      <c r="G188" s="2">
        <v>46029</v>
      </c>
      <c r="H188">
        <v>0</v>
      </c>
    </row>
    <row r="189" spans="1:8" x14ac:dyDescent="0.2">
      <c r="A189" t="s">
        <v>383</v>
      </c>
      <c r="B189" t="s">
        <v>14</v>
      </c>
      <c r="C189" t="s">
        <v>39</v>
      </c>
      <c r="D189">
        <v>22</v>
      </c>
      <c r="E189">
        <v>12000</v>
      </c>
      <c r="G189" s="2">
        <v>46055</v>
      </c>
      <c r="H189">
        <v>0</v>
      </c>
    </row>
    <row r="190" spans="1:8" x14ac:dyDescent="0.2">
      <c r="A190" t="s">
        <v>384</v>
      </c>
      <c r="B190" t="s">
        <v>9</v>
      </c>
      <c r="C190" t="s">
        <v>70</v>
      </c>
      <c r="D190">
        <v>2</v>
      </c>
      <c r="E190">
        <v>28000</v>
      </c>
      <c r="F190" t="s">
        <v>214</v>
      </c>
      <c r="G190" s="2">
        <v>46176</v>
      </c>
      <c r="H190">
        <v>10</v>
      </c>
    </row>
    <row r="191" spans="1:8" x14ac:dyDescent="0.2">
      <c r="A191" t="s">
        <v>385</v>
      </c>
      <c r="B191" t="s">
        <v>9</v>
      </c>
      <c r="C191" t="s">
        <v>39</v>
      </c>
      <c r="D191">
        <v>7</v>
      </c>
      <c r="E191">
        <v>12000</v>
      </c>
      <c r="G191" s="2">
        <v>46157</v>
      </c>
      <c r="H191">
        <v>0</v>
      </c>
    </row>
    <row r="192" spans="1:8" x14ac:dyDescent="0.2">
      <c r="A192" t="s">
        <v>386</v>
      </c>
      <c r="B192" t="s">
        <v>14</v>
      </c>
      <c r="C192" t="s">
        <v>32</v>
      </c>
      <c r="D192">
        <v>19</v>
      </c>
      <c r="E192">
        <v>8000</v>
      </c>
      <c r="F192" t="s">
        <v>287</v>
      </c>
      <c r="G192" s="2">
        <v>46183</v>
      </c>
      <c r="H192">
        <v>20</v>
      </c>
    </row>
    <row r="193" spans="1:8" x14ac:dyDescent="0.2">
      <c r="A193" t="s">
        <v>387</v>
      </c>
      <c r="B193" t="s">
        <v>14</v>
      </c>
      <c r="C193" t="s">
        <v>22</v>
      </c>
      <c r="D193">
        <v>21</v>
      </c>
      <c r="E193">
        <v>35000</v>
      </c>
      <c r="F193" t="s">
        <v>117</v>
      </c>
      <c r="G193" s="2">
        <v>46063</v>
      </c>
      <c r="H193">
        <v>0</v>
      </c>
    </row>
    <row r="194" spans="1:8" x14ac:dyDescent="0.2">
      <c r="A194" t="s">
        <v>388</v>
      </c>
      <c r="B194" t="s">
        <v>25</v>
      </c>
      <c r="C194" t="s">
        <v>130</v>
      </c>
      <c r="D194">
        <v>-9</v>
      </c>
      <c r="E194">
        <v>20000</v>
      </c>
      <c r="F194" t="s">
        <v>389</v>
      </c>
      <c r="G194" s="2">
        <v>46166</v>
      </c>
      <c r="H194">
        <v>-7</v>
      </c>
    </row>
    <row r="195" spans="1:8" x14ac:dyDescent="0.2">
      <c r="A195" t="s">
        <v>390</v>
      </c>
      <c r="B195" t="s">
        <v>21</v>
      </c>
      <c r="C195" t="s">
        <v>22</v>
      </c>
      <c r="D195">
        <v>17</v>
      </c>
      <c r="E195">
        <v>35000</v>
      </c>
      <c r="F195" t="s">
        <v>391</v>
      </c>
      <c r="G195" s="2">
        <v>46167</v>
      </c>
      <c r="H195">
        <v>0</v>
      </c>
    </row>
    <row r="196" spans="1:8" x14ac:dyDescent="0.2">
      <c r="A196" t="s">
        <v>392</v>
      </c>
      <c r="B196" t="s">
        <v>21</v>
      </c>
      <c r="C196" t="s">
        <v>32</v>
      </c>
      <c r="D196">
        <v>3</v>
      </c>
      <c r="E196">
        <v>8000</v>
      </c>
      <c r="F196" t="s">
        <v>393</v>
      </c>
      <c r="G196" s="2">
        <v>46142</v>
      </c>
      <c r="H196">
        <v>0</v>
      </c>
    </row>
    <row r="197" spans="1:8" x14ac:dyDescent="0.2">
      <c r="A197" t="s">
        <v>394</v>
      </c>
      <c r="B197" t="s">
        <v>9</v>
      </c>
      <c r="C197" t="s">
        <v>39</v>
      </c>
      <c r="D197">
        <v>8</v>
      </c>
      <c r="E197">
        <v>12000</v>
      </c>
      <c r="G197" s="2">
        <v>46027</v>
      </c>
      <c r="H197">
        <v>0</v>
      </c>
    </row>
    <row r="198" spans="1:8" x14ac:dyDescent="0.2">
      <c r="A198" t="s">
        <v>395</v>
      </c>
      <c r="B198" t="s">
        <v>14</v>
      </c>
      <c r="C198" t="s">
        <v>18</v>
      </c>
      <c r="D198">
        <v>14</v>
      </c>
      <c r="E198">
        <v>50000</v>
      </c>
      <c r="F198" t="s">
        <v>12</v>
      </c>
      <c r="G198" s="2">
        <v>46099</v>
      </c>
      <c r="H198">
        <v>0</v>
      </c>
    </row>
    <row r="199" spans="1:8" x14ac:dyDescent="0.2">
      <c r="A199" t="s">
        <v>396</v>
      </c>
      <c r="B199" t="s">
        <v>14</v>
      </c>
      <c r="C199" t="s">
        <v>22</v>
      </c>
      <c r="D199">
        <v>3</v>
      </c>
      <c r="E199">
        <v>35000</v>
      </c>
      <c r="F199" t="s">
        <v>333</v>
      </c>
      <c r="G199" s="2">
        <v>46147</v>
      </c>
      <c r="H199">
        <v>0</v>
      </c>
    </row>
    <row r="200" spans="1:8" x14ac:dyDescent="0.2">
      <c r="A200" t="s">
        <v>397</v>
      </c>
      <c r="B200" t="s">
        <v>14</v>
      </c>
      <c r="C200" t="s">
        <v>10</v>
      </c>
      <c r="D200">
        <v>24</v>
      </c>
      <c r="E200" t="s">
        <v>188</v>
      </c>
      <c r="G200" s="2">
        <v>46104</v>
      </c>
      <c r="H200">
        <v>2</v>
      </c>
    </row>
    <row r="201" spans="1:8" x14ac:dyDescent="0.2">
      <c r="A201" t="s">
        <v>398</v>
      </c>
      <c r="B201" t="s">
        <v>9</v>
      </c>
      <c r="C201" t="s">
        <v>22</v>
      </c>
      <c r="D201" t="s">
        <v>399</v>
      </c>
      <c r="E201">
        <v>35000</v>
      </c>
      <c r="F201" t="s">
        <v>400</v>
      </c>
      <c r="G201" s="2">
        <v>46071</v>
      </c>
      <c r="H201">
        <v>0</v>
      </c>
    </row>
    <row r="202" spans="1:8" x14ac:dyDescent="0.2">
      <c r="A202" t="s">
        <v>401</v>
      </c>
      <c r="B202" t="s">
        <v>9</v>
      </c>
      <c r="C202" t="s">
        <v>39</v>
      </c>
      <c r="D202">
        <v>21</v>
      </c>
      <c r="E202">
        <v>12000</v>
      </c>
      <c r="F202" t="s">
        <v>402</v>
      </c>
      <c r="G202" s="2">
        <v>46184</v>
      </c>
      <c r="H202">
        <v>0</v>
      </c>
    </row>
    <row r="203" spans="1:8" x14ac:dyDescent="0.2">
      <c r="A203" t="s">
        <v>403</v>
      </c>
      <c r="B203" t="s">
        <v>21</v>
      </c>
      <c r="C203" t="s">
        <v>32</v>
      </c>
      <c r="D203">
        <v>14</v>
      </c>
      <c r="E203" t="s">
        <v>11</v>
      </c>
      <c r="F203" t="s">
        <v>404</v>
      </c>
      <c r="G203" s="2">
        <v>46065</v>
      </c>
      <c r="H203">
        <v>0</v>
      </c>
    </row>
    <row r="204" spans="1:8" x14ac:dyDescent="0.2">
      <c r="A204" t="s">
        <v>405</v>
      </c>
      <c r="B204" t="s">
        <v>9</v>
      </c>
      <c r="C204" t="s">
        <v>70</v>
      </c>
      <c r="D204">
        <v>2</v>
      </c>
      <c r="E204">
        <v>28000</v>
      </c>
      <c r="F204" t="s">
        <v>406</v>
      </c>
      <c r="G204" s="2">
        <v>46140</v>
      </c>
      <c r="H204">
        <v>0</v>
      </c>
    </row>
    <row r="205" spans="1:8" x14ac:dyDescent="0.2">
      <c r="A205" t="s">
        <v>407</v>
      </c>
      <c r="B205" t="s">
        <v>21</v>
      </c>
      <c r="C205" t="s">
        <v>45</v>
      </c>
      <c r="D205">
        <v>12</v>
      </c>
      <c r="E205">
        <v>20000</v>
      </c>
      <c r="F205" t="s">
        <v>287</v>
      </c>
      <c r="G205" s="2">
        <v>46145</v>
      </c>
      <c r="H205">
        <v>0</v>
      </c>
    </row>
    <row r="206" spans="1:8" x14ac:dyDescent="0.2">
      <c r="A206" t="s">
        <v>408</v>
      </c>
      <c r="B206" t="s">
        <v>25</v>
      </c>
      <c r="C206" t="s">
        <v>70</v>
      </c>
      <c r="D206">
        <v>10</v>
      </c>
      <c r="E206">
        <v>28000</v>
      </c>
      <c r="F206" t="s">
        <v>311</v>
      </c>
      <c r="G206" s="2">
        <v>46093</v>
      </c>
      <c r="H206">
        <v>0</v>
      </c>
    </row>
    <row r="207" spans="1:8" x14ac:dyDescent="0.2">
      <c r="A207" t="s">
        <v>409</v>
      </c>
      <c r="B207" t="s">
        <v>9</v>
      </c>
      <c r="C207" t="s">
        <v>26</v>
      </c>
      <c r="D207">
        <v>22</v>
      </c>
      <c r="E207">
        <v>20000</v>
      </c>
      <c r="F207" t="s">
        <v>410</v>
      </c>
      <c r="G207" s="2">
        <v>46051</v>
      </c>
      <c r="H207">
        <v>0</v>
      </c>
    </row>
    <row r="208" spans="1:8" x14ac:dyDescent="0.2">
      <c r="A208" t="s">
        <v>411</v>
      </c>
      <c r="B208" t="s">
        <v>9</v>
      </c>
      <c r="C208" t="s">
        <v>39</v>
      </c>
      <c r="D208">
        <v>8</v>
      </c>
      <c r="E208">
        <v>12000</v>
      </c>
      <c r="F208" t="s">
        <v>412</v>
      </c>
      <c r="G208" s="2">
        <v>46124</v>
      </c>
      <c r="H208">
        <v>2</v>
      </c>
    </row>
    <row r="209" spans="1:8" x14ac:dyDescent="0.2">
      <c r="A209" t="s">
        <v>413</v>
      </c>
      <c r="B209" t="s">
        <v>21</v>
      </c>
      <c r="C209" t="s">
        <v>10</v>
      </c>
      <c r="D209">
        <v>22</v>
      </c>
      <c r="E209">
        <v>15000</v>
      </c>
      <c r="F209" t="s">
        <v>414</v>
      </c>
      <c r="G209" s="2">
        <v>46050</v>
      </c>
      <c r="H209">
        <v>4</v>
      </c>
    </row>
    <row r="210" spans="1:8" x14ac:dyDescent="0.2">
      <c r="A210" t="s">
        <v>415</v>
      </c>
      <c r="B210" t="s">
        <v>14</v>
      </c>
      <c r="C210" t="s">
        <v>26</v>
      </c>
      <c r="D210">
        <v>1</v>
      </c>
      <c r="E210">
        <v>20000</v>
      </c>
      <c r="F210" t="s">
        <v>416</v>
      </c>
      <c r="G210" s="2">
        <v>46046</v>
      </c>
      <c r="H210">
        <v>0</v>
      </c>
    </row>
    <row r="211" spans="1:8" x14ac:dyDescent="0.2">
      <c r="A211" t="s">
        <v>417</v>
      </c>
      <c r="B211" t="s">
        <v>25</v>
      </c>
      <c r="C211" t="s">
        <v>418</v>
      </c>
      <c r="D211">
        <v>10</v>
      </c>
      <c r="E211">
        <v>20000</v>
      </c>
      <c r="F211" t="s">
        <v>419</v>
      </c>
      <c r="G211" s="2">
        <v>46147</v>
      </c>
      <c r="H211">
        <v>0</v>
      </c>
    </row>
    <row r="212" spans="1:8" x14ac:dyDescent="0.2">
      <c r="A212" t="s">
        <v>420</v>
      </c>
      <c r="B212" t="s">
        <v>25</v>
      </c>
      <c r="C212" t="s">
        <v>45</v>
      </c>
      <c r="D212">
        <v>-1</v>
      </c>
      <c r="E212">
        <v>20000</v>
      </c>
      <c r="F212" t="s">
        <v>232</v>
      </c>
      <c r="G212" s="2">
        <v>46120</v>
      </c>
      <c r="H212">
        <v>0</v>
      </c>
    </row>
    <row r="213" spans="1:8" x14ac:dyDescent="0.2">
      <c r="A213" t="s">
        <v>421</v>
      </c>
      <c r="B213" t="s">
        <v>9</v>
      </c>
      <c r="C213" t="s">
        <v>45</v>
      </c>
      <c r="D213">
        <v>8</v>
      </c>
      <c r="E213">
        <v>20000</v>
      </c>
      <c r="F213" t="s">
        <v>331</v>
      </c>
      <c r="G213" s="2">
        <v>46029</v>
      </c>
      <c r="H213">
        <v>0</v>
      </c>
    </row>
    <row r="214" spans="1:8" x14ac:dyDescent="0.2">
      <c r="A214" t="s">
        <v>422</v>
      </c>
      <c r="B214" t="s">
        <v>25</v>
      </c>
      <c r="C214" t="s">
        <v>70</v>
      </c>
      <c r="D214">
        <v>8</v>
      </c>
      <c r="E214">
        <v>28000</v>
      </c>
      <c r="F214" t="s">
        <v>261</v>
      </c>
      <c r="G214" s="2">
        <v>46141</v>
      </c>
      <c r="H214">
        <v>3</v>
      </c>
    </row>
    <row r="215" spans="1:8" x14ac:dyDescent="0.2">
      <c r="A215" t="s">
        <v>423</v>
      </c>
      <c r="B215" t="s">
        <v>25</v>
      </c>
      <c r="C215" t="s">
        <v>22</v>
      </c>
      <c r="D215">
        <v>16</v>
      </c>
      <c r="E215">
        <v>35000</v>
      </c>
      <c r="F215" t="s">
        <v>424</v>
      </c>
      <c r="G215" s="2">
        <v>46128</v>
      </c>
      <c r="H215">
        <v>0</v>
      </c>
    </row>
    <row r="216" spans="1:8" x14ac:dyDescent="0.2">
      <c r="A216" t="s">
        <v>425</v>
      </c>
      <c r="B216" t="s">
        <v>9</v>
      </c>
      <c r="C216" t="s">
        <v>22</v>
      </c>
      <c r="D216">
        <v>22</v>
      </c>
      <c r="E216">
        <v>35000</v>
      </c>
      <c r="F216" t="s">
        <v>228</v>
      </c>
      <c r="G216" s="2">
        <v>46139</v>
      </c>
      <c r="H216">
        <v>0</v>
      </c>
    </row>
    <row r="217" spans="1:8" x14ac:dyDescent="0.2">
      <c r="A217" t="s">
        <v>427</v>
      </c>
      <c r="B217" t="s">
        <v>9</v>
      </c>
      <c r="C217" t="s">
        <v>45</v>
      </c>
      <c r="D217">
        <v>9</v>
      </c>
      <c r="E217">
        <v>20000</v>
      </c>
      <c r="F217" t="s">
        <v>428</v>
      </c>
      <c r="G217" s="2">
        <v>46123</v>
      </c>
      <c r="H217">
        <v>0</v>
      </c>
    </row>
    <row r="218" spans="1:8" x14ac:dyDescent="0.2">
      <c r="A218" t="s">
        <v>429</v>
      </c>
      <c r="B218" t="s">
        <v>25</v>
      </c>
      <c r="C218" t="s">
        <v>70</v>
      </c>
      <c r="D218">
        <v>13</v>
      </c>
      <c r="E218">
        <v>28000</v>
      </c>
      <c r="F218" t="s">
        <v>280</v>
      </c>
      <c r="G218" s="2">
        <v>46077</v>
      </c>
      <c r="H218">
        <v>0</v>
      </c>
    </row>
    <row r="219" spans="1:8" x14ac:dyDescent="0.2">
      <c r="A219" t="s">
        <v>430</v>
      </c>
      <c r="B219" t="s">
        <v>25</v>
      </c>
      <c r="C219" t="s">
        <v>15</v>
      </c>
      <c r="D219">
        <v>21</v>
      </c>
      <c r="E219">
        <v>50000</v>
      </c>
      <c r="F219" t="s">
        <v>431</v>
      </c>
      <c r="G219" s="2">
        <v>46094</v>
      </c>
      <c r="H219">
        <v>0</v>
      </c>
    </row>
    <row r="220" spans="1:8" x14ac:dyDescent="0.2">
      <c r="A220" t="s">
        <v>432</v>
      </c>
      <c r="B220" t="s">
        <v>21</v>
      </c>
      <c r="C220" t="s">
        <v>433</v>
      </c>
      <c r="D220">
        <v>4</v>
      </c>
      <c r="E220">
        <v>12000</v>
      </c>
      <c r="F220" t="s">
        <v>132</v>
      </c>
      <c r="G220" s="2">
        <v>46180</v>
      </c>
      <c r="H220">
        <v>1</v>
      </c>
    </row>
    <row r="221" spans="1:8" x14ac:dyDescent="0.2">
      <c r="A221" t="s">
        <v>434</v>
      </c>
      <c r="B221" t="s">
        <v>14</v>
      </c>
      <c r="C221" t="s">
        <v>39</v>
      </c>
      <c r="D221">
        <v>5</v>
      </c>
      <c r="E221">
        <v>12000</v>
      </c>
      <c r="F221" t="s">
        <v>419</v>
      </c>
      <c r="G221" s="2">
        <v>46056</v>
      </c>
      <c r="H221">
        <v>0</v>
      </c>
    </row>
    <row r="222" spans="1:8" x14ac:dyDescent="0.2">
      <c r="A222" t="s">
        <v>435</v>
      </c>
      <c r="B222" t="s">
        <v>21</v>
      </c>
      <c r="C222" t="s">
        <v>70</v>
      </c>
      <c r="D222">
        <v>23</v>
      </c>
      <c r="E222">
        <v>28000</v>
      </c>
      <c r="F222" t="s">
        <v>108</v>
      </c>
      <c r="G222" s="2">
        <v>46202</v>
      </c>
      <c r="H222">
        <v>0</v>
      </c>
    </row>
    <row r="223" spans="1:8" x14ac:dyDescent="0.2">
      <c r="A223" t="s">
        <v>436</v>
      </c>
      <c r="B223" t="s">
        <v>25</v>
      </c>
      <c r="C223" t="s">
        <v>70</v>
      </c>
      <c r="D223">
        <v>4</v>
      </c>
      <c r="E223">
        <v>28000</v>
      </c>
      <c r="F223" t="s">
        <v>437</v>
      </c>
      <c r="G223" s="2">
        <v>46160</v>
      </c>
      <c r="H223">
        <v>2</v>
      </c>
    </row>
    <row r="224" spans="1:8" x14ac:dyDescent="0.2">
      <c r="A224" t="s">
        <v>438</v>
      </c>
      <c r="B224" t="s">
        <v>9</v>
      </c>
      <c r="C224" t="s">
        <v>10</v>
      </c>
      <c r="D224" t="s">
        <v>439</v>
      </c>
      <c r="E224">
        <v>15000</v>
      </c>
      <c r="F224" t="s">
        <v>190</v>
      </c>
      <c r="G224" s="2">
        <v>46048</v>
      </c>
      <c r="H224">
        <v>0</v>
      </c>
    </row>
    <row r="225" spans="1:8" x14ac:dyDescent="0.2">
      <c r="A225" t="s">
        <v>440</v>
      </c>
      <c r="B225" t="s">
        <v>21</v>
      </c>
      <c r="C225" t="s">
        <v>39</v>
      </c>
      <c r="D225">
        <v>20</v>
      </c>
      <c r="E225">
        <v>36000</v>
      </c>
      <c r="F225" t="s">
        <v>441</v>
      </c>
      <c r="G225" s="2">
        <v>46118</v>
      </c>
      <c r="H225">
        <v>23</v>
      </c>
    </row>
    <row r="226" spans="1:8" x14ac:dyDescent="0.2">
      <c r="A226" t="s">
        <v>442</v>
      </c>
      <c r="B226" t="s">
        <v>25</v>
      </c>
      <c r="C226" t="s">
        <v>32</v>
      </c>
      <c r="D226">
        <v>14</v>
      </c>
      <c r="E226">
        <v>8000</v>
      </c>
      <c r="F226" t="s">
        <v>443</v>
      </c>
      <c r="G226" s="2">
        <v>46064</v>
      </c>
      <c r="H226">
        <v>1</v>
      </c>
    </row>
    <row r="227" spans="1:8" x14ac:dyDescent="0.2">
      <c r="A227" t="s">
        <v>444</v>
      </c>
      <c r="B227" t="s">
        <v>25</v>
      </c>
      <c r="C227" t="s">
        <v>45</v>
      </c>
      <c r="D227">
        <v>15</v>
      </c>
      <c r="E227">
        <v>20000</v>
      </c>
      <c r="F227" t="s">
        <v>134</v>
      </c>
      <c r="G227" s="2">
        <v>46031</v>
      </c>
      <c r="H227">
        <v>0</v>
      </c>
    </row>
    <row r="228" spans="1:8" x14ac:dyDescent="0.2">
      <c r="A228" t="s">
        <v>445</v>
      </c>
      <c r="B228" t="s">
        <v>14</v>
      </c>
      <c r="C228" t="s">
        <v>22</v>
      </c>
      <c r="D228">
        <v>12</v>
      </c>
      <c r="E228">
        <v>35000</v>
      </c>
      <c r="F228" t="s">
        <v>148</v>
      </c>
      <c r="G228" s="2">
        <v>46138</v>
      </c>
      <c r="H228">
        <v>0</v>
      </c>
    </row>
    <row r="229" spans="1:8" x14ac:dyDescent="0.2">
      <c r="A229" t="s">
        <v>446</v>
      </c>
      <c r="B229" t="s">
        <v>21</v>
      </c>
      <c r="C229" t="s">
        <v>45</v>
      </c>
      <c r="D229">
        <v>5</v>
      </c>
      <c r="E229">
        <v>20000</v>
      </c>
      <c r="F229" t="s">
        <v>447</v>
      </c>
      <c r="G229" s="2">
        <v>46190</v>
      </c>
      <c r="H229">
        <v>0</v>
      </c>
    </row>
    <row r="230" spans="1:8" x14ac:dyDescent="0.2">
      <c r="A230" t="s">
        <v>448</v>
      </c>
      <c r="B230" t="s">
        <v>25</v>
      </c>
      <c r="C230" t="s">
        <v>22</v>
      </c>
      <c r="D230">
        <v>4</v>
      </c>
      <c r="E230">
        <v>35000</v>
      </c>
      <c r="F230" t="s">
        <v>449</v>
      </c>
      <c r="G230" s="2">
        <v>46163</v>
      </c>
      <c r="H230">
        <v>3</v>
      </c>
    </row>
    <row r="231" spans="1:8" x14ac:dyDescent="0.2">
      <c r="A231" t="s">
        <v>450</v>
      </c>
      <c r="B231" t="s">
        <v>21</v>
      </c>
      <c r="C231" t="s">
        <v>70</v>
      </c>
      <c r="D231">
        <v>25</v>
      </c>
      <c r="E231">
        <v>28000</v>
      </c>
      <c r="F231" t="s">
        <v>452</v>
      </c>
      <c r="G231" s="2">
        <v>46093</v>
      </c>
      <c r="H231">
        <v>0</v>
      </c>
    </row>
    <row r="232" spans="1:8" x14ac:dyDescent="0.2">
      <c r="A232" t="s">
        <v>453</v>
      </c>
      <c r="B232" t="s">
        <v>9</v>
      </c>
      <c r="C232" t="s">
        <v>39</v>
      </c>
      <c r="D232">
        <v>11</v>
      </c>
      <c r="E232">
        <v>12000</v>
      </c>
      <c r="F232" t="s">
        <v>454</v>
      </c>
      <c r="G232" s="2">
        <v>46057</v>
      </c>
      <c r="H232">
        <v>17</v>
      </c>
    </row>
    <row r="233" spans="1:8" x14ac:dyDescent="0.2">
      <c r="A233" t="s">
        <v>455</v>
      </c>
      <c r="B233" t="s">
        <v>21</v>
      </c>
      <c r="C233" t="s">
        <v>18</v>
      </c>
      <c r="D233">
        <v>23</v>
      </c>
      <c r="E233">
        <v>50000</v>
      </c>
      <c r="F233" t="s">
        <v>456</v>
      </c>
      <c r="G233" s="2">
        <v>46103</v>
      </c>
      <c r="H233">
        <v>0</v>
      </c>
    </row>
    <row r="234" spans="1:8" x14ac:dyDescent="0.2">
      <c r="A234" t="s">
        <v>457</v>
      </c>
      <c r="B234" t="s">
        <v>21</v>
      </c>
      <c r="C234" t="s">
        <v>70</v>
      </c>
      <c r="D234">
        <v>9</v>
      </c>
      <c r="E234">
        <v>28000</v>
      </c>
      <c r="F234" t="s">
        <v>128</v>
      </c>
      <c r="G234" s="2">
        <v>46190</v>
      </c>
      <c r="H234">
        <v>0</v>
      </c>
    </row>
    <row r="235" spans="1:8" x14ac:dyDescent="0.2">
      <c r="A235" t="s">
        <v>458</v>
      </c>
      <c r="B235" t="s">
        <v>14</v>
      </c>
      <c r="C235" t="s">
        <v>32</v>
      </c>
      <c r="D235">
        <v>18</v>
      </c>
      <c r="E235">
        <v>8000</v>
      </c>
      <c r="F235" t="s">
        <v>346</v>
      </c>
      <c r="G235" s="2">
        <v>46114</v>
      </c>
      <c r="H235">
        <v>0</v>
      </c>
    </row>
    <row r="236" spans="1:8" x14ac:dyDescent="0.2">
      <c r="A236" t="s">
        <v>459</v>
      </c>
      <c r="B236" t="s">
        <v>9</v>
      </c>
      <c r="C236" t="s">
        <v>26</v>
      </c>
      <c r="D236">
        <v>1</v>
      </c>
      <c r="E236">
        <v>20000</v>
      </c>
      <c r="F236" t="s">
        <v>460</v>
      </c>
      <c r="H236">
        <v>1</v>
      </c>
    </row>
    <row r="237" spans="1:8" x14ac:dyDescent="0.2">
      <c r="A237" t="s">
        <v>461</v>
      </c>
      <c r="B237" t="s">
        <v>21</v>
      </c>
      <c r="C237" t="s">
        <v>26</v>
      </c>
      <c r="D237">
        <v>18</v>
      </c>
      <c r="E237">
        <v>20000</v>
      </c>
      <c r="F237" t="s">
        <v>294</v>
      </c>
      <c r="G237" s="2">
        <v>46111</v>
      </c>
      <c r="H237">
        <v>0</v>
      </c>
    </row>
    <row r="238" spans="1:8" x14ac:dyDescent="0.2">
      <c r="A238" t="s">
        <v>462</v>
      </c>
      <c r="B238" t="s">
        <v>14</v>
      </c>
      <c r="C238" t="s">
        <v>22</v>
      </c>
      <c r="D238">
        <v>22</v>
      </c>
      <c r="E238">
        <v>35000</v>
      </c>
      <c r="F238" t="s">
        <v>40</v>
      </c>
      <c r="G238" s="2">
        <v>46076</v>
      </c>
      <c r="H238">
        <v>1</v>
      </c>
    </row>
    <row r="239" spans="1:8" x14ac:dyDescent="0.2">
      <c r="A239" t="s">
        <v>463</v>
      </c>
      <c r="B239" t="s">
        <v>14</v>
      </c>
      <c r="C239" t="s">
        <v>45</v>
      </c>
      <c r="D239" t="s">
        <v>11</v>
      </c>
      <c r="E239">
        <v>20000</v>
      </c>
      <c r="F239" t="s">
        <v>464</v>
      </c>
      <c r="G239" s="2">
        <v>46117</v>
      </c>
      <c r="H239">
        <v>0</v>
      </c>
    </row>
    <row r="240" spans="1:8" x14ac:dyDescent="0.2">
      <c r="A240" t="s">
        <v>465</v>
      </c>
      <c r="B240" t="s">
        <v>9</v>
      </c>
      <c r="C240" t="s">
        <v>39</v>
      </c>
      <c r="D240">
        <v>3</v>
      </c>
      <c r="E240">
        <v>12000</v>
      </c>
      <c r="F240" t="s">
        <v>466</v>
      </c>
      <c r="G240" s="2">
        <v>46058</v>
      </c>
      <c r="H240">
        <v>0</v>
      </c>
    </row>
    <row r="241" spans="1:8" x14ac:dyDescent="0.2">
      <c r="A241" t="s">
        <v>467</v>
      </c>
      <c r="B241" t="s">
        <v>9</v>
      </c>
      <c r="C241" t="s">
        <v>10</v>
      </c>
      <c r="D241">
        <v>21</v>
      </c>
      <c r="E241">
        <v>15000</v>
      </c>
      <c r="F241" t="s">
        <v>468</v>
      </c>
      <c r="G241" s="2">
        <v>46168</v>
      </c>
      <c r="H241">
        <v>3</v>
      </c>
    </row>
    <row r="242" spans="1:8" x14ac:dyDescent="0.2">
      <c r="A242" t="s">
        <v>469</v>
      </c>
      <c r="B242" t="s">
        <v>25</v>
      </c>
      <c r="C242" t="s">
        <v>26</v>
      </c>
      <c r="D242" t="s">
        <v>11</v>
      </c>
      <c r="E242">
        <v>20000</v>
      </c>
      <c r="F242" t="s">
        <v>470</v>
      </c>
      <c r="G242" s="2">
        <v>46174</v>
      </c>
      <c r="H242">
        <v>0</v>
      </c>
    </row>
    <row r="243" spans="1:8" x14ac:dyDescent="0.2">
      <c r="A243" t="s">
        <v>471</v>
      </c>
      <c r="B243" t="s">
        <v>25</v>
      </c>
      <c r="C243" t="s">
        <v>10</v>
      </c>
      <c r="D243">
        <v>15</v>
      </c>
      <c r="E243" t="s">
        <v>188</v>
      </c>
      <c r="F243" t="s">
        <v>472</v>
      </c>
      <c r="G243" s="2">
        <v>46078</v>
      </c>
      <c r="H243">
        <v>0</v>
      </c>
    </row>
    <row r="244" spans="1:8" x14ac:dyDescent="0.2">
      <c r="A244" t="s">
        <v>473</v>
      </c>
      <c r="B244" t="s">
        <v>9</v>
      </c>
      <c r="C244" t="s">
        <v>22</v>
      </c>
      <c r="D244">
        <v>7</v>
      </c>
      <c r="E244" t="s">
        <v>11</v>
      </c>
      <c r="F244" t="s">
        <v>474</v>
      </c>
      <c r="G244" s="2">
        <v>46097</v>
      </c>
      <c r="H244">
        <v>0</v>
      </c>
    </row>
    <row r="245" spans="1:8" x14ac:dyDescent="0.2">
      <c r="A245" t="s">
        <v>475</v>
      </c>
      <c r="B245" t="s">
        <v>25</v>
      </c>
      <c r="C245" t="s">
        <v>26</v>
      </c>
      <c r="D245">
        <v>10</v>
      </c>
      <c r="E245">
        <v>20000</v>
      </c>
      <c r="F245" t="s">
        <v>61</v>
      </c>
      <c r="G245" s="2">
        <v>46176</v>
      </c>
      <c r="H245">
        <v>2</v>
      </c>
    </row>
    <row r="246" spans="1:8" x14ac:dyDescent="0.2">
      <c r="A246" t="s">
        <v>476</v>
      </c>
      <c r="B246" t="s">
        <v>21</v>
      </c>
      <c r="C246" t="s">
        <v>22</v>
      </c>
      <c r="D246">
        <v>16</v>
      </c>
      <c r="E246">
        <v>35000</v>
      </c>
      <c r="F246" t="s">
        <v>477</v>
      </c>
      <c r="G246" s="2">
        <v>46089</v>
      </c>
      <c r="H246">
        <v>0</v>
      </c>
    </row>
    <row r="247" spans="1:8" x14ac:dyDescent="0.2">
      <c r="A247" t="s">
        <v>478</v>
      </c>
      <c r="B247" t="s">
        <v>14</v>
      </c>
      <c r="C247" t="s">
        <v>18</v>
      </c>
      <c r="D247">
        <v>10</v>
      </c>
      <c r="E247">
        <v>50000</v>
      </c>
      <c r="F247" t="s">
        <v>244</v>
      </c>
      <c r="G247" s="2">
        <v>46035</v>
      </c>
      <c r="H247">
        <v>0</v>
      </c>
    </row>
    <row r="248" spans="1:8" x14ac:dyDescent="0.2">
      <c r="A248" t="s">
        <v>479</v>
      </c>
      <c r="B248" t="s">
        <v>9</v>
      </c>
      <c r="C248" t="s">
        <v>239</v>
      </c>
      <c r="D248" t="s">
        <v>399</v>
      </c>
      <c r="E248">
        <v>12000</v>
      </c>
      <c r="F248" t="s">
        <v>480</v>
      </c>
      <c r="G248" s="2">
        <v>46049</v>
      </c>
      <c r="H248">
        <v>0</v>
      </c>
    </row>
    <row r="249" spans="1:8" x14ac:dyDescent="0.2">
      <c r="A249" t="s">
        <v>481</v>
      </c>
      <c r="B249" t="s">
        <v>14</v>
      </c>
      <c r="C249" t="s">
        <v>45</v>
      </c>
      <c r="D249">
        <v>17</v>
      </c>
      <c r="E249">
        <v>20000</v>
      </c>
      <c r="F249" t="s">
        <v>482</v>
      </c>
      <c r="G249" s="2">
        <v>46049</v>
      </c>
      <c r="H249">
        <v>2</v>
      </c>
    </row>
    <row r="250" spans="1:8" x14ac:dyDescent="0.2">
      <c r="A250" t="s">
        <v>483</v>
      </c>
      <c r="B250" t="s">
        <v>21</v>
      </c>
      <c r="C250" t="s">
        <v>39</v>
      </c>
      <c r="D250">
        <v>25</v>
      </c>
      <c r="E250">
        <v>12000</v>
      </c>
      <c r="F250" t="s">
        <v>484</v>
      </c>
      <c r="G250" s="2">
        <v>46137</v>
      </c>
      <c r="H250">
        <v>5</v>
      </c>
    </row>
    <row r="251" spans="1:8" x14ac:dyDescent="0.2">
      <c r="A251" t="s">
        <v>485</v>
      </c>
      <c r="B251" t="s">
        <v>14</v>
      </c>
      <c r="C251" t="s">
        <v>45</v>
      </c>
      <c r="D251">
        <v>1</v>
      </c>
      <c r="E251">
        <v>20000</v>
      </c>
      <c r="F251" t="s">
        <v>468</v>
      </c>
      <c r="G251" s="2">
        <v>46182</v>
      </c>
      <c r="H251">
        <v>0</v>
      </c>
    </row>
    <row r="252" spans="1:8" x14ac:dyDescent="0.2">
      <c r="A252" t="s">
        <v>486</v>
      </c>
      <c r="B252" t="s">
        <v>14</v>
      </c>
      <c r="C252" t="s">
        <v>70</v>
      </c>
      <c r="D252">
        <v>3</v>
      </c>
      <c r="E252">
        <v>28000</v>
      </c>
      <c r="F252" t="s">
        <v>163</v>
      </c>
      <c r="G252" s="2">
        <v>46144</v>
      </c>
      <c r="H252">
        <v>0</v>
      </c>
    </row>
    <row r="253" spans="1:8" x14ac:dyDescent="0.2">
      <c r="A253" t="s">
        <v>487</v>
      </c>
      <c r="B253" t="s">
        <v>25</v>
      </c>
      <c r="C253" t="s">
        <v>26</v>
      </c>
      <c r="D253">
        <v>2</v>
      </c>
      <c r="E253">
        <v>20000</v>
      </c>
      <c r="F253" t="s">
        <v>328</v>
      </c>
      <c r="G253" s="2">
        <v>46174</v>
      </c>
      <c r="H253">
        <v>2</v>
      </c>
    </row>
    <row r="254" spans="1:8" x14ac:dyDescent="0.2">
      <c r="A254" t="s">
        <v>488</v>
      </c>
      <c r="B254" t="s">
        <v>21</v>
      </c>
      <c r="C254" t="s">
        <v>10</v>
      </c>
      <c r="D254">
        <v>18</v>
      </c>
      <c r="E254">
        <v>15000</v>
      </c>
      <c r="F254" t="s">
        <v>253</v>
      </c>
      <c r="G254" s="2">
        <v>46098</v>
      </c>
      <c r="H254">
        <v>0</v>
      </c>
    </row>
    <row r="255" spans="1:8" x14ac:dyDescent="0.2">
      <c r="A255" t="s">
        <v>489</v>
      </c>
      <c r="B255" t="s">
        <v>25</v>
      </c>
      <c r="C255" t="s">
        <v>39</v>
      </c>
      <c r="D255" t="s">
        <v>490</v>
      </c>
      <c r="E255" t="s">
        <v>348</v>
      </c>
      <c r="F255" t="s">
        <v>92</v>
      </c>
      <c r="G255" s="2">
        <v>46124</v>
      </c>
      <c r="H255">
        <v>0</v>
      </c>
    </row>
    <row r="256" spans="1:8" x14ac:dyDescent="0.2">
      <c r="A256" t="s">
        <v>491</v>
      </c>
      <c r="B256" t="s">
        <v>14</v>
      </c>
      <c r="C256" t="s">
        <v>22</v>
      </c>
      <c r="D256" t="s">
        <v>492</v>
      </c>
      <c r="E256">
        <v>35000</v>
      </c>
      <c r="F256" t="s">
        <v>493</v>
      </c>
      <c r="G256" s="2">
        <v>46192</v>
      </c>
      <c r="H256">
        <v>0</v>
      </c>
    </row>
    <row r="257" spans="1:8" x14ac:dyDescent="0.2">
      <c r="A257" t="s">
        <v>494</v>
      </c>
      <c r="B257" t="s">
        <v>25</v>
      </c>
      <c r="C257" t="s">
        <v>10</v>
      </c>
      <c r="D257">
        <v>3</v>
      </c>
      <c r="E257">
        <v>15000</v>
      </c>
      <c r="F257" t="s">
        <v>73</v>
      </c>
      <c r="G257" s="2">
        <v>46153</v>
      </c>
      <c r="H257">
        <v>2</v>
      </c>
    </row>
    <row r="258" spans="1:8" x14ac:dyDescent="0.2">
      <c r="A258" t="s">
        <v>495</v>
      </c>
      <c r="B258" t="s">
        <v>9</v>
      </c>
      <c r="C258" t="s">
        <v>32</v>
      </c>
      <c r="D258">
        <v>20</v>
      </c>
      <c r="E258">
        <v>8000</v>
      </c>
      <c r="F258" t="s">
        <v>416</v>
      </c>
      <c r="G258" s="2">
        <v>46055</v>
      </c>
      <c r="H258">
        <v>1</v>
      </c>
    </row>
    <row r="259" spans="1:8" x14ac:dyDescent="0.2">
      <c r="A259" t="s">
        <v>496</v>
      </c>
      <c r="B259" t="s">
        <v>9</v>
      </c>
      <c r="C259" t="s">
        <v>45</v>
      </c>
      <c r="D259">
        <v>3</v>
      </c>
      <c r="E259">
        <v>20000</v>
      </c>
      <c r="F259" t="s">
        <v>253</v>
      </c>
      <c r="G259" s="2">
        <v>46125</v>
      </c>
      <c r="H259">
        <v>0</v>
      </c>
    </row>
    <row r="260" spans="1:8" x14ac:dyDescent="0.2">
      <c r="A260" t="s">
        <v>497</v>
      </c>
      <c r="B260" t="s">
        <v>21</v>
      </c>
      <c r="C260" t="s">
        <v>10</v>
      </c>
      <c r="D260">
        <v>20</v>
      </c>
      <c r="E260">
        <v>15000</v>
      </c>
      <c r="F260" t="s">
        <v>209</v>
      </c>
      <c r="G260" s="2">
        <v>46061</v>
      </c>
      <c r="H260">
        <v>0</v>
      </c>
    </row>
    <row r="261" spans="1:8" x14ac:dyDescent="0.2">
      <c r="A261" t="s">
        <v>498</v>
      </c>
      <c r="B261" t="s">
        <v>25</v>
      </c>
      <c r="C261" t="s">
        <v>32</v>
      </c>
      <c r="D261">
        <v>23</v>
      </c>
      <c r="E261">
        <v>8000</v>
      </c>
      <c r="F261" t="s">
        <v>499</v>
      </c>
      <c r="G261" s="2">
        <v>46156</v>
      </c>
      <c r="H261">
        <v>0</v>
      </c>
    </row>
    <row r="262" spans="1:8" x14ac:dyDescent="0.2">
      <c r="A262" t="s">
        <v>500</v>
      </c>
      <c r="B262" t="s">
        <v>21</v>
      </c>
      <c r="C262" t="s">
        <v>70</v>
      </c>
      <c r="D262">
        <v>-10</v>
      </c>
      <c r="E262">
        <v>28000</v>
      </c>
      <c r="F262" t="s">
        <v>209</v>
      </c>
      <c r="G262" s="2">
        <v>46173</v>
      </c>
      <c r="H262">
        <v>0</v>
      </c>
    </row>
    <row r="263" spans="1:8" x14ac:dyDescent="0.2">
      <c r="A263" t="s">
        <v>501</v>
      </c>
      <c r="B263" t="s">
        <v>25</v>
      </c>
      <c r="C263" t="s">
        <v>70</v>
      </c>
      <c r="D263">
        <v>14</v>
      </c>
      <c r="E263">
        <v>28000</v>
      </c>
      <c r="F263" t="s">
        <v>464</v>
      </c>
      <c r="G263" s="2">
        <v>46125</v>
      </c>
      <c r="H263">
        <v>0</v>
      </c>
    </row>
    <row r="264" spans="1:8" x14ac:dyDescent="0.2">
      <c r="A264" t="s">
        <v>502</v>
      </c>
      <c r="B264" t="s">
        <v>14</v>
      </c>
      <c r="C264" t="s">
        <v>70</v>
      </c>
      <c r="D264">
        <v>2</v>
      </c>
      <c r="E264">
        <v>28000</v>
      </c>
      <c r="F264" t="s">
        <v>340</v>
      </c>
      <c r="G264" s="2">
        <v>46144</v>
      </c>
      <c r="H264">
        <v>0</v>
      </c>
    </row>
    <row r="265" spans="1:8" x14ac:dyDescent="0.2">
      <c r="A265" t="s">
        <v>503</v>
      </c>
      <c r="B265" t="s">
        <v>25</v>
      </c>
      <c r="C265" t="s">
        <v>10</v>
      </c>
      <c r="D265">
        <v>3</v>
      </c>
      <c r="E265">
        <v>15000</v>
      </c>
      <c r="F265" t="s">
        <v>92</v>
      </c>
      <c r="G265" s="2">
        <v>46045</v>
      </c>
      <c r="H265">
        <v>0</v>
      </c>
    </row>
    <row r="266" spans="1:8" x14ac:dyDescent="0.2">
      <c r="A266" t="s">
        <v>504</v>
      </c>
      <c r="B266" t="s">
        <v>25</v>
      </c>
      <c r="C266" t="s">
        <v>22</v>
      </c>
      <c r="D266">
        <v>13</v>
      </c>
      <c r="E266">
        <v>35000</v>
      </c>
      <c r="F266" t="s">
        <v>410</v>
      </c>
      <c r="G266" t="s">
        <v>224</v>
      </c>
      <c r="H266">
        <v>0</v>
      </c>
    </row>
    <row r="267" spans="1:8" x14ac:dyDescent="0.2">
      <c r="A267" t="s">
        <v>505</v>
      </c>
      <c r="B267" t="s">
        <v>9</v>
      </c>
      <c r="C267" t="s">
        <v>32</v>
      </c>
      <c r="D267">
        <v>5</v>
      </c>
      <c r="E267">
        <v>8000</v>
      </c>
      <c r="F267" t="s">
        <v>302</v>
      </c>
      <c r="G267" s="2">
        <v>46117</v>
      </c>
      <c r="H267">
        <v>0</v>
      </c>
    </row>
    <row r="268" spans="1:8" x14ac:dyDescent="0.2">
      <c r="A268" t="s">
        <v>506</v>
      </c>
      <c r="B268" t="s">
        <v>14</v>
      </c>
      <c r="C268" t="s">
        <v>239</v>
      </c>
      <c r="D268">
        <v>3</v>
      </c>
      <c r="E268">
        <v>12000</v>
      </c>
      <c r="F268" t="s">
        <v>507</v>
      </c>
      <c r="G268" s="2">
        <v>46157</v>
      </c>
      <c r="H268">
        <v>0</v>
      </c>
    </row>
    <row r="269" spans="1:8" x14ac:dyDescent="0.2">
      <c r="A269" t="s">
        <v>508</v>
      </c>
      <c r="B269" t="s">
        <v>9</v>
      </c>
      <c r="C269" t="s">
        <v>39</v>
      </c>
      <c r="D269">
        <v>8</v>
      </c>
      <c r="E269">
        <v>12000</v>
      </c>
      <c r="F269" t="s">
        <v>132</v>
      </c>
      <c r="G269" s="2">
        <v>46182</v>
      </c>
      <c r="H269">
        <v>0</v>
      </c>
    </row>
    <row r="270" spans="1:8" x14ac:dyDescent="0.2">
      <c r="A270" t="s">
        <v>509</v>
      </c>
      <c r="B270" t="s">
        <v>14</v>
      </c>
      <c r="C270" t="s">
        <v>39</v>
      </c>
      <c r="D270">
        <v>15</v>
      </c>
      <c r="E270">
        <v>12000</v>
      </c>
      <c r="F270" t="s">
        <v>61</v>
      </c>
      <c r="G270" s="2">
        <v>46067</v>
      </c>
      <c r="H270">
        <v>0</v>
      </c>
    </row>
    <row r="271" spans="1:8" x14ac:dyDescent="0.2">
      <c r="A271" t="s">
        <v>510</v>
      </c>
      <c r="B271" t="s">
        <v>21</v>
      </c>
      <c r="C271" t="s">
        <v>32</v>
      </c>
      <c r="D271">
        <v>13</v>
      </c>
      <c r="E271">
        <v>8000</v>
      </c>
      <c r="F271" t="s">
        <v>412</v>
      </c>
      <c r="G271" s="2">
        <v>46079</v>
      </c>
      <c r="H271">
        <v>0</v>
      </c>
    </row>
    <row r="272" spans="1:8" x14ac:dyDescent="0.2">
      <c r="A272" t="s">
        <v>511</v>
      </c>
      <c r="B272" t="s">
        <v>21</v>
      </c>
      <c r="C272" t="s">
        <v>70</v>
      </c>
      <c r="D272">
        <v>1</v>
      </c>
      <c r="E272">
        <v>28000</v>
      </c>
      <c r="F272" t="s">
        <v>159</v>
      </c>
      <c r="H272">
        <v>0</v>
      </c>
    </row>
    <row r="273" spans="1:8" x14ac:dyDescent="0.2">
      <c r="A273" t="s">
        <v>512</v>
      </c>
      <c r="B273" t="s">
        <v>25</v>
      </c>
      <c r="C273" t="s">
        <v>70</v>
      </c>
      <c r="D273" t="s">
        <v>513</v>
      </c>
      <c r="E273">
        <v>28000</v>
      </c>
      <c r="F273" t="s">
        <v>514</v>
      </c>
      <c r="G273" s="2">
        <v>46190</v>
      </c>
      <c r="H273">
        <v>0</v>
      </c>
    </row>
    <row r="274" spans="1:8" x14ac:dyDescent="0.2">
      <c r="A274" t="s">
        <v>515</v>
      </c>
      <c r="B274" t="s">
        <v>9</v>
      </c>
      <c r="C274" t="s">
        <v>10</v>
      </c>
      <c r="D274">
        <v>6</v>
      </c>
      <c r="E274">
        <v>15000</v>
      </c>
      <c r="F274" t="s">
        <v>516</v>
      </c>
      <c r="G274" s="2">
        <v>46118</v>
      </c>
      <c r="H274">
        <v>0</v>
      </c>
    </row>
    <row r="275" spans="1:8" x14ac:dyDescent="0.2">
      <c r="A275" t="s">
        <v>517</v>
      </c>
      <c r="B275" t="s">
        <v>9</v>
      </c>
      <c r="C275" t="s">
        <v>45</v>
      </c>
      <c r="D275">
        <v>10</v>
      </c>
      <c r="E275">
        <v>20000</v>
      </c>
      <c r="G275" s="2">
        <v>46132</v>
      </c>
      <c r="H275">
        <v>3</v>
      </c>
    </row>
    <row r="276" spans="1:8" x14ac:dyDescent="0.2">
      <c r="A276" t="s">
        <v>518</v>
      </c>
      <c r="B276" t="s">
        <v>25</v>
      </c>
      <c r="C276" t="s">
        <v>22</v>
      </c>
      <c r="D276">
        <v>9</v>
      </c>
      <c r="E276">
        <v>35000</v>
      </c>
      <c r="F276" t="s">
        <v>177</v>
      </c>
      <c r="G276" s="2">
        <v>46202</v>
      </c>
      <c r="H276">
        <v>0</v>
      </c>
    </row>
    <row r="277" spans="1:8" x14ac:dyDescent="0.2">
      <c r="A277" t="s">
        <v>519</v>
      </c>
      <c r="B277" t="s">
        <v>9</v>
      </c>
      <c r="C277" t="s">
        <v>10</v>
      </c>
      <c r="D277">
        <v>16</v>
      </c>
      <c r="E277">
        <v>15000</v>
      </c>
      <c r="F277" t="s">
        <v>80</v>
      </c>
      <c r="G277" t="s">
        <v>212</v>
      </c>
      <c r="H277">
        <v>0</v>
      </c>
    </row>
    <row r="278" spans="1:8" x14ac:dyDescent="0.2">
      <c r="A278" t="s">
        <v>520</v>
      </c>
      <c r="B278" t="s">
        <v>14</v>
      </c>
      <c r="C278" t="s">
        <v>39</v>
      </c>
      <c r="D278">
        <v>15</v>
      </c>
      <c r="E278">
        <v>12000</v>
      </c>
      <c r="F278" t="s">
        <v>507</v>
      </c>
      <c r="G278" s="2">
        <v>46194</v>
      </c>
      <c r="H278">
        <v>0</v>
      </c>
    </row>
    <row r="279" spans="1:8" x14ac:dyDescent="0.2">
      <c r="A279" t="s">
        <v>521</v>
      </c>
      <c r="B279" t="s">
        <v>9</v>
      </c>
      <c r="C279" t="s">
        <v>32</v>
      </c>
      <c r="D279">
        <v>13</v>
      </c>
      <c r="E279" t="s">
        <v>522</v>
      </c>
      <c r="F279" t="s">
        <v>523</v>
      </c>
      <c r="G279" s="2">
        <v>46110</v>
      </c>
      <c r="H279">
        <v>0</v>
      </c>
    </row>
    <row r="280" spans="1:8" x14ac:dyDescent="0.2">
      <c r="A280" t="s">
        <v>524</v>
      </c>
      <c r="B280" t="s">
        <v>14</v>
      </c>
      <c r="C280" t="s">
        <v>45</v>
      </c>
      <c r="D280">
        <v>6</v>
      </c>
      <c r="E280">
        <v>20000</v>
      </c>
      <c r="F280" t="s">
        <v>525</v>
      </c>
      <c r="G280" s="2">
        <v>46054</v>
      </c>
      <c r="H280">
        <v>0</v>
      </c>
    </row>
    <row r="281" spans="1:8" x14ac:dyDescent="0.2">
      <c r="A281" t="s">
        <v>526</v>
      </c>
      <c r="B281" t="s">
        <v>21</v>
      </c>
      <c r="C281" t="s">
        <v>22</v>
      </c>
      <c r="D281">
        <v>16</v>
      </c>
      <c r="E281" t="s">
        <v>265</v>
      </c>
      <c r="F281" t="s">
        <v>311</v>
      </c>
      <c r="G281" s="2">
        <v>46132</v>
      </c>
      <c r="H281">
        <v>17</v>
      </c>
    </row>
    <row r="282" spans="1:8" x14ac:dyDescent="0.2">
      <c r="A282" t="s">
        <v>527</v>
      </c>
      <c r="B282" t="s">
        <v>9</v>
      </c>
      <c r="C282" t="s">
        <v>26</v>
      </c>
      <c r="D282">
        <v>2</v>
      </c>
      <c r="E282">
        <v>20000</v>
      </c>
      <c r="F282" t="s">
        <v>46</v>
      </c>
      <c r="G282" s="2">
        <v>46158</v>
      </c>
      <c r="H282">
        <v>0</v>
      </c>
    </row>
    <row r="283" spans="1:8" x14ac:dyDescent="0.2">
      <c r="A283" t="s">
        <v>528</v>
      </c>
      <c r="B283" t="s">
        <v>25</v>
      </c>
      <c r="C283" t="s">
        <v>10</v>
      </c>
      <c r="D283" t="s">
        <v>529</v>
      </c>
      <c r="E283">
        <v>15000</v>
      </c>
      <c r="F283" t="s">
        <v>530</v>
      </c>
      <c r="G283" s="2">
        <v>46079</v>
      </c>
      <c r="H283" t="s">
        <v>55</v>
      </c>
    </row>
    <row r="284" spans="1:8" x14ac:dyDescent="0.2">
      <c r="A284" t="s">
        <v>531</v>
      </c>
      <c r="B284" t="s">
        <v>21</v>
      </c>
      <c r="C284" t="s">
        <v>270</v>
      </c>
      <c r="D284">
        <v>9</v>
      </c>
      <c r="E284">
        <v>12000</v>
      </c>
      <c r="F284" t="s">
        <v>19</v>
      </c>
      <c r="G284" s="2">
        <v>46180</v>
      </c>
      <c r="H284">
        <v>0</v>
      </c>
    </row>
    <row r="285" spans="1:8" x14ac:dyDescent="0.2">
      <c r="A285" t="s">
        <v>532</v>
      </c>
      <c r="B285" t="s">
        <v>25</v>
      </c>
      <c r="C285" t="s">
        <v>32</v>
      </c>
      <c r="D285">
        <v>20</v>
      </c>
      <c r="E285">
        <v>8000</v>
      </c>
      <c r="F285" t="s">
        <v>119</v>
      </c>
      <c r="G285" s="2">
        <v>46144</v>
      </c>
      <c r="H285">
        <v>0</v>
      </c>
    </row>
    <row r="286" spans="1:8" x14ac:dyDescent="0.2">
      <c r="A286" t="s">
        <v>533</v>
      </c>
      <c r="B286" t="s">
        <v>25</v>
      </c>
      <c r="C286" t="s">
        <v>22</v>
      </c>
      <c r="D286">
        <v>16</v>
      </c>
      <c r="E286">
        <v>52500</v>
      </c>
      <c r="F286" t="s">
        <v>52</v>
      </c>
      <c r="G286" s="2">
        <v>46142</v>
      </c>
      <c r="H286">
        <v>1</v>
      </c>
    </row>
    <row r="287" spans="1:8" x14ac:dyDescent="0.2">
      <c r="A287" t="s">
        <v>534</v>
      </c>
      <c r="B287" t="s">
        <v>21</v>
      </c>
      <c r="C287" t="s">
        <v>18</v>
      </c>
      <c r="D287">
        <v>19</v>
      </c>
      <c r="E287">
        <v>50000</v>
      </c>
      <c r="F287" t="s">
        <v>535</v>
      </c>
      <c r="G287" s="2">
        <v>46074</v>
      </c>
      <c r="H287">
        <v>0</v>
      </c>
    </row>
    <row r="288" spans="1:8" x14ac:dyDescent="0.2">
      <c r="A288" t="s">
        <v>536</v>
      </c>
      <c r="B288" t="s">
        <v>25</v>
      </c>
      <c r="C288" t="s">
        <v>26</v>
      </c>
      <c r="D288">
        <v>10</v>
      </c>
      <c r="E288">
        <v>20000</v>
      </c>
      <c r="F288" t="s">
        <v>419</v>
      </c>
      <c r="G288" s="2">
        <v>46140</v>
      </c>
      <c r="H288">
        <v>0</v>
      </c>
    </row>
    <row r="289" spans="1:8" x14ac:dyDescent="0.2">
      <c r="A289" t="s">
        <v>537</v>
      </c>
      <c r="B289" t="s">
        <v>21</v>
      </c>
      <c r="C289" t="s">
        <v>26</v>
      </c>
      <c r="D289">
        <v>20</v>
      </c>
      <c r="E289">
        <v>20000</v>
      </c>
      <c r="F289" t="s">
        <v>300</v>
      </c>
      <c r="G289" s="2">
        <v>46063</v>
      </c>
      <c r="H289">
        <v>0</v>
      </c>
    </row>
    <row r="290" spans="1:8" x14ac:dyDescent="0.2">
      <c r="A290" t="s">
        <v>538</v>
      </c>
      <c r="B290" t="s">
        <v>9</v>
      </c>
      <c r="C290" t="s">
        <v>39</v>
      </c>
      <c r="D290">
        <v>5</v>
      </c>
      <c r="E290">
        <v>12000</v>
      </c>
      <c r="F290" t="s">
        <v>539</v>
      </c>
      <c r="G290" s="2">
        <v>46070</v>
      </c>
      <c r="H290">
        <v>0</v>
      </c>
    </row>
    <row r="291" spans="1:8" x14ac:dyDescent="0.2">
      <c r="A291" t="s">
        <v>540</v>
      </c>
      <c r="B291" t="s">
        <v>14</v>
      </c>
      <c r="C291" t="s">
        <v>45</v>
      </c>
      <c r="D291">
        <v>12</v>
      </c>
      <c r="E291">
        <v>20000</v>
      </c>
      <c r="F291" t="s">
        <v>541</v>
      </c>
      <c r="G291" s="2">
        <v>46113</v>
      </c>
      <c r="H291">
        <v>4</v>
      </c>
    </row>
    <row r="292" spans="1:8" x14ac:dyDescent="0.2">
      <c r="A292" t="s">
        <v>542</v>
      </c>
      <c r="B292" t="s">
        <v>14</v>
      </c>
      <c r="C292" t="s">
        <v>70</v>
      </c>
      <c r="D292" t="s">
        <v>11</v>
      </c>
      <c r="E292">
        <v>28000</v>
      </c>
      <c r="F292" t="s">
        <v>543</v>
      </c>
      <c r="G292" s="2">
        <v>46043</v>
      </c>
      <c r="H292">
        <v>0</v>
      </c>
    </row>
    <row r="293" spans="1:8" x14ac:dyDescent="0.2">
      <c r="A293" t="s">
        <v>544</v>
      </c>
      <c r="B293" t="s">
        <v>14</v>
      </c>
      <c r="C293" t="s">
        <v>10</v>
      </c>
      <c r="D293">
        <v>13</v>
      </c>
      <c r="E293">
        <v>15000</v>
      </c>
      <c r="F293" t="s">
        <v>530</v>
      </c>
      <c r="G293" s="2">
        <v>46162</v>
      </c>
      <c r="H293">
        <v>0</v>
      </c>
    </row>
    <row r="294" spans="1:8" x14ac:dyDescent="0.2">
      <c r="A294" t="s">
        <v>545</v>
      </c>
      <c r="B294" t="s">
        <v>14</v>
      </c>
      <c r="C294" t="s">
        <v>39</v>
      </c>
      <c r="D294">
        <v>2</v>
      </c>
      <c r="E294">
        <v>12000</v>
      </c>
      <c r="F294" t="s">
        <v>474</v>
      </c>
      <c r="G294" s="2">
        <v>46094</v>
      </c>
      <c r="H294">
        <v>0</v>
      </c>
    </row>
    <row r="295" spans="1:8" x14ac:dyDescent="0.2">
      <c r="A295" t="s">
        <v>546</v>
      </c>
      <c r="B295" t="s">
        <v>14</v>
      </c>
      <c r="C295" t="s">
        <v>10</v>
      </c>
      <c r="D295">
        <v>8</v>
      </c>
      <c r="E295">
        <v>15000</v>
      </c>
      <c r="F295" t="s">
        <v>228</v>
      </c>
      <c r="G295" s="2">
        <v>46084</v>
      </c>
      <c r="H295">
        <v>0</v>
      </c>
    </row>
    <row r="296" spans="1:8" x14ac:dyDescent="0.2">
      <c r="A296" t="s">
        <v>547</v>
      </c>
      <c r="B296" t="s">
        <v>9</v>
      </c>
      <c r="C296" t="s">
        <v>18</v>
      </c>
      <c r="D296">
        <v>8</v>
      </c>
      <c r="E296">
        <v>50000</v>
      </c>
      <c r="F296" t="s">
        <v>525</v>
      </c>
      <c r="G296" s="2">
        <v>46170</v>
      </c>
      <c r="H296">
        <v>0</v>
      </c>
    </row>
    <row r="297" spans="1:8" x14ac:dyDescent="0.2">
      <c r="A297" t="s">
        <v>548</v>
      </c>
      <c r="B297" t="s">
        <v>14</v>
      </c>
      <c r="C297" t="s">
        <v>70</v>
      </c>
      <c r="D297">
        <v>12</v>
      </c>
      <c r="E297">
        <v>28000</v>
      </c>
      <c r="F297" t="s">
        <v>290</v>
      </c>
      <c r="G297" s="2">
        <v>46194</v>
      </c>
      <c r="H297">
        <v>0</v>
      </c>
    </row>
    <row r="298" spans="1:8" x14ac:dyDescent="0.2">
      <c r="A298" t="s">
        <v>549</v>
      </c>
      <c r="B298" t="s">
        <v>9</v>
      </c>
      <c r="C298" t="s">
        <v>22</v>
      </c>
      <c r="D298">
        <v>100</v>
      </c>
      <c r="E298">
        <v>35000</v>
      </c>
      <c r="F298" t="s">
        <v>241</v>
      </c>
      <c r="G298" s="2">
        <v>46104</v>
      </c>
      <c r="H298">
        <v>0</v>
      </c>
    </row>
    <row r="299" spans="1:8" x14ac:dyDescent="0.2">
      <c r="A299" t="s">
        <v>550</v>
      </c>
      <c r="B299" t="s">
        <v>9</v>
      </c>
      <c r="C299" t="s">
        <v>22</v>
      </c>
      <c r="D299">
        <v>23</v>
      </c>
      <c r="E299">
        <v>35000</v>
      </c>
      <c r="F299" t="s">
        <v>551</v>
      </c>
      <c r="G299" s="2">
        <v>46026</v>
      </c>
      <c r="H299">
        <v>0</v>
      </c>
    </row>
    <row r="300" spans="1:8" x14ac:dyDescent="0.2">
      <c r="A300" t="s">
        <v>552</v>
      </c>
      <c r="B300" t="s">
        <v>21</v>
      </c>
      <c r="C300" t="s">
        <v>18</v>
      </c>
      <c r="D300">
        <v>1</v>
      </c>
      <c r="E300">
        <v>50000</v>
      </c>
      <c r="F300" t="s">
        <v>389</v>
      </c>
      <c r="G300" s="2">
        <v>46060</v>
      </c>
      <c r="H300">
        <v>0</v>
      </c>
    </row>
    <row r="301" spans="1:8" x14ac:dyDescent="0.2">
      <c r="A301" t="s">
        <v>553</v>
      </c>
      <c r="B301" t="s">
        <v>9</v>
      </c>
      <c r="C301" t="s">
        <v>45</v>
      </c>
      <c r="D301">
        <v>7</v>
      </c>
      <c r="E301">
        <v>20000</v>
      </c>
      <c r="F301" t="s">
        <v>554</v>
      </c>
      <c r="G301" s="2">
        <v>46162</v>
      </c>
      <c r="H301">
        <v>9</v>
      </c>
    </row>
    <row r="302" spans="1:8" x14ac:dyDescent="0.2">
      <c r="A302" t="s">
        <v>555</v>
      </c>
      <c r="B302" t="s">
        <v>21</v>
      </c>
      <c r="C302" t="s">
        <v>70</v>
      </c>
      <c r="D302">
        <v>13</v>
      </c>
      <c r="E302">
        <v>28000</v>
      </c>
      <c r="F302" t="s">
        <v>199</v>
      </c>
      <c r="G302" s="2">
        <v>46144</v>
      </c>
      <c r="H302">
        <v>0</v>
      </c>
    </row>
    <row r="303" spans="1:8" x14ac:dyDescent="0.2">
      <c r="A303" t="s">
        <v>556</v>
      </c>
      <c r="B303" t="s">
        <v>21</v>
      </c>
      <c r="C303" t="s">
        <v>32</v>
      </c>
      <c r="D303">
        <v>13</v>
      </c>
      <c r="E303">
        <v>8000</v>
      </c>
      <c r="F303" t="s">
        <v>35</v>
      </c>
      <c r="G303" s="2">
        <v>46112</v>
      </c>
      <c r="H303">
        <v>0</v>
      </c>
    </row>
    <row r="304" spans="1:8" x14ac:dyDescent="0.2">
      <c r="A304" t="s">
        <v>557</v>
      </c>
      <c r="B304" t="s">
        <v>14</v>
      </c>
      <c r="C304" t="s">
        <v>22</v>
      </c>
      <c r="D304">
        <v>8</v>
      </c>
      <c r="E304">
        <v>35000</v>
      </c>
      <c r="F304" t="s">
        <v>311</v>
      </c>
      <c r="G304" s="2">
        <v>46086</v>
      </c>
      <c r="H304">
        <v>0</v>
      </c>
    </row>
    <row r="305" spans="1:8" x14ac:dyDescent="0.2">
      <c r="A305" t="s">
        <v>558</v>
      </c>
      <c r="B305" t="s">
        <v>14</v>
      </c>
      <c r="C305" t="s">
        <v>559</v>
      </c>
      <c r="D305">
        <v>13</v>
      </c>
      <c r="E305">
        <v>15000</v>
      </c>
      <c r="F305" t="s">
        <v>302</v>
      </c>
      <c r="G305" s="2">
        <v>46110</v>
      </c>
      <c r="H305">
        <v>0</v>
      </c>
    </row>
    <row r="306" spans="1:8" x14ac:dyDescent="0.2">
      <c r="A306" t="s">
        <v>560</v>
      </c>
      <c r="B306" t="s">
        <v>14</v>
      </c>
      <c r="C306" t="s">
        <v>45</v>
      </c>
      <c r="D306">
        <v>18</v>
      </c>
      <c r="E306">
        <v>20000</v>
      </c>
      <c r="F306" t="s">
        <v>195</v>
      </c>
      <c r="G306" s="2">
        <v>46063</v>
      </c>
      <c r="H306">
        <v>0</v>
      </c>
    </row>
    <row r="307" spans="1:8" x14ac:dyDescent="0.2">
      <c r="A307" t="s">
        <v>561</v>
      </c>
      <c r="B307" t="s">
        <v>25</v>
      </c>
      <c r="C307" t="s">
        <v>45</v>
      </c>
      <c r="D307">
        <v>13</v>
      </c>
      <c r="E307">
        <v>20000</v>
      </c>
      <c r="F307" t="s">
        <v>484</v>
      </c>
      <c r="G307" s="2">
        <v>46123</v>
      </c>
      <c r="H307">
        <v>0</v>
      </c>
    </row>
    <row r="308" spans="1:8" x14ac:dyDescent="0.2">
      <c r="A308" t="s">
        <v>562</v>
      </c>
      <c r="B308" t="s">
        <v>25</v>
      </c>
      <c r="C308" t="s">
        <v>70</v>
      </c>
      <c r="D308">
        <v>9</v>
      </c>
      <c r="E308">
        <v>28000</v>
      </c>
      <c r="F308" t="s">
        <v>563</v>
      </c>
      <c r="G308" s="2">
        <v>46136</v>
      </c>
      <c r="H308">
        <v>2</v>
      </c>
    </row>
    <row r="309" spans="1:8" x14ac:dyDescent="0.2">
      <c r="A309" t="s">
        <v>564</v>
      </c>
      <c r="B309" t="s">
        <v>25</v>
      </c>
      <c r="C309" t="s">
        <v>18</v>
      </c>
      <c r="D309">
        <v>22</v>
      </c>
      <c r="E309">
        <v>50000</v>
      </c>
      <c r="F309" t="s">
        <v>565</v>
      </c>
      <c r="G309" s="2">
        <v>46141</v>
      </c>
      <c r="H309">
        <v>0</v>
      </c>
    </row>
    <row r="310" spans="1:8" x14ac:dyDescent="0.2">
      <c r="A310" t="s">
        <v>566</v>
      </c>
      <c r="B310" t="s">
        <v>9</v>
      </c>
      <c r="C310" t="s">
        <v>10</v>
      </c>
      <c r="D310">
        <v>20</v>
      </c>
      <c r="E310">
        <v>15000</v>
      </c>
      <c r="F310" t="s">
        <v>52</v>
      </c>
      <c r="G310" s="2">
        <v>46058</v>
      </c>
      <c r="H310">
        <v>0</v>
      </c>
    </row>
    <row r="311" spans="1:8" x14ac:dyDescent="0.2">
      <c r="A311" t="s">
        <v>567</v>
      </c>
      <c r="B311" t="s">
        <v>21</v>
      </c>
      <c r="C311" t="s">
        <v>26</v>
      </c>
      <c r="D311">
        <v>19</v>
      </c>
      <c r="E311">
        <v>20000</v>
      </c>
      <c r="F311" t="s">
        <v>261</v>
      </c>
      <c r="G311" s="2">
        <v>46155</v>
      </c>
      <c r="H311">
        <v>0</v>
      </c>
    </row>
    <row r="312" spans="1:8" x14ac:dyDescent="0.2">
      <c r="A312" t="s">
        <v>568</v>
      </c>
      <c r="B312" t="s">
        <v>14</v>
      </c>
      <c r="C312" t="s">
        <v>18</v>
      </c>
      <c r="D312">
        <v>20</v>
      </c>
      <c r="E312">
        <v>50000</v>
      </c>
      <c r="G312" s="2">
        <v>46110</v>
      </c>
      <c r="H312">
        <v>0</v>
      </c>
    </row>
    <row r="313" spans="1:8" x14ac:dyDescent="0.2">
      <c r="A313" t="s">
        <v>569</v>
      </c>
      <c r="B313" t="s">
        <v>21</v>
      </c>
      <c r="C313" t="s">
        <v>18</v>
      </c>
      <c r="D313">
        <v>11</v>
      </c>
      <c r="E313">
        <v>50000</v>
      </c>
      <c r="F313" t="s">
        <v>106</v>
      </c>
      <c r="G313" s="2">
        <v>46039</v>
      </c>
      <c r="H313">
        <v>0</v>
      </c>
    </row>
    <row r="314" spans="1:8" x14ac:dyDescent="0.2">
      <c r="A314" t="s">
        <v>570</v>
      </c>
      <c r="B314" t="s">
        <v>9</v>
      </c>
      <c r="C314" t="s">
        <v>70</v>
      </c>
      <c r="D314">
        <v>22</v>
      </c>
      <c r="E314">
        <v>28000</v>
      </c>
      <c r="G314" s="2">
        <v>46167</v>
      </c>
      <c r="H314">
        <v>0</v>
      </c>
    </row>
    <row r="315" spans="1:8" x14ac:dyDescent="0.2">
      <c r="A315" t="s">
        <v>571</v>
      </c>
      <c r="B315" t="s">
        <v>9</v>
      </c>
      <c r="C315" t="s">
        <v>18</v>
      </c>
      <c r="D315">
        <v>19</v>
      </c>
      <c r="E315">
        <v>50000</v>
      </c>
      <c r="F315" t="s">
        <v>572</v>
      </c>
      <c r="G315" s="2">
        <v>46096</v>
      </c>
      <c r="H315">
        <v>0</v>
      </c>
    </row>
    <row r="316" spans="1:8" x14ac:dyDescent="0.2">
      <c r="A316" t="s">
        <v>573</v>
      </c>
      <c r="B316" t="s">
        <v>9</v>
      </c>
      <c r="C316" t="s">
        <v>70</v>
      </c>
      <c r="D316">
        <v>4</v>
      </c>
      <c r="E316">
        <v>28000</v>
      </c>
      <c r="F316" t="s">
        <v>169</v>
      </c>
      <c r="G316" s="2">
        <v>46098</v>
      </c>
      <c r="H316">
        <v>0</v>
      </c>
    </row>
    <row r="317" spans="1:8" x14ac:dyDescent="0.2">
      <c r="A317" t="s">
        <v>574</v>
      </c>
      <c r="B317" t="s">
        <v>14</v>
      </c>
      <c r="C317" t="s">
        <v>22</v>
      </c>
      <c r="D317">
        <v>7</v>
      </c>
      <c r="E317">
        <v>35000</v>
      </c>
      <c r="F317" t="s">
        <v>575</v>
      </c>
      <c r="G317" s="2">
        <v>46168</v>
      </c>
      <c r="H317">
        <v>2</v>
      </c>
    </row>
    <row r="318" spans="1:8" x14ac:dyDescent="0.2">
      <c r="A318" t="s">
        <v>576</v>
      </c>
      <c r="B318" t="s">
        <v>21</v>
      </c>
      <c r="C318" t="s">
        <v>39</v>
      </c>
      <c r="D318">
        <v>1</v>
      </c>
      <c r="E318">
        <v>12000</v>
      </c>
      <c r="F318" t="s">
        <v>577</v>
      </c>
      <c r="G318" s="2">
        <v>46079</v>
      </c>
      <c r="H318">
        <v>0</v>
      </c>
    </row>
    <row r="319" spans="1:8" x14ac:dyDescent="0.2">
      <c r="A319" t="s">
        <v>578</v>
      </c>
      <c r="B319" t="s">
        <v>14</v>
      </c>
      <c r="C319" t="s">
        <v>45</v>
      </c>
      <c r="D319">
        <v>6</v>
      </c>
      <c r="E319">
        <v>20000</v>
      </c>
      <c r="F319" t="s">
        <v>579</v>
      </c>
      <c r="G319" s="2">
        <v>46159</v>
      </c>
      <c r="H319">
        <v>0</v>
      </c>
    </row>
    <row r="320" spans="1:8" x14ac:dyDescent="0.2">
      <c r="A320" t="s">
        <v>580</v>
      </c>
      <c r="B320" t="s">
        <v>581</v>
      </c>
      <c r="C320" t="s">
        <v>39</v>
      </c>
      <c r="D320">
        <v>10</v>
      </c>
      <c r="E320">
        <v>12000</v>
      </c>
      <c r="F320" t="s">
        <v>115</v>
      </c>
      <c r="G320" s="2">
        <v>46096</v>
      </c>
      <c r="H320">
        <v>0</v>
      </c>
    </row>
    <row r="321" spans="1:8" x14ac:dyDescent="0.2">
      <c r="A321" t="s">
        <v>582</v>
      </c>
      <c r="B321" t="s">
        <v>25</v>
      </c>
      <c r="C321" t="s">
        <v>18</v>
      </c>
      <c r="D321">
        <v>15</v>
      </c>
      <c r="E321">
        <v>50000</v>
      </c>
      <c r="F321" t="s">
        <v>583</v>
      </c>
      <c r="G321" s="2">
        <v>46080</v>
      </c>
      <c r="H321">
        <v>4</v>
      </c>
    </row>
    <row r="322" spans="1:8" x14ac:dyDescent="0.2">
      <c r="A322" t="s">
        <v>584</v>
      </c>
      <c r="B322" t="s">
        <v>21</v>
      </c>
      <c r="C322" t="s">
        <v>10</v>
      </c>
      <c r="D322">
        <v>9</v>
      </c>
      <c r="E322">
        <v>15000</v>
      </c>
      <c r="F322" t="s">
        <v>95</v>
      </c>
      <c r="G322" s="2">
        <v>46191</v>
      </c>
      <c r="H322">
        <v>0</v>
      </c>
    </row>
    <row r="323" spans="1:8" x14ac:dyDescent="0.2">
      <c r="A323" t="s">
        <v>585</v>
      </c>
      <c r="B323" t="s">
        <v>25</v>
      </c>
      <c r="C323" t="s">
        <v>26</v>
      </c>
      <c r="D323">
        <v>20</v>
      </c>
      <c r="E323">
        <v>20000</v>
      </c>
      <c r="F323" t="s">
        <v>82</v>
      </c>
      <c r="G323" s="2">
        <v>46180</v>
      </c>
      <c r="H323">
        <v>0</v>
      </c>
    </row>
    <row r="324" spans="1:8" x14ac:dyDescent="0.2">
      <c r="A324" t="s">
        <v>586</v>
      </c>
      <c r="B324" t="s">
        <v>14</v>
      </c>
      <c r="C324" t="s">
        <v>22</v>
      </c>
      <c r="D324">
        <v>10</v>
      </c>
      <c r="E324">
        <v>35000</v>
      </c>
      <c r="F324" t="s">
        <v>468</v>
      </c>
      <c r="G324" s="2">
        <v>46156</v>
      </c>
      <c r="H324">
        <v>5</v>
      </c>
    </row>
    <row r="325" spans="1:8" x14ac:dyDescent="0.2">
      <c r="A325" t="s">
        <v>587</v>
      </c>
      <c r="B325" t="s">
        <v>25</v>
      </c>
      <c r="C325" t="s">
        <v>45</v>
      </c>
      <c r="D325">
        <v>16</v>
      </c>
      <c r="E325">
        <v>20000</v>
      </c>
      <c r="F325" t="s">
        <v>588</v>
      </c>
      <c r="G325" s="2">
        <v>46059</v>
      </c>
      <c r="H325">
        <v>0</v>
      </c>
    </row>
    <row r="326" spans="1:8" x14ac:dyDescent="0.2">
      <c r="A326" t="s">
        <v>589</v>
      </c>
      <c r="B326" t="s">
        <v>9</v>
      </c>
      <c r="C326" t="s">
        <v>39</v>
      </c>
      <c r="D326">
        <v>10</v>
      </c>
      <c r="E326">
        <v>12000</v>
      </c>
      <c r="F326" t="s">
        <v>410</v>
      </c>
      <c r="G326" s="2">
        <v>46086</v>
      </c>
      <c r="H326">
        <v>0</v>
      </c>
    </row>
    <row r="327" spans="1:8" x14ac:dyDescent="0.2">
      <c r="A327" t="s">
        <v>590</v>
      </c>
      <c r="B327" t="s">
        <v>9</v>
      </c>
      <c r="C327" t="s">
        <v>22</v>
      </c>
      <c r="D327">
        <v>7</v>
      </c>
      <c r="E327">
        <v>35000</v>
      </c>
      <c r="F327" t="s">
        <v>591</v>
      </c>
      <c r="G327" s="2">
        <v>46106</v>
      </c>
      <c r="H327">
        <v>0</v>
      </c>
    </row>
    <row r="328" spans="1:8" x14ac:dyDescent="0.2">
      <c r="A328" t="s">
        <v>592</v>
      </c>
      <c r="B328" t="s">
        <v>25</v>
      </c>
      <c r="C328" t="s">
        <v>10</v>
      </c>
      <c r="D328">
        <v>25</v>
      </c>
      <c r="E328">
        <v>15000</v>
      </c>
      <c r="F328" t="s">
        <v>593</v>
      </c>
      <c r="G328" s="2">
        <v>46176</v>
      </c>
      <c r="H328">
        <v>0</v>
      </c>
    </row>
    <row r="329" spans="1:8" x14ac:dyDescent="0.2">
      <c r="A329" t="s">
        <v>594</v>
      </c>
      <c r="B329" t="s">
        <v>25</v>
      </c>
      <c r="C329" t="s">
        <v>26</v>
      </c>
      <c r="D329">
        <v>8</v>
      </c>
      <c r="E329">
        <v>20000</v>
      </c>
      <c r="F329" t="s">
        <v>595</v>
      </c>
      <c r="G329" t="s">
        <v>596</v>
      </c>
      <c r="H329">
        <v>0</v>
      </c>
    </row>
    <row r="330" spans="1:8" x14ac:dyDescent="0.2">
      <c r="A330" t="s">
        <v>597</v>
      </c>
      <c r="B330" t="s">
        <v>14</v>
      </c>
      <c r="C330" t="s">
        <v>18</v>
      </c>
      <c r="D330">
        <v>7</v>
      </c>
      <c r="E330">
        <v>50000</v>
      </c>
      <c r="F330" t="s">
        <v>121</v>
      </c>
      <c r="G330" s="2">
        <v>46177</v>
      </c>
      <c r="H330">
        <v>0</v>
      </c>
    </row>
    <row r="331" spans="1:8" x14ac:dyDescent="0.2">
      <c r="A331" t="s">
        <v>598</v>
      </c>
      <c r="B331" t="s">
        <v>25</v>
      </c>
      <c r="C331" t="s">
        <v>10</v>
      </c>
      <c r="D331">
        <v>7</v>
      </c>
      <c r="E331">
        <v>15000</v>
      </c>
      <c r="F331" t="s">
        <v>599</v>
      </c>
      <c r="G331" s="2">
        <v>46139</v>
      </c>
      <c r="H331">
        <v>0</v>
      </c>
    </row>
    <row r="332" spans="1:8" x14ac:dyDescent="0.2">
      <c r="A332" t="s">
        <v>600</v>
      </c>
      <c r="B332" t="s">
        <v>14</v>
      </c>
      <c r="C332" t="s">
        <v>26</v>
      </c>
      <c r="D332">
        <v>24</v>
      </c>
      <c r="E332">
        <v>20000</v>
      </c>
      <c r="F332" t="s">
        <v>601</v>
      </c>
      <c r="G332" s="2">
        <v>46156</v>
      </c>
      <c r="H332">
        <v>0</v>
      </c>
    </row>
    <row r="333" spans="1:8" x14ac:dyDescent="0.2">
      <c r="A333" t="s">
        <v>602</v>
      </c>
      <c r="B333" t="s">
        <v>25</v>
      </c>
      <c r="C333" t="s">
        <v>32</v>
      </c>
      <c r="D333">
        <v>6</v>
      </c>
      <c r="E333">
        <v>8000</v>
      </c>
      <c r="F333" t="s">
        <v>410</v>
      </c>
      <c r="G333" s="2">
        <v>46142</v>
      </c>
      <c r="H333">
        <v>0</v>
      </c>
    </row>
    <row r="334" spans="1:8" x14ac:dyDescent="0.2">
      <c r="A334" t="s">
        <v>603</v>
      </c>
      <c r="B334" t="s">
        <v>21</v>
      </c>
      <c r="C334" t="s">
        <v>45</v>
      </c>
      <c r="D334">
        <v>20</v>
      </c>
      <c r="E334">
        <v>20000</v>
      </c>
      <c r="F334" t="s">
        <v>604</v>
      </c>
      <c r="G334" s="2">
        <v>46091</v>
      </c>
      <c r="H334">
        <v>0</v>
      </c>
    </row>
    <row r="335" spans="1:8" x14ac:dyDescent="0.2">
      <c r="A335" t="s">
        <v>605</v>
      </c>
      <c r="B335" t="s">
        <v>25</v>
      </c>
      <c r="C335" t="s">
        <v>45</v>
      </c>
      <c r="D335">
        <v>16</v>
      </c>
      <c r="E335">
        <v>20000</v>
      </c>
      <c r="F335" t="s">
        <v>27</v>
      </c>
      <c r="G335" s="2">
        <v>46023</v>
      </c>
      <c r="H335">
        <v>0</v>
      </c>
    </row>
    <row r="336" spans="1:8" x14ac:dyDescent="0.2">
      <c r="A336" t="s">
        <v>606</v>
      </c>
      <c r="B336" t="s">
        <v>9</v>
      </c>
      <c r="C336" t="s">
        <v>607</v>
      </c>
      <c r="D336">
        <v>2</v>
      </c>
      <c r="E336">
        <v>20000</v>
      </c>
      <c r="F336" t="s">
        <v>599</v>
      </c>
      <c r="G336" s="2">
        <v>46091</v>
      </c>
      <c r="H336">
        <v>2</v>
      </c>
    </row>
    <row r="337" spans="1:8" x14ac:dyDescent="0.2">
      <c r="A337" t="s">
        <v>608</v>
      </c>
      <c r="B337" t="s">
        <v>25</v>
      </c>
      <c r="C337" t="s">
        <v>26</v>
      </c>
      <c r="D337">
        <v>5</v>
      </c>
      <c r="E337">
        <v>20000</v>
      </c>
      <c r="F337" t="s">
        <v>169</v>
      </c>
      <c r="G337" s="2">
        <v>46193</v>
      </c>
      <c r="H337">
        <v>0</v>
      </c>
    </row>
    <row r="338" spans="1:8" x14ac:dyDescent="0.2">
      <c r="A338" t="s">
        <v>609</v>
      </c>
      <c r="B338" t="s">
        <v>9</v>
      </c>
      <c r="C338" t="s">
        <v>32</v>
      </c>
      <c r="D338">
        <v>-4</v>
      </c>
      <c r="E338">
        <v>8000</v>
      </c>
      <c r="F338" t="s">
        <v>95</v>
      </c>
      <c r="G338" s="2">
        <v>46202</v>
      </c>
      <c r="H338">
        <v>4</v>
      </c>
    </row>
    <row r="339" spans="1:8" x14ac:dyDescent="0.2">
      <c r="A339" t="s">
        <v>610</v>
      </c>
      <c r="B339" t="s">
        <v>9</v>
      </c>
      <c r="C339" t="s">
        <v>32</v>
      </c>
      <c r="D339">
        <v>3</v>
      </c>
      <c r="E339">
        <v>8000</v>
      </c>
      <c r="F339" t="s">
        <v>331</v>
      </c>
      <c r="G339" s="2">
        <v>46045</v>
      </c>
      <c r="H339">
        <v>0</v>
      </c>
    </row>
    <row r="340" spans="1:8" x14ac:dyDescent="0.2">
      <c r="A340" t="s">
        <v>611</v>
      </c>
      <c r="B340" t="s">
        <v>9</v>
      </c>
      <c r="C340" t="s">
        <v>26</v>
      </c>
      <c r="D340">
        <v>22</v>
      </c>
      <c r="E340">
        <v>20000</v>
      </c>
      <c r="F340" t="s">
        <v>121</v>
      </c>
      <c r="G340" s="2">
        <v>46190</v>
      </c>
      <c r="H340">
        <v>0</v>
      </c>
    </row>
    <row r="341" spans="1:8" x14ac:dyDescent="0.2">
      <c r="A341" t="s">
        <v>612</v>
      </c>
      <c r="B341" t="s">
        <v>9</v>
      </c>
      <c r="C341" t="s">
        <v>18</v>
      </c>
      <c r="D341">
        <v>1</v>
      </c>
      <c r="E341">
        <v>50000</v>
      </c>
      <c r="F341" t="s">
        <v>197</v>
      </c>
      <c r="G341" s="2">
        <v>46039</v>
      </c>
      <c r="H341">
        <v>0</v>
      </c>
    </row>
    <row r="342" spans="1:8" x14ac:dyDescent="0.2">
      <c r="A342" t="s">
        <v>613</v>
      </c>
      <c r="B342" t="s">
        <v>25</v>
      </c>
      <c r="C342" t="s">
        <v>45</v>
      </c>
      <c r="D342">
        <v>25</v>
      </c>
      <c r="E342">
        <v>20000</v>
      </c>
      <c r="F342" t="s">
        <v>614</v>
      </c>
      <c r="G342" s="2">
        <v>46158</v>
      </c>
      <c r="H342">
        <v>1</v>
      </c>
    </row>
    <row r="343" spans="1:8" x14ac:dyDescent="0.2">
      <c r="A343" t="s">
        <v>615</v>
      </c>
      <c r="B343" t="s">
        <v>25</v>
      </c>
      <c r="C343" t="s">
        <v>70</v>
      </c>
      <c r="D343">
        <v>4</v>
      </c>
      <c r="E343">
        <v>28000</v>
      </c>
      <c r="F343" t="s">
        <v>616</v>
      </c>
      <c r="G343" s="2">
        <v>46100</v>
      </c>
      <c r="H343">
        <v>0</v>
      </c>
    </row>
    <row r="344" spans="1:8" x14ac:dyDescent="0.2">
      <c r="A344" t="s">
        <v>617</v>
      </c>
      <c r="B344" t="s">
        <v>21</v>
      </c>
      <c r="C344" t="s">
        <v>10</v>
      </c>
      <c r="D344">
        <v>16</v>
      </c>
      <c r="E344">
        <v>15000</v>
      </c>
      <c r="F344" t="s">
        <v>618</v>
      </c>
      <c r="G344" s="2">
        <v>46159</v>
      </c>
      <c r="H344">
        <v>0</v>
      </c>
    </row>
    <row r="345" spans="1:8" x14ac:dyDescent="0.2">
      <c r="A345" t="s">
        <v>619</v>
      </c>
      <c r="B345" t="s">
        <v>25</v>
      </c>
      <c r="C345" t="s">
        <v>70</v>
      </c>
      <c r="D345">
        <v>24</v>
      </c>
      <c r="E345">
        <v>28000</v>
      </c>
      <c r="F345" t="s">
        <v>620</v>
      </c>
      <c r="G345" s="2">
        <v>46184</v>
      </c>
      <c r="H345">
        <v>0</v>
      </c>
    </row>
    <row r="346" spans="1:8" x14ac:dyDescent="0.2">
      <c r="A346" t="s">
        <v>621</v>
      </c>
      <c r="B346" t="s">
        <v>21</v>
      </c>
      <c r="C346" t="s">
        <v>18</v>
      </c>
      <c r="D346">
        <v>7</v>
      </c>
      <c r="E346">
        <v>50000</v>
      </c>
      <c r="F346" t="s">
        <v>155</v>
      </c>
      <c r="G346" s="2">
        <v>46061</v>
      </c>
      <c r="H346">
        <v>0</v>
      </c>
    </row>
    <row r="347" spans="1:8" x14ac:dyDescent="0.2">
      <c r="A347" t="s">
        <v>622</v>
      </c>
      <c r="B347" t="s">
        <v>21</v>
      </c>
      <c r="C347" t="s">
        <v>45</v>
      </c>
      <c r="D347">
        <v>18</v>
      </c>
      <c r="E347">
        <v>20000</v>
      </c>
      <c r="G347" s="2">
        <v>46074</v>
      </c>
      <c r="H347">
        <v>0</v>
      </c>
    </row>
    <row r="348" spans="1:8" x14ac:dyDescent="0.2">
      <c r="A348" t="s">
        <v>623</v>
      </c>
      <c r="B348" t="s">
        <v>25</v>
      </c>
      <c r="C348" t="s">
        <v>18</v>
      </c>
      <c r="D348">
        <v>5</v>
      </c>
      <c r="E348">
        <v>50000</v>
      </c>
      <c r="F348" t="s">
        <v>331</v>
      </c>
      <c r="G348" s="2">
        <v>46059</v>
      </c>
      <c r="H348">
        <v>0</v>
      </c>
    </row>
    <row r="349" spans="1:8" x14ac:dyDescent="0.2">
      <c r="A349" t="s">
        <v>624</v>
      </c>
      <c r="B349" t="s">
        <v>25</v>
      </c>
      <c r="C349" t="s">
        <v>18</v>
      </c>
      <c r="D349">
        <v>19</v>
      </c>
      <c r="E349" t="s">
        <v>625</v>
      </c>
      <c r="F349" t="s">
        <v>626</v>
      </c>
      <c r="G349" s="2">
        <v>46148</v>
      </c>
      <c r="H349">
        <v>2</v>
      </c>
    </row>
    <row r="350" spans="1:8" x14ac:dyDescent="0.2">
      <c r="A350" t="s">
        <v>627</v>
      </c>
      <c r="B350" t="s">
        <v>14</v>
      </c>
      <c r="C350" t="s">
        <v>70</v>
      </c>
      <c r="D350">
        <v>4</v>
      </c>
      <c r="E350">
        <v>28000</v>
      </c>
      <c r="F350" t="s">
        <v>48</v>
      </c>
      <c r="G350" s="2">
        <v>46160</v>
      </c>
      <c r="H350">
        <v>1</v>
      </c>
    </row>
    <row r="351" spans="1:8" x14ac:dyDescent="0.2">
      <c r="A351" t="s">
        <v>628</v>
      </c>
      <c r="B351" t="s">
        <v>25</v>
      </c>
      <c r="C351" t="s">
        <v>10</v>
      </c>
      <c r="D351">
        <v>2</v>
      </c>
      <c r="E351">
        <v>15000</v>
      </c>
      <c r="F351" t="s">
        <v>226</v>
      </c>
      <c r="G351" s="2">
        <v>46118</v>
      </c>
      <c r="H351">
        <v>0</v>
      </c>
    </row>
    <row r="352" spans="1:8" x14ac:dyDescent="0.2">
      <c r="A352" t="s">
        <v>629</v>
      </c>
      <c r="B352" t="s">
        <v>9</v>
      </c>
      <c r="C352" t="s">
        <v>32</v>
      </c>
      <c r="D352">
        <v>18</v>
      </c>
      <c r="E352">
        <v>8000</v>
      </c>
      <c r="F352" t="s">
        <v>630</v>
      </c>
      <c r="G352" t="s">
        <v>224</v>
      </c>
      <c r="H352">
        <v>0</v>
      </c>
    </row>
    <row r="353" spans="1:8" x14ac:dyDescent="0.2">
      <c r="A353" t="s">
        <v>631</v>
      </c>
      <c r="B353" t="s">
        <v>21</v>
      </c>
      <c r="C353" t="s">
        <v>26</v>
      </c>
      <c r="D353">
        <v>15</v>
      </c>
      <c r="E353">
        <v>20000</v>
      </c>
      <c r="F353" t="s">
        <v>82</v>
      </c>
      <c r="G353" s="2">
        <v>46094</v>
      </c>
      <c r="H353" t="s">
        <v>55</v>
      </c>
    </row>
    <row r="354" spans="1:8" x14ac:dyDescent="0.2">
      <c r="A354" t="s">
        <v>632</v>
      </c>
      <c r="B354" t="s">
        <v>25</v>
      </c>
      <c r="C354" t="s">
        <v>70</v>
      </c>
      <c r="D354">
        <v>22</v>
      </c>
      <c r="E354">
        <v>28000</v>
      </c>
      <c r="F354" t="s">
        <v>328</v>
      </c>
      <c r="G354" s="2">
        <v>46039</v>
      </c>
      <c r="H354">
        <v>0</v>
      </c>
    </row>
    <row r="355" spans="1:8" x14ac:dyDescent="0.2">
      <c r="A355" t="s">
        <v>633</v>
      </c>
      <c r="B355" t="s">
        <v>14</v>
      </c>
      <c r="C355" t="s">
        <v>26</v>
      </c>
      <c r="D355">
        <v>7</v>
      </c>
      <c r="E355" t="s">
        <v>11</v>
      </c>
      <c r="F355" t="s">
        <v>328</v>
      </c>
      <c r="G355" s="2">
        <v>46123</v>
      </c>
      <c r="H355">
        <v>0</v>
      </c>
    </row>
    <row r="356" spans="1:8" x14ac:dyDescent="0.2">
      <c r="A356" t="s">
        <v>634</v>
      </c>
      <c r="B356" t="s">
        <v>9</v>
      </c>
      <c r="C356" t="s">
        <v>32</v>
      </c>
      <c r="D356" t="s">
        <v>399</v>
      </c>
      <c r="E356">
        <v>8000</v>
      </c>
      <c r="F356" t="s">
        <v>216</v>
      </c>
      <c r="G356" t="s">
        <v>635</v>
      </c>
      <c r="H356">
        <v>0</v>
      </c>
    </row>
    <row r="357" spans="1:8" x14ac:dyDescent="0.2">
      <c r="A357" t="s">
        <v>636</v>
      </c>
      <c r="B357" t="s">
        <v>14</v>
      </c>
      <c r="C357" t="s">
        <v>18</v>
      </c>
      <c r="D357">
        <v>11</v>
      </c>
      <c r="E357">
        <v>50000</v>
      </c>
      <c r="F357" t="s">
        <v>368</v>
      </c>
      <c r="G357" s="2">
        <v>46076</v>
      </c>
      <c r="H357">
        <v>0</v>
      </c>
    </row>
    <row r="358" spans="1:8" x14ac:dyDescent="0.2">
      <c r="A358" t="s">
        <v>637</v>
      </c>
      <c r="B358" t="s">
        <v>21</v>
      </c>
      <c r="C358" t="s">
        <v>32</v>
      </c>
      <c r="D358">
        <v>1</v>
      </c>
      <c r="E358">
        <v>8000</v>
      </c>
      <c r="F358" t="s">
        <v>73</v>
      </c>
      <c r="G358" s="2">
        <v>46141</v>
      </c>
      <c r="H358">
        <v>0</v>
      </c>
    </row>
    <row r="359" spans="1:8" x14ac:dyDescent="0.2">
      <c r="A359" t="s">
        <v>638</v>
      </c>
      <c r="B359" t="s">
        <v>25</v>
      </c>
      <c r="C359" t="s">
        <v>26</v>
      </c>
      <c r="D359">
        <v>20</v>
      </c>
      <c r="E359">
        <v>20000</v>
      </c>
      <c r="F359" t="s">
        <v>331</v>
      </c>
      <c r="G359" s="2">
        <v>46161</v>
      </c>
      <c r="H359">
        <v>0</v>
      </c>
    </row>
    <row r="360" spans="1:8" x14ac:dyDescent="0.2">
      <c r="A360" t="s">
        <v>639</v>
      </c>
      <c r="B360" t="s">
        <v>21</v>
      </c>
      <c r="C360" t="s">
        <v>32</v>
      </c>
      <c r="D360">
        <v>16</v>
      </c>
      <c r="E360">
        <v>8000</v>
      </c>
      <c r="F360" t="s">
        <v>640</v>
      </c>
      <c r="G360" s="2">
        <v>46027</v>
      </c>
      <c r="H360">
        <v>0</v>
      </c>
    </row>
    <row r="361" spans="1:8" x14ac:dyDescent="0.2">
      <c r="A361" t="s">
        <v>641</v>
      </c>
      <c r="B361" t="s">
        <v>9</v>
      </c>
      <c r="C361" t="s">
        <v>10</v>
      </c>
      <c r="D361">
        <v>16</v>
      </c>
      <c r="E361">
        <v>15000</v>
      </c>
      <c r="F361" t="s">
        <v>642</v>
      </c>
      <c r="G361" s="2">
        <v>46200</v>
      </c>
      <c r="H361">
        <v>0</v>
      </c>
    </row>
    <row r="362" spans="1:8" x14ac:dyDescent="0.2">
      <c r="A362" t="s">
        <v>643</v>
      </c>
      <c r="B362" t="s">
        <v>21</v>
      </c>
      <c r="C362" t="s">
        <v>22</v>
      </c>
      <c r="D362">
        <v>7</v>
      </c>
      <c r="E362">
        <v>35000</v>
      </c>
      <c r="F362" t="s">
        <v>121</v>
      </c>
      <c r="G362" s="2">
        <v>46152</v>
      </c>
      <c r="H362">
        <v>0</v>
      </c>
    </row>
    <row r="363" spans="1:8" x14ac:dyDescent="0.2">
      <c r="A363" t="s">
        <v>644</v>
      </c>
      <c r="B363" t="s">
        <v>9</v>
      </c>
      <c r="C363" t="s">
        <v>10</v>
      </c>
      <c r="D363">
        <v>10</v>
      </c>
      <c r="E363">
        <v>15000</v>
      </c>
      <c r="F363" t="s">
        <v>183</v>
      </c>
      <c r="G363" s="2">
        <v>46090</v>
      </c>
      <c r="H363">
        <v>0</v>
      </c>
    </row>
    <row r="364" spans="1:8" x14ac:dyDescent="0.2">
      <c r="A364" t="s">
        <v>645</v>
      </c>
      <c r="B364" t="s">
        <v>25</v>
      </c>
      <c r="C364" t="s">
        <v>32</v>
      </c>
      <c r="D364">
        <v>24</v>
      </c>
      <c r="E364">
        <v>8000</v>
      </c>
      <c r="F364" t="s">
        <v>646</v>
      </c>
      <c r="G364" s="2">
        <v>46188</v>
      </c>
      <c r="H364">
        <v>4</v>
      </c>
    </row>
    <row r="365" spans="1:8" x14ac:dyDescent="0.2">
      <c r="A365" t="s">
        <v>647</v>
      </c>
      <c r="B365" t="s">
        <v>21</v>
      </c>
      <c r="C365" t="s">
        <v>70</v>
      </c>
      <c r="D365">
        <v>4</v>
      </c>
      <c r="E365">
        <v>28000</v>
      </c>
      <c r="F365" t="s">
        <v>482</v>
      </c>
      <c r="G365" s="2">
        <v>46047</v>
      </c>
      <c r="H365">
        <v>1</v>
      </c>
    </row>
    <row r="366" spans="1:8" x14ac:dyDescent="0.2">
      <c r="A366" t="s">
        <v>648</v>
      </c>
      <c r="B366" t="s">
        <v>25</v>
      </c>
      <c r="C366" t="s">
        <v>10</v>
      </c>
      <c r="D366">
        <v>19</v>
      </c>
      <c r="E366">
        <v>15000</v>
      </c>
      <c r="F366" t="s">
        <v>649</v>
      </c>
      <c r="G366" s="2">
        <v>46174</v>
      </c>
      <c r="H366">
        <v>0</v>
      </c>
    </row>
    <row r="367" spans="1:8" x14ac:dyDescent="0.2">
      <c r="A367" t="s">
        <v>650</v>
      </c>
      <c r="B367" t="s">
        <v>21</v>
      </c>
      <c r="C367" t="s">
        <v>45</v>
      </c>
      <c r="D367">
        <v>21</v>
      </c>
      <c r="E367">
        <v>20000</v>
      </c>
      <c r="F367" t="s">
        <v>651</v>
      </c>
      <c r="G367" t="s">
        <v>652</v>
      </c>
      <c r="H367">
        <v>0</v>
      </c>
    </row>
    <row r="368" spans="1:8" x14ac:dyDescent="0.2">
      <c r="A368" t="s">
        <v>653</v>
      </c>
      <c r="B368" t="s">
        <v>14</v>
      </c>
      <c r="C368" t="s">
        <v>26</v>
      </c>
      <c r="D368">
        <v>1</v>
      </c>
      <c r="E368">
        <v>20000</v>
      </c>
      <c r="F368" t="s">
        <v>654</v>
      </c>
      <c r="G368" s="2">
        <v>46048</v>
      </c>
      <c r="H368">
        <v>0</v>
      </c>
    </row>
    <row r="369" spans="1:8" x14ac:dyDescent="0.2">
      <c r="A369" t="s">
        <v>655</v>
      </c>
      <c r="B369" t="s">
        <v>9</v>
      </c>
      <c r="C369" t="s">
        <v>10</v>
      </c>
      <c r="D369">
        <v>22</v>
      </c>
      <c r="E369">
        <v>15000</v>
      </c>
      <c r="F369" t="s">
        <v>656</v>
      </c>
      <c r="G369" s="2">
        <v>46032</v>
      </c>
      <c r="H369">
        <v>0</v>
      </c>
    </row>
    <row r="370" spans="1:8" x14ac:dyDescent="0.2">
      <c r="A370" t="s">
        <v>657</v>
      </c>
      <c r="B370" t="s">
        <v>14</v>
      </c>
      <c r="C370" t="s">
        <v>10</v>
      </c>
      <c r="D370">
        <v>1</v>
      </c>
      <c r="E370">
        <v>15000</v>
      </c>
      <c r="F370" t="s">
        <v>123</v>
      </c>
      <c r="G370" s="2">
        <v>46113</v>
      </c>
      <c r="H370">
        <v>0</v>
      </c>
    </row>
    <row r="371" spans="1:8" x14ac:dyDescent="0.2">
      <c r="A371" t="s">
        <v>658</v>
      </c>
      <c r="B371" t="s">
        <v>581</v>
      </c>
      <c r="C371" t="s">
        <v>70</v>
      </c>
      <c r="D371">
        <v>11</v>
      </c>
      <c r="E371" t="s">
        <v>659</v>
      </c>
      <c r="F371" t="s">
        <v>30</v>
      </c>
      <c r="G371" s="2">
        <v>46172</v>
      </c>
      <c r="H371">
        <v>0</v>
      </c>
    </row>
    <row r="372" spans="1:8" x14ac:dyDescent="0.2">
      <c r="A372" t="s">
        <v>660</v>
      </c>
      <c r="B372" t="s">
        <v>14</v>
      </c>
      <c r="C372" t="s">
        <v>32</v>
      </c>
      <c r="D372">
        <v>14</v>
      </c>
      <c r="E372">
        <v>8000</v>
      </c>
      <c r="F372" t="s">
        <v>588</v>
      </c>
      <c r="G372" s="2">
        <v>46099</v>
      </c>
      <c r="H372">
        <v>0</v>
      </c>
    </row>
    <row r="373" spans="1:8" x14ac:dyDescent="0.2">
      <c r="A373" t="s">
        <v>661</v>
      </c>
      <c r="B373" t="s">
        <v>14</v>
      </c>
      <c r="C373" t="s">
        <v>10</v>
      </c>
      <c r="D373">
        <v>5</v>
      </c>
      <c r="E373" t="s">
        <v>188</v>
      </c>
      <c r="G373" s="2">
        <v>46062</v>
      </c>
      <c r="H373">
        <v>0</v>
      </c>
    </row>
    <row r="374" spans="1:8" x14ac:dyDescent="0.2">
      <c r="A374" t="s">
        <v>662</v>
      </c>
      <c r="B374" t="s">
        <v>25</v>
      </c>
      <c r="C374" t="s">
        <v>10</v>
      </c>
      <c r="D374">
        <v>1</v>
      </c>
      <c r="E374">
        <v>15000</v>
      </c>
      <c r="F374" t="s">
        <v>300</v>
      </c>
      <c r="G374" s="2">
        <v>46042</v>
      </c>
      <c r="H374">
        <v>1</v>
      </c>
    </row>
    <row r="375" spans="1:8" x14ac:dyDescent="0.2">
      <c r="A375" t="s">
        <v>663</v>
      </c>
      <c r="B375" t="s">
        <v>14</v>
      </c>
      <c r="C375" t="s">
        <v>70</v>
      </c>
      <c r="D375" t="s">
        <v>112</v>
      </c>
      <c r="E375">
        <v>28000</v>
      </c>
      <c r="F375" t="s">
        <v>664</v>
      </c>
      <c r="G375" s="2">
        <v>46122</v>
      </c>
      <c r="H375">
        <v>1</v>
      </c>
    </row>
    <row r="376" spans="1:8" x14ac:dyDescent="0.2">
      <c r="A376" t="s">
        <v>665</v>
      </c>
      <c r="B376" t="s">
        <v>25</v>
      </c>
      <c r="C376" t="s">
        <v>26</v>
      </c>
      <c r="D376">
        <v>4</v>
      </c>
      <c r="E376">
        <v>20000</v>
      </c>
      <c r="F376" t="s">
        <v>19</v>
      </c>
      <c r="G376" s="2">
        <v>46184</v>
      </c>
      <c r="H376">
        <v>0</v>
      </c>
    </row>
    <row r="377" spans="1:8" x14ac:dyDescent="0.2">
      <c r="A377" t="s">
        <v>666</v>
      </c>
      <c r="B377" t="s">
        <v>14</v>
      </c>
      <c r="C377" t="s">
        <v>32</v>
      </c>
      <c r="D377">
        <v>11</v>
      </c>
      <c r="E377">
        <v>8000</v>
      </c>
      <c r="F377" t="s">
        <v>667</v>
      </c>
      <c r="G377" s="2">
        <v>46067</v>
      </c>
      <c r="H377">
        <v>0</v>
      </c>
    </row>
    <row r="378" spans="1:8" x14ac:dyDescent="0.2">
      <c r="A378" t="s">
        <v>668</v>
      </c>
      <c r="B378" t="s">
        <v>25</v>
      </c>
      <c r="C378" t="s">
        <v>10</v>
      </c>
      <c r="D378">
        <v>6</v>
      </c>
      <c r="E378">
        <v>15000</v>
      </c>
      <c r="F378" t="s">
        <v>61</v>
      </c>
      <c r="G378" s="2">
        <v>46083</v>
      </c>
      <c r="H378">
        <v>0</v>
      </c>
    </row>
    <row r="379" spans="1:8" x14ac:dyDescent="0.2">
      <c r="A379" t="s">
        <v>669</v>
      </c>
      <c r="B379" t="s">
        <v>21</v>
      </c>
      <c r="C379" t="s">
        <v>45</v>
      </c>
      <c r="D379">
        <v>10</v>
      </c>
      <c r="E379">
        <v>20000</v>
      </c>
      <c r="F379" t="s">
        <v>328</v>
      </c>
      <c r="G379" s="2">
        <v>46134</v>
      </c>
      <c r="H379">
        <v>0</v>
      </c>
    </row>
    <row r="380" spans="1:8" x14ac:dyDescent="0.2">
      <c r="A380" t="s">
        <v>670</v>
      </c>
      <c r="B380" t="s">
        <v>25</v>
      </c>
      <c r="C380" t="s">
        <v>18</v>
      </c>
      <c r="D380">
        <v>22</v>
      </c>
      <c r="E380">
        <v>50000</v>
      </c>
      <c r="F380" t="s">
        <v>389</v>
      </c>
      <c r="G380" s="2">
        <v>46068</v>
      </c>
      <c r="H380" t="s">
        <v>55</v>
      </c>
    </row>
    <row r="381" spans="1:8" x14ac:dyDescent="0.2">
      <c r="A381" t="s">
        <v>671</v>
      </c>
      <c r="B381" t="s">
        <v>9</v>
      </c>
      <c r="C381" t="s">
        <v>39</v>
      </c>
      <c r="D381">
        <v>11</v>
      </c>
      <c r="E381">
        <v>12000</v>
      </c>
      <c r="F381" t="s">
        <v>377</v>
      </c>
      <c r="G381" s="2">
        <v>46094</v>
      </c>
      <c r="H381">
        <v>0</v>
      </c>
    </row>
    <row r="382" spans="1:8" x14ac:dyDescent="0.2">
      <c r="A382" t="s">
        <v>672</v>
      </c>
      <c r="B382" t="s">
        <v>9</v>
      </c>
      <c r="C382" t="s">
        <v>32</v>
      </c>
      <c r="D382">
        <v>15</v>
      </c>
      <c r="E382">
        <v>8000</v>
      </c>
      <c r="F382" t="s">
        <v>119</v>
      </c>
      <c r="G382" s="2">
        <v>46105</v>
      </c>
      <c r="H382">
        <v>0</v>
      </c>
    </row>
    <row r="383" spans="1:8" x14ac:dyDescent="0.2">
      <c r="A383" t="s">
        <v>673</v>
      </c>
      <c r="B383" t="s">
        <v>25</v>
      </c>
      <c r="C383" t="s">
        <v>26</v>
      </c>
      <c r="D383">
        <v>3</v>
      </c>
      <c r="E383">
        <v>20000</v>
      </c>
      <c r="F383" t="s">
        <v>381</v>
      </c>
      <c r="G383" s="2">
        <v>46099</v>
      </c>
      <c r="H383">
        <v>0</v>
      </c>
    </row>
    <row r="384" spans="1:8" x14ac:dyDescent="0.2">
      <c r="A384" t="s">
        <v>674</v>
      </c>
      <c r="B384" t="s">
        <v>14</v>
      </c>
      <c r="C384" t="s">
        <v>32</v>
      </c>
      <c r="D384">
        <v>23</v>
      </c>
      <c r="E384">
        <v>8000</v>
      </c>
      <c r="F384" t="s">
        <v>391</v>
      </c>
      <c r="G384" s="2">
        <v>46055</v>
      </c>
      <c r="H384">
        <v>0</v>
      </c>
    </row>
    <row r="385" spans="1:8" x14ac:dyDescent="0.2">
      <c r="A385" t="s">
        <v>675</v>
      </c>
      <c r="B385" t="s">
        <v>21</v>
      </c>
      <c r="C385" t="s">
        <v>676</v>
      </c>
      <c r="D385">
        <v>14</v>
      </c>
      <c r="E385">
        <v>28000</v>
      </c>
      <c r="F385" t="s">
        <v>677</v>
      </c>
      <c r="G385" s="2">
        <v>46138</v>
      </c>
      <c r="H385">
        <v>0</v>
      </c>
    </row>
    <row r="386" spans="1:8" x14ac:dyDescent="0.2">
      <c r="A386" t="s">
        <v>678</v>
      </c>
      <c r="B386" t="s">
        <v>679</v>
      </c>
      <c r="C386" t="s">
        <v>45</v>
      </c>
      <c r="D386">
        <v>5</v>
      </c>
      <c r="E386">
        <v>20000</v>
      </c>
      <c r="F386" t="s">
        <v>255</v>
      </c>
      <c r="G386" s="2">
        <v>46190</v>
      </c>
      <c r="H386">
        <v>0</v>
      </c>
    </row>
    <row r="387" spans="1:8" x14ac:dyDescent="0.2">
      <c r="A387" t="s">
        <v>680</v>
      </c>
      <c r="B387" t="s">
        <v>14</v>
      </c>
      <c r="C387" t="s">
        <v>681</v>
      </c>
      <c r="D387">
        <v>21</v>
      </c>
      <c r="E387">
        <v>50000</v>
      </c>
      <c r="F387" t="s">
        <v>134</v>
      </c>
      <c r="G387" s="2">
        <v>46168</v>
      </c>
      <c r="H387">
        <v>0</v>
      </c>
    </row>
    <row r="388" spans="1:8" x14ac:dyDescent="0.2">
      <c r="A388" t="s">
        <v>682</v>
      </c>
      <c r="B388" t="s">
        <v>581</v>
      </c>
      <c r="C388" t="s">
        <v>18</v>
      </c>
      <c r="D388">
        <v>9</v>
      </c>
      <c r="E388">
        <v>50000</v>
      </c>
      <c r="F388" t="s">
        <v>683</v>
      </c>
      <c r="G388" s="2">
        <v>46179</v>
      </c>
      <c r="H388">
        <v>0</v>
      </c>
    </row>
    <row r="389" spans="1:8" x14ac:dyDescent="0.2">
      <c r="A389" t="s">
        <v>684</v>
      </c>
      <c r="B389" t="s">
        <v>14</v>
      </c>
      <c r="C389" t="s">
        <v>10</v>
      </c>
      <c r="D389">
        <v>11</v>
      </c>
      <c r="E389">
        <v>15000</v>
      </c>
      <c r="F389" t="s">
        <v>113</v>
      </c>
      <c r="G389" s="2">
        <v>46038</v>
      </c>
      <c r="H389">
        <v>0</v>
      </c>
    </row>
    <row r="390" spans="1:8" x14ac:dyDescent="0.2">
      <c r="A390" t="s">
        <v>685</v>
      </c>
      <c r="B390" t="s">
        <v>14</v>
      </c>
      <c r="C390" t="s">
        <v>10</v>
      </c>
      <c r="D390">
        <v>1</v>
      </c>
      <c r="E390">
        <v>15000</v>
      </c>
      <c r="F390" t="s">
        <v>428</v>
      </c>
      <c r="G390" s="2">
        <v>46111</v>
      </c>
      <c r="H390">
        <v>0</v>
      </c>
    </row>
    <row r="391" spans="1:8" x14ac:dyDescent="0.2">
      <c r="A391" t="s">
        <v>686</v>
      </c>
      <c r="B391" t="s">
        <v>9</v>
      </c>
      <c r="C391" t="s">
        <v>687</v>
      </c>
      <c r="D391">
        <v>17</v>
      </c>
      <c r="E391">
        <v>20000</v>
      </c>
      <c r="F391" t="s">
        <v>541</v>
      </c>
      <c r="G391" s="2">
        <v>46034</v>
      </c>
      <c r="H391">
        <v>5</v>
      </c>
    </row>
    <row r="392" spans="1:8" x14ac:dyDescent="0.2">
      <c r="A392" t="s">
        <v>688</v>
      </c>
      <c r="B392" t="s">
        <v>25</v>
      </c>
      <c r="C392" t="s">
        <v>22</v>
      </c>
      <c r="D392">
        <v>13</v>
      </c>
      <c r="E392">
        <v>35000</v>
      </c>
      <c r="F392" t="s">
        <v>282</v>
      </c>
      <c r="G392" s="2">
        <v>46186</v>
      </c>
      <c r="H392">
        <v>0</v>
      </c>
    </row>
    <row r="393" spans="1:8" x14ac:dyDescent="0.2">
      <c r="A393" t="s">
        <v>689</v>
      </c>
      <c r="B393" t="s">
        <v>21</v>
      </c>
      <c r="C393" t="s">
        <v>45</v>
      </c>
      <c r="D393">
        <v>25</v>
      </c>
      <c r="E393">
        <v>20000</v>
      </c>
      <c r="F393" t="s">
        <v>296</v>
      </c>
      <c r="G393" s="2">
        <v>46144</v>
      </c>
      <c r="H393" t="s">
        <v>55</v>
      </c>
    </row>
    <row r="394" spans="1:8" x14ac:dyDescent="0.2">
      <c r="A394" t="s">
        <v>690</v>
      </c>
      <c r="B394" t="s">
        <v>14</v>
      </c>
      <c r="C394" t="s">
        <v>32</v>
      </c>
      <c r="D394">
        <v>17</v>
      </c>
      <c r="E394">
        <v>8000</v>
      </c>
      <c r="F394" t="s">
        <v>220</v>
      </c>
      <c r="G394" s="2">
        <v>46065</v>
      </c>
      <c r="H394">
        <v>0</v>
      </c>
    </row>
    <row r="395" spans="1:8" x14ac:dyDescent="0.2">
      <c r="A395" t="s">
        <v>691</v>
      </c>
      <c r="B395" t="s">
        <v>21</v>
      </c>
      <c r="C395" t="s">
        <v>10</v>
      </c>
      <c r="D395">
        <v>19</v>
      </c>
      <c r="E395">
        <v>15000</v>
      </c>
      <c r="F395" t="s">
        <v>692</v>
      </c>
      <c r="G395" s="2">
        <v>46154</v>
      </c>
      <c r="H395">
        <v>0</v>
      </c>
    </row>
    <row r="396" spans="1:8" x14ac:dyDescent="0.2">
      <c r="A396" t="s">
        <v>693</v>
      </c>
      <c r="B396" t="s">
        <v>9</v>
      </c>
      <c r="C396" t="s">
        <v>18</v>
      </c>
      <c r="D396">
        <v>25</v>
      </c>
      <c r="E396">
        <v>50000</v>
      </c>
      <c r="F396" t="s">
        <v>230</v>
      </c>
      <c r="G396" s="2">
        <v>46178</v>
      </c>
      <c r="H396">
        <v>1</v>
      </c>
    </row>
    <row r="397" spans="1:8" x14ac:dyDescent="0.2">
      <c r="A397" t="s">
        <v>694</v>
      </c>
      <c r="B397" t="s">
        <v>21</v>
      </c>
      <c r="C397" t="s">
        <v>10</v>
      </c>
      <c r="D397">
        <v>10</v>
      </c>
      <c r="E397">
        <v>15000</v>
      </c>
      <c r="F397" t="s">
        <v>368</v>
      </c>
      <c r="G397" s="2">
        <v>46144</v>
      </c>
      <c r="H397">
        <v>1</v>
      </c>
    </row>
    <row r="398" spans="1:8" x14ac:dyDescent="0.2">
      <c r="A398" t="s">
        <v>695</v>
      </c>
      <c r="B398" t="s">
        <v>9</v>
      </c>
      <c r="C398" t="s">
        <v>18</v>
      </c>
      <c r="D398">
        <v>12</v>
      </c>
      <c r="E398">
        <v>50000</v>
      </c>
      <c r="F398" t="s">
        <v>220</v>
      </c>
      <c r="G398" s="2">
        <v>46142</v>
      </c>
      <c r="H398">
        <v>0</v>
      </c>
    </row>
    <row r="399" spans="1:8" x14ac:dyDescent="0.2">
      <c r="A399" t="s">
        <v>696</v>
      </c>
      <c r="B399" t="s">
        <v>25</v>
      </c>
      <c r="C399" t="s">
        <v>26</v>
      </c>
      <c r="D399">
        <v>4</v>
      </c>
      <c r="E399">
        <v>20000</v>
      </c>
      <c r="F399" t="s">
        <v>134</v>
      </c>
      <c r="G399" s="2">
        <v>46051</v>
      </c>
      <c r="H399">
        <v>0</v>
      </c>
    </row>
    <row r="400" spans="1:8" x14ac:dyDescent="0.2">
      <c r="A400" t="s">
        <v>697</v>
      </c>
      <c r="B400" t="s">
        <v>14</v>
      </c>
      <c r="C400" t="s">
        <v>70</v>
      </c>
      <c r="D400">
        <v>21</v>
      </c>
      <c r="E400">
        <v>28000</v>
      </c>
      <c r="F400" t="s">
        <v>698</v>
      </c>
      <c r="G400" s="2">
        <v>46185</v>
      </c>
      <c r="H400">
        <v>5</v>
      </c>
    </row>
    <row r="401" spans="1:8" x14ac:dyDescent="0.2">
      <c r="A401" t="s">
        <v>699</v>
      </c>
      <c r="B401" t="s">
        <v>21</v>
      </c>
      <c r="C401" t="s">
        <v>26</v>
      </c>
      <c r="D401">
        <v>17</v>
      </c>
      <c r="E401">
        <v>20000</v>
      </c>
      <c r="F401" t="s">
        <v>410</v>
      </c>
      <c r="G401" s="2">
        <v>46100</v>
      </c>
      <c r="H401">
        <v>3</v>
      </c>
    </row>
    <row r="402" spans="1:8" x14ac:dyDescent="0.2">
      <c r="A402" t="s">
        <v>700</v>
      </c>
      <c r="B402" t="s">
        <v>21</v>
      </c>
      <c r="C402" t="s">
        <v>32</v>
      </c>
      <c r="D402">
        <v>25</v>
      </c>
      <c r="E402">
        <v>8000</v>
      </c>
      <c r="F402" t="s">
        <v>90</v>
      </c>
      <c r="G402" s="2">
        <v>46030</v>
      </c>
      <c r="H402">
        <v>0</v>
      </c>
    </row>
    <row r="403" spans="1:8" x14ac:dyDescent="0.2">
      <c r="A403" t="s">
        <v>701</v>
      </c>
      <c r="B403" t="s">
        <v>25</v>
      </c>
      <c r="C403" t="s">
        <v>32</v>
      </c>
      <c r="D403">
        <v>15</v>
      </c>
      <c r="E403">
        <v>8000</v>
      </c>
      <c r="F403" t="s">
        <v>228</v>
      </c>
      <c r="G403" s="2">
        <v>46057</v>
      </c>
      <c r="H403">
        <v>0</v>
      </c>
    </row>
    <row r="404" spans="1:8" x14ac:dyDescent="0.2">
      <c r="A404" t="s">
        <v>702</v>
      </c>
      <c r="B404" t="s">
        <v>21</v>
      </c>
      <c r="C404" t="s">
        <v>45</v>
      </c>
      <c r="D404">
        <v>10</v>
      </c>
      <c r="E404">
        <v>20000</v>
      </c>
      <c r="F404" t="s">
        <v>530</v>
      </c>
      <c r="G404" s="2">
        <v>46164</v>
      </c>
      <c r="H404">
        <v>0</v>
      </c>
    </row>
    <row r="405" spans="1:8" x14ac:dyDescent="0.2">
      <c r="A405" t="s">
        <v>703</v>
      </c>
      <c r="B405" t="s">
        <v>14</v>
      </c>
      <c r="C405" t="s">
        <v>70</v>
      </c>
      <c r="D405">
        <v>6</v>
      </c>
      <c r="E405">
        <v>28000</v>
      </c>
      <c r="F405" t="s">
        <v>412</v>
      </c>
      <c r="G405" s="2">
        <v>46113</v>
      </c>
      <c r="H405">
        <v>0</v>
      </c>
    </row>
    <row r="406" spans="1:8" x14ac:dyDescent="0.2">
      <c r="A406" t="s">
        <v>704</v>
      </c>
      <c r="B406" t="s">
        <v>25</v>
      </c>
      <c r="C406" t="s">
        <v>22</v>
      </c>
      <c r="D406">
        <v>9</v>
      </c>
      <c r="E406">
        <v>35000</v>
      </c>
      <c r="F406" t="s">
        <v>173</v>
      </c>
      <c r="G406" s="2">
        <v>46059</v>
      </c>
      <c r="H406">
        <v>0</v>
      </c>
    </row>
    <row r="407" spans="1:8" x14ac:dyDescent="0.2">
      <c r="A407" t="s">
        <v>705</v>
      </c>
      <c r="B407" t="s">
        <v>14</v>
      </c>
      <c r="C407" t="s">
        <v>10</v>
      </c>
      <c r="D407">
        <v>14</v>
      </c>
      <c r="E407">
        <v>15000</v>
      </c>
      <c r="F407" t="s">
        <v>572</v>
      </c>
      <c r="G407" s="2">
        <v>46200</v>
      </c>
      <c r="H407">
        <v>0</v>
      </c>
    </row>
    <row r="408" spans="1:8" x14ac:dyDescent="0.2">
      <c r="A408" t="s">
        <v>706</v>
      </c>
      <c r="B408" t="s">
        <v>25</v>
      </c>
      <c r="C408" t="s">
        <v>26</v>
      </c>
      <c r="D408">
        <v>22</v>
      </c>
      <c r="E408">
        <v>20000</v>
      </c>
      <c r="F408" t="s">
        <v>707</v>
      </c>
      <c r="G408" s="2">
        <v>46102</v>
      </c>
      <c r="H408">
        <v>4</v>
      </c>
    </row>
    <row r="409" spans="1:8" x14ac:dyDescent="0.2">
      <c r="A409" t="s">
        <v>708</v>
      </c>
      <c r="B409" t="s">
        <v>25</v>
      </c>
      <c r="C409" t="s">
        <v>45</v>
      </c>
      <c r="D409">
        <v>18</v>
      </c>
      <c r="E409">
        <v>20000</v>
      </c>
      <c r="F409" t="s">
        <v>452</v>
      </c>
      <c r="G409" s="2">
        <v>46118</v>
      </c>
      <c r="H409">
        <v>0</v>
      </c>
    </row>
    <row r="410" spans="1:8" x14ac:dyDescent="0.2">
      <c r="A410" t="s">
        <v>709</v>
      </c>
      <c r="B410" t="s">
        <v>14</v>
      </c>
      <c r="C410" t="s">
        <v>39</v>
      </c>
      <c r="D410">
        <v>22</v>
      </c>
      <c r="E410">
        <v>12000</v>
      </c>
      <c r="F410" t="s">
        <v>710</v>
      </c>
      <c r="G410" s="2">
        <v>46065</v>
      </c>
      <c r="H410">
        <v>0</v>
      </c>
    </row>
    <row r="411" spans="1:8" x14ac:dyDescent="0.2">
      <c r="A411" t="s">
        <v>711</v>
      </c>
      <c r="B411" t="s">
        <v>14</v>
      </c>
      <c r="C411" t="s">
        <v>45</v>
      </c>
      <c r="D411">
        <v>23</v>
      </c>
      <c r="E411" t="s">
        <v>11</v>
      </c>
      <c r="F411" t="s">
        <v>712</v>
      </c>
      <c r="G411" s="2">
        <v>46038</v>
      </c>
      <c r="H411">
        <v>0</v>
      </c>
    </row>
    <row r="412" spans="1:8" x14ac:dyDescent="0.2">
      <c r="A412" t="s">
        <v>713</v>
      </c>
      <c r="B412" t="s">
        <v>21</v>
      </c>
      <c r="C412" t="s">
        <v>70</v>
      </c>
      <c r="D412">
        <v>5</v>
      </c>
      <c r="E412">
        <v>28000</v>
      </c>
      <c r="F412" t="s">
        <v>523</v>
      </c>
      <c r="G412" s="2">
        <v>46173</v>
      </c>
      <c r="H412">
        <v>0</v>
      </c>
    </row>
    <row r="413" spans="1:8" x14ac:dyDescent="0.2">
      <c r="A413" t="s">
        <v>714</v>
      </c>
      <c r="B413" t="s">
        <v>21</v>
      </c>
      <c r="C413" t="s">
        <v>22</v>
      </c>
      <c r="D413">
        <v>16</v>
      </c>
      <c r="E413" t="s">
        <v>265</v>
      </c>
      <c r="F413" t="s">
        <v>151</v>
      </c>
      <c r="G413" s="2">
        <v>46030</v>
      </c>
      <c r="H413">
        <v>0</v>
      </c>
    </row>
    <row r="414" spans="1:8" x14ac:dyDescent="0.2">
      <c r="A414" t="s">
        <v>715</v>
      </c>
      <c r="B414" t="s">
        <v>14</v>
      </c>
      <c r="C414" t="s">
        <v>10</v>
      </c>
      <c r="D414">
        <v>16</v>
      </c>
      <c r="E414">
        <v>15000</v>
      </c>
      <c r="F414" t="s">
        <v>716</v>
      </c>
      <c r="G414" s="2">
        <v>46031</v>
      </c>
      <c r="H414">
        <v>0</v>
      </c>
    </row>
    <row r="415" spans="1:8" x14ac:dyDescent="0.2">
      <c r="A415" t="s">
        <v>717</v>
      </c>
      <c r="B415" t="s">
        <v>14</v>
      </c>
      <c r="C415" t="s">
        <v>39</v>
      </c>
      <c r="D415">
        <v>4</v>
      </c>
      <c r="E415">
        <v>12000</v>
      </c>
      <c r="F415" t="s">
        <v>667</v>
      </c>
      <c r="G415" s="2">
        <v>46190</v>
      </c>
      <c r="H415">
        <v>0</v>
      </c>
    </row>
    <row r="416" spans="1:8" x14ac:dyDescent="0.2">
      <c r="A416" t="s">
        <v>718</v>
      </c>
      <c r="B416" t="s">
        <v>21</v>
      </c>
      <c r="C416" t="s">
        <v>26</v>
      </c>
      <c r="D416">
        <v>6</v>
      </c>
      <c r="E416">
        <v>20000</v>
      </c>
      <c r="F416" t="s">
        <v>719</v>
      </c>
      <c r="G416" t="s">
        <v>720</v>
      </c>
      <c r="H416">
        <v>0</v>
      </c>
    </row>
    <row r="417" spans="1:8" x14ac:dyDescent="0.2">
      <c r="A417" t="s">
        <v>721</v>
      </c>
      <c r="B417" t="s">
        <v>21</v>
      </c>
      <c r="C417" t="s">
        <v>18</v>
      </c>
      <c r="D417">
        <v>23</v>
      </c>
      <c r="E417">
        <v>50000</v>
      </c>
      <c r="F417" t="s">
        <v>406</v>
      </c>
      <c r="G417" s="2">
        <v>46120</v>
      </c>
      <c r="H417">
        <v>0</v>
      </c>
    </row>
    <row r="418" spans="1:8" x14ac:dyDescent="0.2">
      <c r="A418" t="s">
        <v>722</v>
      </c>
      <c r="B418" t="s">
        <v>14</v>
      </c>
      <c r="C418" t="s">
        <v>18</v>
      </c>
      <c r="D418">
        <v>23</v>
      </c>
      <c r="E418">
        <v>50000</v>
      </c>
      <c r="F418" t="s">
        <v>716</v>
      </c>
      <c r="G418" s="2">
        <v>46053</v>
      </c>
      <c r="H418">
        <v>0</v>
      </c>
    </row>
    <row r="419" spans="1:8" x14ac:dyDescent="0.2">
      <c r="A419" t="s">
        <v>723</v>
      </c>
      <c r="B419" t="s">
        <v>14</v>
      </c>
      <c r="C419" t="s">
        <v>724</v>
      </c>
      <c r="D419">
        <v>9</v>
      </c>
      <c r="E419">
        <v>20000</v>
      </c>
      <c r="F419" t="s">
        <v>161</v>
      </c>
      <c r="H419">
        <v>0</v>
      </c>
    </row>
    <row r="420" spans="1:8" x14ac:dyDescent="0.2">
      <c r="A420" t="s">
        <v>725</v>
      </c>
      <c r="B420" t="s">
        <v>21</v>
      </c>
      <c r="C420" t="s">
        <v>45</v>
      </c>
      <c r="D420">
        <v>11</v>
      </c>
      <c r="E420">
        <v>20000</v>
      </c>
      <c r="F420" t="s">
        <v>253</v>
      </c>
      <c r="G420" s="2">
        <v>46097</v>
      </c>
      <c r="H420">
        <v>0</v>
      </c>
    </row>
    <row r="421" spans="1:8" x14ac:dyDescent="0.2">
      <c r="A421" t="s">
        <v>726</v>
      </c>
      <c r="B421" t="s">
        <v>25</v>
      </c>
      <c r="C421" t="s">
        <v>39</v>
      </c>
      <c r="D421">
        <v>10</v>
      </c>
      <c r="E421">
        <v>12000</v>
      </c>
      <c r="F421" t="s">
        <v>664</v>
      </c>
      <c r="G421" s="2">
        <v>46196</v>
      </c>
      <c r="H421">
        <v>0</v>
      </c>
    </row>
    <row r="422" spans="1:8" x14ac:dyDescent="0.2">
      <c r="A422" t="s">
        <v>727</v>
      </c>
      <c r="B422" t="s">
        <v>14</v>
      </c>
      <c r="C422" t="s">
        <v>18</v>
      </c>
      <c r="D422" t="s">
        <v>11</v>
      </c>
      <c r="E422">
        <v>50000</v>
      </c>
      <c r="F422" t="s">
        <v>246</v>
      </c>
      <c r="G422" s="2">
        <v>46170</v>
      </c>
      <c r="H422">
        <v>4</v>
      </c>
    </row>
    <row r="423" spans="1:8" x14ac:dyDescent="0.2">
      <c r="A423" t="s">
        <v>728</v>
      </c>
      <c r="B423" t="s">
        <v>25</v>
      </c>
      <c r="C423" t="s">
        <v>10</v>
      </c>
      <c r="D423">
        <v>7</v>
      </c>
      <c r="E423">
        <v>15000</v>
      </c>
      <c r="F423" t="s">
        <v>90</v>
      </c>
      <c r="G423" s="2">
        <v>46095</v>
      </c>
      <c r="H423" t="s">
        <v>55</v>
      </c>
    </row>
    <row r="424" spans="1:8" x14ac:dyDescent="0.2">
      <c r="A424" t="s">
        <v>729</v>
      </c>
      <c r="B424" t="s">
        <v>25</v>
      </c>
      <c r="C424" t="s">
        <v>10</v>
      </c>
      <c r="D424">
        <v>4</v>
      </c>
      <c r="E424">
        <v>15000</v>
      </c>
      <c r="F424" t="s">
        <v>730</v>
      </c>
      <c r="G424" s="2">
        <v>46077</v>
      </c>
      <c r="H424">
        <v>0</v>
      </c>
    </row>
    <row r="425" spans="1:8" x14ac:dyDescent="0.2">
      <c r="A425" t="s">
        <v>731</v>
      </c>
      <c r="B425" t="s">
        <v>14</v>
      </c>
      <c r="C425" t="s">
        <v>10</v>
      </c>
      <c r="D425">
        <v>16</v>
      </c>
      <c r="E425">
        <v>15000</v>
      </c>
      <c r="F425" t="s">
        <v>732</v>
      </c>
      <c r="G425" s="2">
        <v>46148</v>
      </c>
      <c r="H425">
        <v>2</v>
      </c>
    </row>
    <row r="426" spans="1:8" x14ac:dyDescent="0.2">
      <c r="A426" t="s">
        <v>733</v>
      </c>
      <c r="B426" t="s">
        <v>21</v>
      </c>
      <c r="C426" t="s">
        <v>26</v>
      </c>
      <c r="D426">
        <v>1</v>
      </c>
      <c r="E426">
        <v>20000</v>
      </c>
      <c r="F426" t="s">
        <v>554</v>
      </c>
      <c r="G426" s="2">
        <v>46054</v>
      </c>
      <c r="H426">
        <v>1</v>
      </c>
    </row>
    <row r="427" spans="1:8" x14ac:dyDescent="0.2">
      <c r="A427" t="s">
        <v>734</v>
      </c>
      <c r="B427" t="s">
        <v>25</v>
      </c>
      <c r="C427" t="s">
        <v>39</v>
      </c>
      <c r="D427">
        <v>25</v>
      </c>
      <c r="E427">
        <v>6000</v>
      </c>
      <c r="F427" t="s">
        <v>646</v>
      </c>
      <c r="G427" s="2">
        <v>46098</v>
      </c>
      <c r="H427">
        <v>0</v>
      </c>
    </row>
    <row r="428" spans="1:8" x14ac:dyDescent="0.2">
      <c r="A428" t="s">
        <v>735</v>
      </c>
      <c r="B428" t="s">
        <v>14</v>
      </c>
      <c r="C428" t="s">
        <v>39</v>
      </c>
      <c r="D428" t="s">
        <v>11</v>
      </c>
      <c r="E428">
        <v>12000</v>
      </c>
      <c r="F428" t="s">
        <v>719</v>
      </c>
      <c r="G428" s="2">
        <v>46110</v>
      </c>
      <c r="H428">
        <v>0</v>
      </c>
    </row>
    <row r="429" spans="1:8" x14ac:dyDescent="0.2">
      <c r="A429" t="s">
        <v>736</v>
      </c>
      <c r="B429" t="s">
        <v>9</v>
      </c>
      <c r="C429" t="s">
        <v>10</v>
      </c>
      <c r="D429">
        <v>13</v>
      </c>
      <c r="E429">
        <v>15000</v>
      </c>
      <c r="F429" t="s">
        <v>121</v>
      </c>
      <c r="G429" s="2">
        <v>46184</v>
      </c>
      <c r="H429">
        <v>0</v>
      </c>
    </row>
    <row r="430" spans="1:8" x14ac:dyDescent="0.2">
      <c r="A430" t="s">
        <v>737</v>
      </c>
      <c r="B430" t="s">
        <v>21</v>
      </c>
      <c r="C430" t="s">
        <v>39</v>
      </c>
      <c r="D430">
        <v>12</v>
      </c>
      <c r="E430">
        <v>12000</v>
      </c>
      <c r="F430" t="s">
        <v>565</v>
      </c>
      <c r="G430" s="2">
        <v>46198</v>
      </c>
      <c r="H430">
        <v>0</v>
      </c>
    </row>
    <row r="431" spans="1:8" x14ac:dyDescent="0.2">
      <c r="A431" t="s">
        <v>738</v>
      </c>
      <c r="B431" t="s">
        <v>25</v>
      </c>
      <c r="C431" t="s">
        <v>18</v>
      </c>
      <c r="D431">
        <v>16</v>
      </c>
      <c r="E431">
        <v>50000</v>
      </c>
      <c r="F431" t="s">
        <v>48</v>
      </c>
      <c r="G431" s="2">
        <v>46111</v>
      </c>
      <c r="H431">
        <v>0</v>
      </c>
    </row>
    <row r="432" spans="1:8" x14ac:dyDescent="0.2">
      <c r="A432" t="s">
        <v>739</v>
      </c>
      <c r="B432" t="s">
        <v>14</v>
      </c>
      <c r="C432" t="s">
        <v>10</v>
      </c>
      <c r="D432">
        <v>10</v>
      </c>
      <c r="E432">
        <v>15000</v>
      </c>
      <c r="F432" t="s">
        <v>740</v>
      </c>
      <c r="G432" s="2">
        <v>46169</v>
      </c>
      <c r="H432">
        <v>4</v>
      </c>
    </row>
    <row r="433" spans="1:8" x14ac:dyDescent="0.2">
      <c r="A433" t="s">
        <v>741</v>
      </c>
      <c r="B433" t="s">
        <v>14</v>
      </c>
      <c r="C433" t="s">
        <v>39</v>
      </c>
      <c r="D433">
        <v>1</v>
      </c>
      <c r="E433">
        <v>12000</v>
      </c>
      <c r="F433" t="s">
        <v>84</v>
      </c>
      <c r="G433" s="2">
        <v>46171</v>
      </c>
      <c r="H433">
        <v>0</v>
      </c>
    </row>
    <row r="434" spans="1:8" x14ac:dyDescent="0.2">
      <c r="A434" t="s">
        <v>742</v>
      </c>
      <c r="B434" t="s">
        <v>21</v>
      </c>
      <c r="C434" t="s">
        <v>18</v>
      </c>
      <c r="D434">
        <v>9</v>
      </c>
      <c r="E434">
        <v>50000</v>
      </c>
      <c r="F434" t="s">
        <v>211</v>
      </c>
      <c r="G434" s="2">
        <v>46174</v>
      </c>
      <c r="H434">
        <v>0</v>
      </c>
    </row>
    <row r="435" spans="1:8" x14ac:dyDescent="0.2">
      <c r="A435" t="s">
        <v>743</v>
      </c>
      <c r="B435" t="s">
        <v>25</v>
      </c>
      <c r="C435" t="s">
        <v>39</v>
      </c>
      <c r="D435">
        <v>15</v>
      </c>
      <c r="E435">
        <v>12000</v>
      </c>
      <c r="F435" t="s">
        <v>579</v>
      </c>
      <c r="G435" s="2">
        <v>46050</v>
      </c>
      <c r="H435">
        <v>0</v>
      </c>
    </row>
    <row r="436" spans="1:8" x14ac:dyDescent="0.2">
      <c r="A436" t="s">
        <v>744</v>
      </c>
      <c r="B436" t="s">
        <v>21</v>
      </c>
      <c r="C436" t="s">
        <v>18</v>
      </c>
      <c r="D436" t="s">
        <v>29</v>
      </c>
      <c r="E436">
        <v>50000</v>
      </c>
      <c r="G436" s="2">
        <v>46085</v>
      </c>
      <c r="H436">
        <v>0</v>
      </c>
    </row>
    <row r="437" spans="1:8" x14ac:dyDescent="0.2">
      <c r="A437" t="s">
        <v>745</v>
      </c>
      <c r="B437" t="s">
        <v>14</v>
      </c>
      <c r="C437" t="s">
        <v>22</v>
      </c>
      <c r="D437">
        <v>24</v>
      </c>
      <c r="E437">
        <v>35000</v>
      </c>
      <c r="F437" t="s">
        <v>211</v>
      </c>
      <c r="G437" s="2">
        <v>46171</v>
      </c>
      <c r="H437">
        <v>0</v>
      </c>
    </row>
    <row r="438" spans="1:8" x14ac:dyDescent="0.2">
      <c r="A438" t="s">
        <v>746</v>
      </c>
      <c r="B438" t="s">
        <v>14</v>
      </c>
      <c r="C438" t="s">
        <v>26</v>
      </c>
      <c r="D438">
        <v>24</v>
      </c>
      <c r="E438">
        <v>20000</v>
      </c>
      <c r="F438" t="s">
        <v>414</v>
      </c>
      <c r="G438" s="2">
        <v>46150</v>
      </c>
      <c r="H438">
        <v>0</v>
      </c>
    </row>
    <row r="439" spans="1:8" x14ac:dyDescent="0.2">
      <c r="A439" t="s">
        <v>747</v>
      </c>
      <c r="B439" t="s">
        <v>25</v>
      </c>
      <c r="C439" t="s">
        <v>22</v>
      </c>
      <c r="D439">
        <v>1</v>
      </c>
      <c r="E439">
        <v>35000</v>
      </c>
      <c r="F439" t="s">
        <v>748</v>
      </c>
      <c r="G439" s="2">
        <v>46182</v>
      </c>
      <c r="H439">
        <v>0</v>
      </c>
    </row>
    <row r="440" spans="1:8" x14ac:dyDescent="0.2">
      <c r="A440" t="s">
        <v>749</v>
      </c>
      <c r="B440" t="s">
        <v>9</v>
      </c>
      <c r="C440" t="s">
        <v>32</v>
      </c>
      <c r="D440">
        <v>23</v>
      </c>
      <c r="E440">
        <v>8000</v>
      </c>
      <c r="F440" t="s">
        <v>308</v>
      </c>
      <c r="G440" s="2">
        <v>46069</v>
      </c>
      <c r="H440">
        <v>0</v>
      </c>
    </row>
    <row r="441" spans="1:8" x14ac:dyDescent="0.2">
      <c r="A441" t="s">
        <v>750</v>
      </c>
      <c r="B441" t="s">
        <v>14</v>
      </c>
      <c r="C441" t="s">
        <v>45</v>
      </c>
      <c r="D441" t="s">
        <v>11</v>
      </c>
      <c r="E441">
        <v>20000</v>
      </c>
      <c r="F441" t="s">
        <v>535</v>
      </c>
      <c r="G441" s="2">
        <v>46156</v>
      </c>
      <c r="H441">
        <v>0</v>
      </c>
    </row>
    <row r="442" spans="1:8" x14ac:dyDescent="0.2">
      <c r="A442" t="s">
        <v>751</v>
      </c>
      <c r="B442" t="s">
        <v>21</v>
      </c>
      <c r="C442" t="s">
        <v>18</v>
      </c>
      <c r="D442">
        <v>3</v>
      </c>
      <c r="E442">
        <v>50000</v>
      </c>
      <c r="F442" t="s">
        <v>752</v>
      </c>
      <c r="G442" s="2">
        <v>46107</v>
      </c>
      <c r="H442">
        <v>0</v>
      </c>
    </row>
    <row r="443" spans="1:8" x14ac:dyDescent="0.2">
      <c r="A443" t="s">
        <v>753</v>
      </c>
      <c r="B443" t="s">
        <v>25</v>
      </c>
      <c r="C443" t="s">
        <v>22</v>
      </c>
      <c r="D443">
        <v>17</v>
      </c>
      <c r="E443">
        <v>35000</v>
      </c>
      <c r="F443" t="s">
        <v>255</v>
      </c>
      <c r="G443" s="2">
        <v>46116</v>
      </c>
      <c r="H443">
        <v>0</v>
      </c>
    </row>
    <row r="444" spans="1:8" x14ac:dyDescent="0.2">
      <c r="A444" t="s">
        <v>754</v>
      </c>
      <c r="B444" t="s">
        <v>25</v>
      </c>
      <c r="C444" t="s">
        <v>10</v>
      </c>
      <c r="D444">
        <v>18</v>
      </c>
      <c r="E444">
        <v>15000</v>
      </c>
      <c r="F444" t="s">
        <v>30</v>
      </c>
      <c r="G444" s="2">
        <v>46038</v>
      </c>
      <c r="H444">
        <v>0</v>
      </c>
    </row>
    <row r="445" spans="1:8" x14ac:dyDescent="0.2">
      <c r="A445" t="s">
        <v>755</v>
      </c>
      <c r="B445" t="s">
        <v>25</v>
      </c>
      <c r="C445" t="s">
        <v>45</v>
      </c>
      <c r="D445">
        <v>8</v>
      </c>
      <c r="E445">
        <v>20000</v>
      </c>
      <c r="F445" t="s">
        <v>280</v>
      </c>
      <c r="G445" s="2">
        <v>46198</v>
      </c>
      <c r="H445">
        <v>0</v>
      </c>
    </row>
    <row r="446" spans="1:8" x14ac:dyDescent="0.2">
      <c r="A446" t="s">
        <v>756</v>
      </c>
      <c r="B446" t="s">
        <v>14</v>
      </c>
      <c r="C446" t="s">
        <v>681</v>
      </c>
      <c r="D446">
        <v>24</v>
      </c>
      <c r="E446">
        <v>50000</v>
      </c>
      <c r="F446" t="s">
        <v>474</v>
      </c>
      <c r="G446" s="2">
        <v>46057</v>
      </c>
      <c r="H446">
        <v>1</v>
      </c>
    </row>
    <row r="447" spans="1:8" x14ac:dyDescent="0.2">
      <c r="A447" t="s">
        <v>757</v>
      </c>
      <c r="B447" t="s">
        <v>21</v>
      </c>
      <c r="C447" t="s">
        <v>22</v>
      </c>
      <c r="D447">
        <v>24</v>
      </c>
      <c r="E447" t="s">
        <v>11</v>
      </c>
      <c r="F447" t="s">
        <v>80</v>
      </c>
      <c r="G447" s="2">
        <v>46149</v>
      </c>
      <c r="H447">
        <v>1</v>
      </c>
    </row>
    <row r="448" spans="1:8" x14ac:dyDescent="0.2">
      <c r="A448" t="s">
        <v>758</v>
      </c>
      <c r="B448" t="s">
        <v>25</v>
      </c>
      <c r="C448" t="s">
        <v>26</v>
      </c>
      <c r="D448">
        <v>1</v>
      </c>
      <c r="E448">
        <v>20000</v>
      </c>
      <c r="F448" t="s">
        <v>449</v>
      </c>
      <c r="G448" s="2">
        <v>46091</v>
      </c>
      <c r="H448">
        <v>0</v>
      </c>
    </row>
    <row r="449" spans="1:8" x14ac:dyDescent="0.2">
      <c r="A449" t="s">
        <v>759</v>
      </c>
      <c r="B449" t="s">
        <v>25</v>
      </c>
      <c r="C449" t="s">
        <v>39</v>
      </c>
      <c r="D449">
        <v>19</v>
      </c>
      <c r="E449">
        <v>12000</v>
      </c>
      <c r="F449" t="s">
        <v>760</v>
      </c>
      <c r="G449" s="2">
        <v>46109</v>
      </c>
      <c r="H449">
        <v>0</v>
      </c>
    </row>
    <row r="450" spans="1:8" x14ac:dyDescent="0.2">
      <c r="A450" t="s">
        <v>761</v>
      </c>
      <c r="B450" t="s">
        <v>25</v>
      </c>
      <c r="C450" t="s">
        <v>22</v>
      </c>
      <c r="D450">
        <v>25</v>
      </c>
      <c r="E450">
        <v>35000</v>
      </c>
      <c r="F450" t="s">
        <v>683</v>
      </c>
      <c r="G450" t="s">
        <v>762</v>
      </c>
      <c r="H450">
        <v>0</v>
      </c>
    </row>
    <row r="451" spans="1:8" x14ac:dyDescent="0.2">
      <c r="A451" t="s">
        <v>763</v>
      </c>
      <c r="B451" t="s">
        <v>21</v>
      </c>
      <c r="C451" t="s">
        <v>130</v>
      </c>
      <c r="D451">
        <v>13</v>
      </c>
      <c r="E451">
        <v>20000</v>
      </c>
      <c r="F451" t="s">
        <v>400</v>
      </c>
      <c r="G451" s="2">
        <v>46166</v>
      </c>
      <c r="H451">
        <v>2</v>
      </c>
    </row>
    <row r="452" spans="1:8" x14ac:dyDescent="0.2">
      <c r="A452" t="s">
        <v>764</v>
      </c>
      <c r="B452" t="s">
        <v>9</v>
      </c>
      <c r="C452" t="s">
        <v>765</v>
      </c>
      <c r="D452">
        <v>6</v>
      </c>
      <c r="E452">
        <v>35000</v>
      </c>
      <c r="F452" t="s">
        <v>274</v>
      </c>
      <c r="G452" s="2">
        <v>46202</v>
      </c>
      <c r="H452">
        <v>0</v>
      </c>
    </row>
    <row r="453" spans="1:8" x14ac:dyDescent="0.2">
      <c r="A453" t="s">
        <v>766</v>
      </c>
      <c r="B453" t="s">
        <v>25</v>
      </c>
      <c r="C453" t="s">
        <v>45</v>
      </c>
      <c r="D453" t="s">
        <v>11</v>
      </c>
      <c r="E453">
        <v>20000</v>
      </c>
      <c r="F453" t="s">
        <v>767</v>
      </c>
      <c r="G453" s="2">
        <v>46041</v>
      </c>
      <c r="H453">
        <v>0</v>
      </c>
    </row>
    <row r="454" spans="1:8" x14ac:dyDescent="0.2">
      <c r="A454" t="s">
        <v>768</v>
      </c>
      <c r="B454" t="s">
        <v>21</v>
      </c>
      <c r="C454" t="s">
        <v>70</v>
      </c>
      <c r="D454">
        <v>19</v>
      </c>
      <c r="E454">
        <v>28000</v>
      </c>
      <c r="F454" t="s">
        <v>276</v>
      </c>
      <c r="G454" s="2">
        <v>46042</v>
      </c>
      <c r="H454">
        <v>0</v>
      </c>
    </row>
    <row r="455" spans="1:8" x14ac:dyDescent="0.2">
      <c r="A455" t="s">
        <v>769</v>
      </c>
      <c r="B455" t="s">
        <v>21</v>
      </c>
      <c r="C455" t="s">
        <v>70</v>
      </c>
      <c r="D455">
        <v>14</v>
      </c>
      <c r="E455">
        <v>28000</v>
      </c>
      <c r="F455" t="s">
        <v>770</v>
      </c>
      <c r="G455" s="2">
        <v>46195</v>
      </c>
      <c r="H455">
        <v>0</v>
      </c>
    </row>
    <row r="456" spans="1:8" x14ac:dyDescent="0.2">
      <c r="A456" t="s">
        <v>771</v>
      </c>
      <c r="B456" t="s">
        <v>9</v>
      </c>
      <c r="C456" t="s">
        <v>70</v>
      </c>
      <c r="D456">
        <v>4</v>
      </c>
      <c r="E456">
        <v>28000</v>
      </c>
      <c r="F456" t="s">
        <v>474</v>
      </c>
      <c r="G456" s="2">
        <v>46202</v>
      </c>
      <c r="H456">
        <v>0</v>
      </c>
    </row>
    <row r="457" spans="1:8" x14ac:dyDescent="0.2">
      <c r="A457" t="s">
        <v>772</v>
      </c>
      <c r="B457" t="s">
        <v>25</v>
      </c>
      <c r="C457" t="s">
        <v>10</v>
      </c>
      <c r="D457">
        <v>24</v>
      </c>
      <c r="E457">
        <v>15000</v>
      </c>
      <c r="F457" t="s">
        <v>773</v>
      </c>
      <c r="G457" s="2">
        <v>46035</v>
      </c>
      <c r="H457">
        <v>0</v>
      </c>
    </row>
    <row r="458" spans="1:8" x14ac:dyDescent="0.2">
      <c r="A458" t="s">
        <v>774</v>
      </c>
      <c r="B458" t="s">
        <v>14</v>
      </c>
      <c r="C458" t="s">
        <v>39</v>
      </c>
      <c r="D458">
        <v>14</v>
      </c>
      <c r="E458">
        <v>12000</v>
      </c>
      <c r="F458" t="s">
        <v>572</v>
      </c>
      <c r="G458" s="2">
        <v>46058</v>
      </c>
      <c r="H458">
        <v>0</v>
      </c>
    </row>
    <row r="459" spans="1:8" x14ac:dyDescent="0.2">
      <c r="A459" t="s">
        <v>775</v>
      </c>
      <c r="B459" t="s">
        <v>9</v>
      </c>
      <c r="C459" t="s">
        <v>10</v>
      </c>
      <c r="D459">
        <v>18</v>
      </c>
      <c r="E459">
        <v>15000</v>
      </c>
      <c r="F459" t="s">
        <v>776</v>
      </c>
      <c r="G459" s="2">
        <v>46070</v>
      </c>
      <c r="H459">
        <v>0</v>
      </c>
    </row>
    <row r="460" spans="1:8" x14ac:dyDescent="0.2">
      <c r="A460" t="s">
        <v>777</v>
      </c>
      <c r="B460" t="s">
        <v>25</v>
      </c>
      <c r="C460" t="s">
        <v>32</v>
      </c>
      <c r="D460" t="s">
        <v>492</v>
      </c>
      <c r="E460">
        <v>8000</v>
      </c>
      <c r="F460" t="s">
        <v>719</v>
      </c>
      <c r="G460" s="2">
        <v>46118</v>
      </c>
      <c r="H460">
        <v>0</v>
      </c>
    </row>
    <row r="461" spans="1:8" x14ac:dyDescent="0.2">
      <c r="A461" t="s">
        <v>778</v>
      </c>
      <c r="B461" t="s">
        <v>25</v>
      </c>
      <c r="C461" t="s">
        <v>18</v>
      </c>
      <c r="D461">
        <v>5</v>
      </c>
      <c r="E461">
        <v>50000</v>
      </c>
      <c r="F461" t="s">
        <v>474</v>
      </c>
      <c r="G461" s="2">
        <v>46046</v>
      </c>
      <c r="H461">
        <v>0</v>
      </c>
    </row>
    <row r="462" spans="1:8" x14ac:dyDescent="0.2">
      <c r="A462" t="s">
        <v>779</v>
      </c>
      <c r="B462" t="s">
        <v>25</v>
      </c>
      <c r="C462" t="s">
        <v>10</v>
      </c>
      <c r="D462">
        <v>1</v>
      </c>
      <c r="E462">
        <v>15000</v>
      </c>
      <c r="F462" t="s">
        <v>337</v>
      </c>
      <c r="G462" s="2">
        <v>46104</v>
      </c>
      <c r="H462">
        <v>0</v>
      </c>
    </row>
    <row r="463" spans="1:8" x14ac:dyDescent="0.2">
      <c r="A463" t="s">
        <v>780</v>
      </c>
      <c r="B463" t="s">
        <v>25</v>
      </c>
      <c r="C463" t="s">
        <v>70</v>
      </c>
      <c r="D463">
        <v>5</v>
      </c>
      <c r="E463">
        <v>28000</v>
      </c>
      <c r="F463" t="s">
        <v>203</v>
      </c>
      <c r="G463" s="2">
        <v>46150</v>
      </c>
      <c r="H463">
        <v>0</v>
      </c>
    </row>
    <row r="464" spans="1:8" x14ac:dyDescent="0.2">
      <c r="A464" t="s">
        <v>781</v>
      </c>
      <c r="B464" t="s">
        <v>9</v>
      </c>
      <c r="C464" t="s">
        <v>10</v>
      </c>
      <c r="D464">
        <v>10</v>
      </c>
      <c r="E464">
        <v>15000</v>
      </c>
      <c r="F464" t="s">
        <v>253</v>
      </c>
      <c r="G464" t="s">
        <v>224</v>
      </c>
      <c r="H464">
        <v>0</v>
      </c>
    </row>
    <row r="465" spans="1:8" x14ac:dyDescent="0.2">
      <c r="A465" t="s">
        <v>782</v>
      </c>
      <c r="B465" t="s">
        <v>1407</v>
      </c>
      <c r="C465" t="s">
        <v>22</v>
      </c>
      <c r="D465">
        <v>300</v>
      </c>
      <c r="E465" t="s">
        <v>11</v>
      </c>
      <c r="F465" t="s">
        <v>12</v>
      </c>
      <c r="G465" s="2">
        <v>46073</v>
      </c>
      <c r="H465">
        <v>5</v>
      </c>
    </row>
    <row r="466" spans="1:8" x14ac:dyDescent="0.2">
      <c r="A466" t="s">
        <v>783</v>
      </c>
      <c r="B466" t="s">
        <v>25</v>
      </c>
      <c r="C466" t="s">
        <v>26</v>
      </c>
      <c r="D466">
        <v>4</v>
      </c>
      <c r="E466">
        <v>20000</v>
      </c>
      <c r="F466" t="s">
        <v>784</v>
      </c>
      <c r="G466" s="2">
        <v>46127</v>
      </c>
      <c r="H466">
        <v>0</v>
      </c>
    </row>
    <row r="467" spans="1:8" x14ac:dyDescent="0.2">
      <c r="A467" t="s">
        <v>785</v>
      </c>
      <c r="B467" t="s">
        <v>14</v>
      </c>
      <c r="C467" t="s">
        <v>18</v>
      </c>
      <c r="D467">
        <v>23</v>
      </c>
      <c r="E467">
        <v>50000</v>
      </c>
      <c r="F467" t="s">
        <v>236</v>
      </c>
      <c r="G467" s="2">
        <v>46182</v>
      </c>
      <c r="H467">
        <v>0</v>
      </c>
    </row>
    <row r="468" spans="1:8" x14ac:dyDescent="0.2">
      <c r="A468" t="s">
        <v>786</v>
      </c>
      <c r="B468" t="s">
        <v>14</v>
      </c>
      <c r="C468" t="s">
        <v>32</v>
      </c>
      <c r="D468">
        <v>22</v>
      </c>
      <c r="E468">
        <v>8000</v>
      </c>
      <c r="F468" t="s">
        <v>464</v>
      </c>
      <c r="G468" s="2">
        <v>46130</v>
      </c>
      <c r="H468" t="s">
        <v>55</v>
      </c>
    </row>
    <row r="469" spans="1:8" x14ac:dyDescent="0.2">
      <c r="A469" t="s">
        <v>787</v>
      </c>
      <c r="B469" t="s">
        <v>9</v>
      </c>
      <c r="C469" t="s">
        <v>26</v>
      </c>
      <c r="D469">
        <v>4</v>
      </c>
      <c r="E469">
        <v>20000</v>
      </c>
      <c r="F469" t="s">
        <v>274</v>
      </c>
      <c r="G469" t="s">
        <v>224</v>
      </c>
      <c r="H469">
        <v>0</v>
      </c>
    </row>
    <row r="470" spans="1:8" x14ac:dyDescent="0.2">
      <c r="A470" t="s">
        <v>788</v>
      </c>
      <c r="B470" t="s">
        <v>21</v>
      </c>
      <c r="C470" t="s">
        <v>70</v>
      </c>
      <c r="D470">
        <v>13</v>
      </c>
      <c r="E470">
        <v>28000</v>
      </c>
      <c r="F470" t="s">
        <v>789</v>
      </c>
      <c r="G470" s="2">
        <v>46160</v>
      </c>
      <c r="H470">
        <v>0</v>
      </c>
    </row>
    <row r="471" spans="1:8" x14ac:dyDescent="0.2">
      <c r="A471" t="s">
        <v>790</v>
      </c>
      <c r="B471" t="s">
        <v>9</v>
      </c>
      <c r="C471" t="s">
        <v>26</v>
      </c>
      <c r="D471">
        <v>18</v>
      </c>
      <c r="E471">
        <v>20000</v>
      </c>
      <c r="F471" t="s">
        <v>692</v>
      </c>
      <c r="G471" s="2">
        <v>46024</v>
      </c>
      <c r="H471">
        <v>0</v>
      </c>
    </row>
    <row r="472" spans="1:8" x14ac:dyDescent="0.2">
      <c r="A472" t="s">
        <v>791</v>
      </c>
      <c r="B472" t="s">
        <v>25</v>
      </c>
      <c r="C472" t="s">
        <v>32</v>
      </c>
      <c r="D472">
        <v>1</v>
      </c>
      <c r="E472">
        <v>8000</v>
      </c>
      <c r="F472" t="s">
        <v>400</v>
      </c>
      <c r="G472" s="2">
        <v>46092</v>
      </c>
      <c r="H472">
        <v>0</v>
      </c>
    </row>
    <row r="473" spans="1:8" x14ac:dyDescent="0.2">
      <c r="A473" t="s">
        <v>792</v>
      </c>
      <c r="B473" t="s">
        <v>21</v>
      </c>
      <c r="C473" t="s">
        <v>793</v>
      </c>
      <c r="D473">
        <v>18</v>
      </c>
      <c r="E473">
        <v>8000</v>
      </c>
      <c r="F473" t="s">
        <v>68</v>
      </c>
      <c r="G473" s="2">
        <v>46090</v>
      </c>
      <c r="H473">
        <v>0</v>
      </c>
    </row>
    <row r="474" spans="1:8" x14ac:dyDescent="0.2">
      <c r="A474" t="s">
        <v>794</v>
      </c>
      <c r="B474" t="s">
        <v>25</v>
      </c>
      <c r="C474" t="s">
        <v>26</v>
      </c>
      <c r="D474">
        <v>19</v>
      </c>
      <c r="E474">
        <v>20000</v>
      </c>
      <c r="F474" t="s">
        <v>795</v>
      </c>
      <c r="G474" s="2">
        <v>46093</v>
      </c>
      <c r="H474">
        <v>0</v>
      </c>
    </row>
    <row r="475" spans="1:8" x14ac:dyDescent="0.2">
      <c r="A475" t="s">
        <v>796</v>
      </c>
      <c r="B475" t="s">
        <v>9</v>
      </c>
      <c r="C475" t="s">
        <v>70</v>
      </c>
      <c r="D475">
        <v>15</v>
      </c>
      <c r="E475">
        <v>28000</v>
      </c>
      <c r="F475" t="s">
        <v>449</v>
      </c>
      <c r="G475" s="2">
        <v>46157</v>
      </c>
      <c r="H475">
        <v>2</v>
      </c>
    </row>
    <row r="476" spans="1:8" x14ac:dyDescent="0.2">
      <c r="A476" t="s">
        <v>797</v>
      </c>
      <c r="B476" t="s">
        <v>14</v>
      </c>
      <c r="C476" t="s">
        <v>18</v>
      </c>
      <c r="D476">
        <v>1</v>
      </c>
      <c r="E476">
        <v>50000</v>
      </c>
      <c r="F476" t="s">
        <v>748</v>
      </c>
      <c r="G476" s="2">
        <v>46042</v>
      </c>
      <c r="H476">
        <v>0</v>
      </c>
    </row>
    <row r="477" spans="1:8" x14ac:dyDescent="0.2">
      <c r="A477" t="s">
        <v>798</v>
      </c>
      <c r="B477" t="s">
        <v>9</v>
      </c>
      <c r="C477" t="s">
        <v>39</v>
      </c>
      <c r="D477">
        <v>15</v>
      </c>
      <c r="E477">
        <v>12000</v>
      </c>
      <c r="F477" t="s">
        <v>263</v>
      </c>
      <c r="G477" s="2">
        <v>46042</v>
      </c>
      <c r="H477">
        <v>0</v>
      </c>
    </row>
    <row r="478" spans="1:8" x14ac:dyDescent="0.2">
      <c r="A478" t="s">
        <v>799</v>
      </c>
      <c r="B478" t="s">
        <v>21</v>
      </c>
      <c r="C478" t="s">
        <v>26</v>
      </c>
      <c r="D478">
        <v>5</v>
      </c>
      <c r="E478">
        <v>20000</v>
      </c>
      <c r="F478" t="s">
        <v>272</v>
      </c>
      <c r="G478" s="2">
        <v>46143</v>
      </c>
      <c r="H478">
        <v>0</v>
      </c>
    </row>
    <row r="479" spans="1:8" x14ac:dyDescent="0.2">
      <c r="A479" t="s">
        <v>800</v>
      </c>
      <c r="B479" t="s">
        <v>25</v>
      </c>
      <c r="C479" t="s">
        <v>32</v>
      </c>
      <c r="D479">
        <v>23</v>
      </c>
      <c r="E479">
        <v>8000</v>
      </c>
      <c r="F479" t="s">
        <v>416</v>
      </c>
      <c r="G479" s="2">
        <v>46029</v>
      </c>
      <c r="H479">
        <v>0</v>
      </c>
    </row>
    <row r="480" spans="1:8" x14ac:dyDescent="0.2">
      <c r="A480" t="s">
        <v>801</v>
      </c>
      <c r="B480" t="s">
        <v>21</v>
      </c>
      <c r="C480" t="s">
        <v>39</v>
      </c>
      <c r="D480">
        <v>15</v>
      </c>
      <c r="E480">
        <v>12000</v>
      </c>
      <c r="F480" t="s">
        <v>802</v>
      </c>
      <c r="G480" s="2">
        <v>46201</v>
      </c>
      <c r="H480">
        <v>0</v>
      </c>
    </row>
    <row r="481" spans="1:8" x14ac:dyDescent="0.2">
      <c r="A481" t="s">
        <v>803</v>
      </c>
      <c r="B481" t="s">
        <v>21</v>
      </c>
      <c r="C481" t="s">
        <v>26</v>
      </c>
      <c r="D481">
        <v>15</v>
      </c>
      <c r="E481">
        <v>20000</v>
      </c>
      <c r="F481" t="s">
        <v>642</v>
      </c>
      <c r="G481" s="2">
        <v>46130</v>
      </c>
      <c r="H481">
        <v>0</v>
      </c>
    </row>
    <row r="482" spans="1:8" x14ac:dyDescent="0.2">
      <c r="A482" t="s">
        <v>804</v>
      </c>
      <c r="B482" t="s">
        <v>21</v>
      </c>
      <c r="C482" t="s">
        <v>22</v>
      </c>
      <c r="D482">
        <v>4</v>
      </c>
      <c r="E482">
        <v>35000</v>
      </c>
      <c r="F482" t="s">
        <v>805</v>
      </c>
      <c r="G482" s="2">
        <v>46125</v>
      </c>
      <c r="H482">
        <v>0</v>
      </c>
    </row>
    <row r="483" spans="1:8" x14ac:dyDescent="0.2">
      <c r="A483" t="s">
        <v>806</v>
      </c>
      <c r="B483" t="s">
        <v>25</v>
      </c>
      <c r="C483" t="s">
        <v>70</v>
      </c>
      <c r="D483">
        <v>1</v>
      </c>
      <c r="E483">
        <v>28000</v>
      </c>
      <c r="G483" s="2">
        <v>46070</v>
      </c>
      <c r="H483">
        <v>1</v>
      </c>
    </row>
    <row r="484" spans="1:8" x14ac:dyDescent="0.2">
      <c r="A484" t="s">
        <v>807</v>
      </c>
      <c r="B484" t="s">
        <v>25</v>
      </c>
      <c r="C484" t="s">
        <v>32</v>
      </c>
      <c r="D484">
        <v>20</v>
      </c>
      <c r="E484">
        <v>8000</v>
      </c>
      <c r="F484" t="s">
        <v>140</v>
      </c>
      <c r="G484" s="2">
        <v>46065</v>
      </c>
      <c r="H484">
        <v>0</v>
      </c>
    </row>
    <row r="485" spans="1:8" x14ac:dyDescent="0.2">
      <c r="A485" t="s">
        <v>808</v>
      </c>
      <c r="B485" t="s">
        <v>25</v>
      </c>
      <c r="C485" t="s">
        <v>32</v>
      </c>
      <c r="D485">
        <v>4</v>
      </c>
      <c r="E485">
        <v>8000</v>
      </c>
      <c r="F485" t="s">
        <v>809</v>
      </c>
      <c r="G485" s="2">
        <v>46114</v>
      </c>
      <c r="H485">
        <v>0</v>
      </c>
    </row>
    <row r="486" spans="1:8" x14ac:dyDescent="0.2">
      <c r="A486" t="s">
        <v>810</v>
      </c>
      <c r="B486" t="s">
        <v>25</v>
      </c>
      <c r="C486" t="s">
        <v>10</v>
      </c>
      <c r="D486">
        <v>18</v>
      </c>
      <c r="E486">
        <v>15000</v>
      </c>
      <c r="F486" t="s">
        <v>599</v>
      </c>
      <c r="G486" s="2">
        <v>46034</v>
      </c>
      <c r="H486">
        <v>3</v>
      </c>
    </row>
    <row r="487" spans="1:8" x14ac:dyDescent="0.2">
      <c r="A487" t="s">
        <v>811</v>
      </c>
      <c r="B487" t="s">
        <v>9</v>
      </c>
      <c r="C487" t="s">
        <v>10</v>
      </c>
      <c r="D487">
        <v>10</v>
      </c>
      <c r="E487">
        <v>15000</v>
      </c>
      <c r="F487" t="s">
        <v>812</v>
      </c>
      <c r="G487" s="2">
        <v>46176</v>
      </c>
      <c r="H487">
        <v>0</v>
      </c>
    </row>
    <row r="488" spans="1:8" x14ac:dyDescent="0.2">
      <c r="A488" t="s">
        <v>813</v>
      </c>
      <c r="B488" t="s">
        <v>25</v>
      </c>
      <c r="C488" t="s">
        <v>70</v>
      </c>
      <c r="D488">
        <v>14</v>
      </c>
      <c r="E488">
        <v>28000</v>
      </c>
      <c r="F488" t="s">
        <v>814</v>
      </c>
      <c r="G488" s="2">
        <v>46093</v>
      </c>
      <c r="H488">
        <v>0</v>
      </c>
    </row>
    <row r="489" spans="1:8" x14ac:dyDescent="0.2">
      <c r="A489" t="s">
        <v>815</v>
      </c>
      <c r="B489" t="s">
        <v>14</v>
      </c>
      <c r="C489" t="s">
        <v>70</v>
      </c>
      <c r="D489">
        <v>22</v>
      </c>
      <c r="E489" t="s">
        <v>659</v>
      </c>
      <c r="F489" t="s">
        <v>816</v>
      </c>
      <c r="G489" s="2">
        <v>46184</v>
      </c>
      <c r="H489">
        <v>0</v>
      </c>
    </row>
    <row r="490" spans="1:8" x14ac:dyDescent="0.2">
      <c r="A490" t="s">
        <v>817</v>
      </c>
      <c r="B490" t="s">
        <v>9</v>
      </c>
      <c r="C490" t="s">
        <v>32</v>
      </c>
      <c r="D490">
        <v>18</v>
      </c>
      <c r="E490">
        <v>8000</v>
      </c>
      <c r="F490" t="s">
        <v>773</v>
      </c>
      <c r="G490" s="2">
        <v>46138</v>
      </c>
      <c r="H490">
        <v>0</v>
      </c>
    </row>
    <row r="491" spans="1:8" x14ac:dyDescent="0.2">
      <c r="A491" t="s">
        <v>818</v>
      </c>
      <c r="B491" t="s">
        <v>25</v>
      </c>
      <c r="C491" t="s">
        <v>70</v>
      </c>
      <c r="D491">
        <v>17</v>
      </c>
      <c r="E491">
        <v>28000</v>
      </c>
      <c r="F491" t="s">
        <v>161</v>
      </c>
      <c r="G491" s="2">
        <v>46145</v>
      </c>
      <c r="H491">
        <v>23</v>
      </c>
    </row>
    <row r="492" spans="1:8" x14ac:dyDescent="0.2">
      <c r="A492" t="s">
        <v>819</v>
      </c>
      <c r="B492" t="s">
        <v>9</v>
      </c>
      <c r="C492" t="s">
        <v>10</v>
      </c>
      <c r="D492">
        <v>10</v>
      </c>
      <c r="E492">
        <v>15000</v>
      </c>
      <c r="F492" t="s">
        <v>820</v>
      </c>
      <c r="G492" s="2">
        <v>46130</v>
      </c>
      <c r="H492">
        <v>2</v>
      </c>
    </row>
    <row r="493" spans="1:8" x14ac:dyDescent="0.2">
      <c r="A493" t="s">
        <v>821</v>
      </c>
      <c r="B493" t="s">
        <v>21</v>
      </c>
      <c r="C493" t="s">
        <v>10</v>
      </c>
      <c r="D493">
        <v>150</v>
      </c>
      <c r="E493">
        <v>15000</v>
      </c>
      <c r="F493" t="s">
        <v>311</v>
      </c>
      <c r="G493" s="2">
        <v>46032</v>
      </c>
      <c r="H493">
        <v>0</v>
      </c>
    </row>
    <row r="494" spans="1:8" x14ac:dyDescent="0.2">
      <c r="A494" t="s">
        <v>822</v>
      </c>
      <c r="B494" t="s">
        <v>21</v>
      </c>
      <c r="C494" t="s">
        <v>18</v>
      </c>
      <c r="D494">
        <v>24</v>
      </c>
      <c r="E494">
        <v>50000</v>
      </c>
      <c r="G494" s="2">
        <v>46132</v>
      </c>
      <c r="H494">
        <v>0</v>
      </c>
    </row>
    <row r="495" spans="1:8" x14ac:dyDescent="0.2">
      <c r="A495" t="s">
        <v>823</v>
      </c>
      <c r="B495" t="s">
        <v>21</v>
      </c>
      <c r="C495" t="s">
        <v>39</v>
      </c>
      <c r="D495">
        <v>7</v>
      </c>
      <c r="E495">
        <v>12000</v>
      </c>
      <c r="F495" t="s">
        <v>493</v>
      </c>
      <c r="G495" s="2">
        <v>46104</v>
      </c>
      <c r="H495">
        <v>0</v>
      </c>
    </row>
    <row r="496" spans="1:8" x14ac:dyDescent="0.2">
      <c r="A496" t="s">
        <v>824</v>
      </c>
      <c r="B496" t="s">
        <v>14</v>
      </c>
      <c r="C496" t="s">
        <v>26</v>
      </c>
      <c r="D496">
        <v>4</v>
      </c>
      <c r="E496">
        <v>20000</v>
      </c>
      <c r="F496" t="s">
        <v>161</v>
      </c>
      <c r="G496" s="2">
        <v>46199</v>
      </c>
      <c r="H496" t="s">
        <v>55</v>
      </c>
    </row>
    <row r="497" spans="1:8" x14ac:dyDescent="0.2">
      <c r="A497" t="s">
        <v>825</v>
      </c>
      <c r="B497" t="s">
        <v>14</v>
      </c>
      <c r="C497" t="s">
        <v>18</v>
      </c>
      <c r="D497">
        <v>9</v>
      </c>
      <c r="E497">
        <v>50000</v>
      </c>
      <c r="F497" t="s">
        <v>331</v>
      </c>
      <c r="G497" s="2">
        <v>46061</v>
      </c>
      <c r="H497">
        <v>0</v>
      </c>
    </row>
    <row r="498" spans="1:8" x14ac:dyDescent="0.2">
      <c r="A498" t="s">
        <v>826</v>
      </c>
      <c r="B498" t="s">
        <v>25</v>
      </c>
      <c r="C498" t="s">
        <v>18</v>
      </c>
      <c r="D498">
        <v>3</v>
      </c>
      <c r="E498">
        <v>50000</v>
      </c>
      <c r="F498" t="s">
        <v>73</v>
      </c>
      <c r="G498" s="2">
        <v>46164</v>
      </c>
      <c r="H498">
        <v>0</v>
      </c>
    </row>
    <row r="499" spans="1:8" x14ac:dyDescent="0.2">
      <c r="A499" t="s">
        <v>827</v>
      </c>
      <c r="B499" t="s">
        <v>21</v>
      </c>
      <c r="C499" t="s">
        <v>18</v>
      </c>
      <c r="D499">
        <v>18</v>
      </c>
      <c r="E499">
        <v>50000</v>
      </c>
      <c r="F499" t="s">
        <v>516</v>
      </c>
      <c r="G499" s="2">
        <v>46140</v>
      </c>
      <c r="H499">
        <v>0</v>
      </c>
    </row>
    <row r="500" spans="1:8" x14ac:dyDescent="0.2">
      <c r="A500" t="s">
        <v>828</v>
      </c>
      <c r="B500" t="s">
        <v>9</v>
      </c>
      <c r="C500" t="s">
        <v>26</v>
      </c>
      <c r="D500">
        <v>22</v>
      </c>
      <c r="E500">
        <v>20000</v>
      </c>
      <c r="F500" t="s">
        <v>829</v>
      </c>
      <c r="G500" s="2">
        <v>46118</v>
      </c>
      <c r="H500">
        <v>0</v>
      </c>
    </row>
    <row r="501" spans="1:8" x14ac:dyDescent="0.2">
      <c r="A501" t="s">
        <v>830</v>
      </c>
      <c r="B501" t="s">
        <v>14</v>
      </c>
      <c r="C501" t="s">
        <v>26</v>
      </c>
      <c r="D501">
        <v>-1</v>
      </c>
      <c r="E501">
        <v>20000</v>
      </c>
      <c r="F501" t="s">
        <v>449</v>
      </c>
      <c r="G501" s="2">
        <v>46069</v>
      </c>
      <c r="H501">
        <v>0</v>
      </c>
    </row>
    <row r="502" spans="1:8" x14ac:dyDescent="0.2">
      <c r="A502" t="s">
        <v>831</v>
      </c>
      <c r="B502" t="s">
        <v>14</v>
      </c>
      <c r="C502" t="s">
        <v>18</v>
      </c>
      <c r="D502">
        <v>8</v>
      </c>
      <c r="E502">
        <v>50000</v>
      </c>
      <c r="F502" t="s">
        <v>692</v>
      </c>
      <c r="G502" s="2">
        <v>46055</v>
      </c>
      <c r="H502">
        <v>0</v>
      </c>
    </row>
    <row r="503" spans="1:8" x14ac:dyDescent="0.2">
      <c r="A503" t="s">
        <v>832</v>
      </c>
      <c r="B503" t="s">
        <v>14</v>
      </c>
      <c r="C503" t="s">
        <v>22</v>
      </c>
      <c r="D503">
        <v>14</v>
      </c>
      <c r="E503">
        <v>35000</v>
      </c>
      <c r="F503" t="s">
        <v>255</v>
      </c>
      <c r="G503" s="2">
        <v>46170</v>
      </c>
      <c r="H503">
        <v>0</v>
      </c>
    </row>
    <row r="504" spans="1:8" x14ac:dyDescent="0.2">
      <c r="A504" t="s">
        <v>833</v>
      </c>
      <c r="B504" t="s">
        <v>25</v>
      </c>
      <c r="C504" t="s">
        <v>70</v>
      </c>
      <c r="D504">
        <v>5</v>
      </c>
      <c r="E504">
        <v>28000</v>
      </c>
      <c r="F504" t="s">
        <v>244</v>
      </c>
      <c r="G504" s="2">
        <v>46050</v>
      </c>
      <c r="H504" t="s">
        <v>834</v>
      </c>
    </row>
    <row r="505" spans="1:8" x14ac:dyDescent="0.2">
      <c r="A505" t="s">
        <v>835</v>
      </c>
      <c r="B505" t="s">
        <v>14</v>
      </c>
      <c r="C505" t="s">
        <v>18</v>
      </c>
      <c r="D505">
        <v>11</v>
      </c>
      <c r="E505">
        <v>50000</v>
      </c>
      <c r="F505" t="s">
        <v>46</v>
      </c>
      <c r="G505" s="2">
        <v>46122</v>
      </c>
      <c r="H505">
        <v>0</v>
      </c>
    </row>
    <row r="506" spans="1:8" x14ac:dyDescent="0.2">
      <c r="A506" t="s">
        <v>836</v>
      </c>
      <c r="B506" t="s">
        <v>9</v>
      </c>
      <c r="C506" t="s">
        <v>18</v>
      </c>
      <c r="D506">
        <v>13</v>
      </c>
      <c r="E506">
        <v>50000</v>
      </c>
      <c r="F506" t="s">
        <v>776</v>
      </c>
      <c r="G506" s="2">
        <v>46122</v>
      </c>
      <c r="H506">
        <v>0</v>
      </c>
    </row>
    <row r="507" spans="1:8" x14ac:dyDescent="0.2">
      <c r="A507" t="s">
        <v>837</v>
      </c>
      <c r="B507" t="s">
        <v>25</v>
      </c>
      <c r="C507" t="s">
        <v>18</v>
      </c>
      <c r="D507">
        <v>18</v>
      </c>
      <c r="E507">
        <v>50000</v>
      </c>
      <c r="F507" t="s">
        <v>838</v>
      </c>
      <c r="G507" s="2">
        <v>46123</v>
      </c>
      <c r="H507">
        <v>0</v>
      </c>
    </row>
    <row r="508" spans="1:8" x14ac:dyDescent="0.2">
      <c r="A508" t="s">
        <v>839</v>
      </c>
      <c r="B508" t="s">
        <v>14</v>
      </c>
      <c r="C508" t="s">
        <v>32</v>
      </c>
      <c r="D508">
        <v>24</v>
      </c>
      <c r="E508">
        <v>8000</v>
      </c>
      <c r="F508" t="s">
        <v>35</v>
      </c>
      <c r="G508" s="2">
        <v>46053</v>
      </c>
      <c r="H508">
        <v>0</v>
      </c>
    </row>
    <row r="509" spans="1:8" x14ac:dyDescent="0.2">
      <c r="A509" t="s">
        <v>840</v>
      </c>
      <c r="B509" t="s">
        <v>9</v>
      </c>
      <c r="C509" t="s">
        <v>26</v>
      </c>
      <c r="D509">
        <v>12</v>
      </c>
      <c r="E509">
        <v>20000</v>
      </c>
      <c r="F509" t="s">
        <v>730</v>
      </c>
      <c r="G509" s="2">
        <v>46038</v>
      </c>
      <c r="H509">
        <v>0</v>
      </c>
    </row>
    <row r="510" spans="1:8" x14ac:dyDescent="0.2">
      <c r="A510" t="s">
        <v>841</v>
      </c>
      <c r="B510" t="s">
        <v>25</v>
      </c>
      <c r="C510" t="s">
        <v>10</v>
      </c>
      <c r="D510">
        <v>17</v>
      </c>
      <c r="E510">
        <v>15000</v>
      </c>
      <c r="F510" t="s">
        <v>842</v>
      </c>
      <c r="G510" s="2">
        <v>46040</v>
      </c>
      <c r="H510">
        <v>5</v>
      </c>
    </row>
    <row r="511" spans="1:8" x14ac:dyDescent="0.2">
      <c r="A511" t="s">
        <v>843</v>
      </c>
      <c r="B511" t="s">
        <v>14</v>
      </c>
      <c r="C511" t="s">
        <v>26</v>
      </c>
      <c r="D511">
        <v>22</v>
      </c>
      <c r="E511">
        <v>20000</v>
      </c>
      <c r="F511" t="s">
        <v>266</v>
      </c>
      <c r="G511" s="2">
        <v>46067</v>
      </c>
      <c r="H511">
        <v>0</v>
      </c>
    </row>
    <row r="512" spans="1:8" x14ac:dyDescent="0.2">
      <c r="A512" t="s">
        <v>844</v>
      </c>
      <c r="B512" t="s">
        <v>25</v>
      </c>
      <c r="C512" t="s">
        <v>39</v>
      </c>
      <c r="D512">
        <v>8</v>
      </c>
      <c r="E512">
        <v>12000</v>
      </c>
      <c r="F512" t="s">
        <v>845</v>
      </c>
      <c r="G512" s="2">
        <v>46105</v>
      </c>
      <c r="H512">
        <v>0</v>
      </c>
    </row>
    <row r="513" spans="1:8" x14ac:dyDescent="0.2">
      <c r="A513" t="s">
        <v>846</v>
      </c>
      <c r="B513" t="s">
        <v>14</v>
      </c>
      <c r="C513" t="s">
        <v>45</v>
      </c>
      <c r="D513">
        <v>-9</v>
      </c>
      <c r="E513">
        <v>20000</v>
      </c>
      <c r="F513" t="s">
        <v>710</v>
      </c>
      <c r="G513" s="2">
        <v>46177</v>
      </c>
      <c r="H513">
        <v>0</v>
      </c>
    </row>
    <row r="514" spans="1:8" x14ac:dyDescent="0.2">
      <c r="A514" t="s">
        <v>847</v>
      </c>
      <c r="B514" t="s">
        <v>9</v>
      </c>
      <c r="C514" t="s">
        <v>10</v>
      </c>
      <c r="D514">
        <v>23</v>
      </c>
      <c r="E514">
        <v>15000</v>
      </c>
      <c r="F514" t="s">
        <v>848</v>
      </c>
      <c r="G514" s="2">
        <v>46133</v>
      </c>
      <c r="H514">
        <v>0</v>
      </c>
    </row>
    <row r="515" spans="1:8" x14ac:dyDescent="0.2">
      <c r="A515" t="s">
        <v>849</v>
      </c>
      <c r="B515" t="s">
        <v>21</v>
      </c>
      <c r="C515" t="s">
        <v>32</v>
      </c>
      <c r="D515">
        <v>12</v>
      </c>
      <c r="E515">
        <v>8000</v>
      </c>
      <c r="F515" t="s">
        <v>642</v>
      </c>
      <c r="G515" s="2">
        <v>46061</v>
      </c>
      <c r="H515">
        <v>0</v>
      </c>
    </row>
    <row r="516" spans="1:8" x14ac:dyDescent="0.2">
      <c r="A516" t="s">
        <v>850</v>
      </c>
      <c r="B516" t="s">
        <v>9</v>
      </c>
      <c r="C516" t="s">
        <v>10</v>
      </c>
      <c r="D516">
        <v>22</v>
      </c>
      <c r="E516">
        <v>15000</v>
      </c>
      <c r="F516" t="s">
        <v>117</v>
      </c>
      <c r="G516" s="2">
        <v>46102</v>
      </c>
      <c r="H516">
        <v>0</v>
      </c>
    </row>
    <row r="517" spans="1:8" x14ac:dyDescent="0.2">
      <c r="A517" t="s">
        <v>851</v>
      </c>
      <c r="B517" t="s">
        <v>21</v>
      </c>
      <c r="C517" t="s">
        <v>22</v>
      </c>
      <c r="D517">
        <v>10</v>
      </c>
      <c r="E517">
        <v>35000</v>
      </c>
      <c r="F517" t="s">
        <v>222</v>
      </c>
      <c r="G517" s="2">
        <v>46030</v>
      </c>
      <c r="H517">
        <v>0</v>
      </c>
    </row>
    <row r="518" spans="1:8" x14ac:dyDescent="0.2">
      <c r="A518" t="s">
        <v>852</v>
      </c>
      <c r="B518" t="s">
        <v>9</v>
      </c>
      <c r="C518" t="s">
        <v>39</v>
      </c>
      <c r="D518">
        <v>20</v>
      </c>
      <c r="E518">
        <v>12000</v>
      </c>
      <c r="F518" t="s">
        <v>355</v>
      </c>
      <c r="G518" s="2">
        <v>46093</v>
      </c>
      <c r="H518">
        <v>0</v>
      </c>
    </row>
    <row r="519" spans="1:8" x14ac:dyDescent="0.2">
      <c r="A519" t="s">
        <v>853</v>
      </c>
      <c r="B519" t="s">
        <v>14</v>
      </c>
      <c r="C519" t="s">
        <v>22</v>
      </c>
      <c r="D519">
        <v>10</v>
      </c>
      <c r="E519">
        <v>35000</v>
      </c>
      <c r="F519" t="s">
        <v>173</v>
      </c>
      <c r="G519" s="2">
        <v>46200</v>
      </c>
      <c r="H519">
        <v>0</v>
      </c>
    </row>
    <row r="520" spans="1:8" x14ac:dyDescent="0.2">
      <c r="A520" t="s">
        <v>854</v>
      </c>
      <c r="B520" t="s">
        <v>14</v>
      </c>
      <c r="C520" t="s">
        <v>39</v>
      </c>
      <c r="D520">
        <v>11</v>
      </c>
      <c r="E520">
        <v>12000</v>
      </c>
      <c r="F520" t="s">
        <v>132</v>
      </c>
      <c r="G520" s="2">
        <v>46166</v>
      </c>
      <c r="H520">
        <v>0</v>
      </c>
    </row>
    <row r="521" spans="1:8" x14ac:dyDescent="0.2">
      <c r="A521" t="s">
        <v>855</v>
      </c>
      <c r="B521" t="s">
        <v>9</v>
      </c>
      <c r="C521" t="s">
        <v>18</v>
      </c>
      <c r="D521">
        <v>20</v>
      </c>
      <c r="E521">
        <v>50000</v>
      </c>
      <c r="F521" t="s">
        <v>78</v>
      </c>
      <c r="G521" s="2">
        <v>46062</v>
      </c>
      <c r="H521">
        <v>2</v>
      </c>
    </row>
    <row r="522" spans="1:8" x14ac:dyDescent="0.2">
      <c r="A522" t="s">
        <v>856</v>
      </c>
      <c r="B522" t="s">
        <v>14</v>
      </c>
      <c r="C522" t="s">
        <v>26</v>
      </c>
      <c r="D522">
        <v>11</v>
      </c>
      <c r="E522">
        <v>20000</v>
      </c>
      <c r="F522" t="s">
        <v>857</v>
      </c>
      <c r="G522" t="s">
        <v>858</v>
      </c>
      <c r="H522">
        <v>0</v>
      </c>
    </row>
    <row r="523" spans="1:8" x14ac:dyDescent="0.2">
      <c r="A523" t="s">
        <v>859</v>
      </c>
      <c r="B523" t="s">
        <v>21</v>
      </c>
      <c r="C523" t="s">
        <v>22</v>
      </c>
      <c r="D523">
        <v>5</v>
      </c>
      <c r="E523">
        <v>35000</v>
      </c>
      <c r="F523" t="s">
        <v>464</v>
      </c>
      <c r="G523" s="2">
        <v>46088</v>
      </c>
      <c r="H523">
        <v>0</v>
      </c>
    </row>
    <row r="524" spans="1:8" x14ac:dyDescent="0.2">
      <c r="A524" t="s">
        <v>860</v>
      </c>
      <c r="B524" t="s">
        <v>25</v>
      </c>
      <c r="C524" t="s">
        <v>39</v>
      </c>
      <c r="D524">
        <v>15</v>
      </c>
      <c r="E524">
        <v>12000</v>
      </c>
      <c r="F524" t="s">
        <v>861</v>
      </c>
      <c r="G524" s="2">
        <v>46177</v>
      </c>
      <c r="H524">
        <v>0</v>
      </c>
    </row>
    <row r="525" spans="1:8" x14ac:dyDescent="0.2">
      <c r="A525" t="s">
        <v>862</v>
      </c>
      <c r="B525" t="s">
        <v>9</v>
      </c>
      <c r="C525" t="s">
        <v>70</v>
      </c>
      <c r="D525">
        <v>22</v>
      </c>
      <c r="E525">
        <v>28000</v>
      </c>
      <c r="F525" t="s">
        <v>75</v>
      </c>
      <c r="G525" s="2">
        <v>46079</v>
      </c>
      <c r="H525">
        <v>0</v>
      </c>
    </row>
    <row r="526" spans="1:8" x14ac:dyDescent="0.2">
      <c r="A526" t="s">
        <v>863</v>
      </c>
      <c r="B526" t="s">
        <v>9</v>
      </c>
      <c r="C526" t="s">
        <v>18</v>
      </c>
      <c r="D526">
        <v>1</v>
      </c>
      <c r="E526">
        <v>50000</v>
      </c>
      <c r="F526" t="s">
        <v>218</v>
      </c>
      <c r="G526" s="2">
        <v>46053</v>
      </c>
      <c r="H526">
        <v>0</v>
      </c>
    </row>
    <row r="527" spans="1:8" x14ac:dyDescent="0.2">
      <c r="A527" t="s">
        <v>864</v>
      </c>
      <c r="B527" t="s">
        <v>9</v>
      </c>
      <c r="C527" t="s">
        <v>865</v>
      </c>
      <c r="D527" t="s">
        <v>11</v>
      </c>
      <c r="E527">
        <v>20000</v>
      </c>
      <c r="F527" t="s">
        <v>866</v>
      </c>
      <c r="G527" t="s">
        <v>224</v>
      </c>
      <c r="H527">
        <v>0</v>
      </c>
    </row>
    <row r="528" spans="1:8" x14ac:dyDescent="0.2">
      <c r="A528" t="s">
        <v>867</v>
      </c>
      <c r="B528" t="s">
        <v>14</v>
      </c>
      <c r="C528" t="s">
        <v>10</v>
      </c>
      <c r="D528">
        <v>15</v>
      </c>
      <c r="E528">
        <v>15000</v>
      </c>
      <c r="F528" t="s">
        <v>707</v>
      </c>
      <c r="G528" s="2">
        <v>46077</v>
      </c>
      <c r="H528">
        <v>4</v>
      </c>
    </row>
    <row r="529" spans="1:8" x14ac:dyDescent="0.2">
      <c r="A529" t="s">
        <v>868</v>
      </c>
      <c r="B529" t="s">
        <v>21</v>
      </c>
      <c r="C529" t="s">
        <v>45</v>
      </c>
      <c r="D529">
        <v>23</v>
      </c>
      <c r="E529">
        <v>20000</v>
      </c>
      <c r="F529" t="s">
        <v>73</v>
      </c>
      <c r="G529" s="2">
        <v>46184</v>
      </c>
      <c r="H529">
        <v>0</v>
      </c>
    </row>
    <row r="530" spans="1:8" x14ac:dyDescent="0.2">
      <c r="A530" t="s">
        <v>869</v>
      </c>
      <c r="B530" t="s">
        <v>21</v>
      </c>
      <c r="C530" t="s">
        <v>18</v>
      </c>
      <c r="D530">
        <v>5</v>
      </c>
      <c r="E530">
        <v>50000</v>
      </c>
      <c r="F530" t="s">
        <v>572</v>
      </c>
      <c r="G530" s="2">
        <v>46099</v>
      </c>
      <c r="H530">
        <v>0</v>
      </c>
    </row>
    <row r="531" spans="1:8" x14ac:dyDescent="0.2">
      <c r="A531" t="s">
        <v>870</v>
      </c>
      <c r="B531" t="s">
        <v>14</v>
      </c>
      <c r="C531" t="s">
        <v>26</v>
      </c>
      <c r="D531">
        <v>15</v>
      </c>
      <c r="E531">
        <v>20000</v>
      </c>
      <c r="F531" t="s">
        <v>595</v>
      </c>
      <c r="G531" s="2">
        <v>46126</v>
      </c>
      <c r="H531">
        <v>0</v>
      </c>
    </row>
    <row r="532" spans="1:8" x14ac:dyDescent="0.2">
      <c r="A532" t="s">
        <v>871</v>
      </c>
      <c r="B532" t="s">
        <v>9</v>
      </c>
      <c r="C532" t="s">
        <v>45</v>
      </c>
      <c r="D532">
        <v>13</v>
      </c>
      <c r="E532">
        <v>20000</v>
      </c>
      <c r="F532" t="s">
        <v>134</v>
      </c>
      <c r="G532" s="2">
        <v>46040</v>
      </c>
      <c r="H532">
        <v>0</v>
      </c>
    </row>
    <row r="533" spans="1:8" x14ac:dyDescent="0.2">
      <c r="A533" t="s">
        <v>872</v>
      </c>
      <c r="B533" t="s">
        <v>9</v>
      </c>
      <c r="C533" t="s">
        <v>22</v>
      </c>
      <c r="D533">
        <v>11</v>
      </c>
      <c r="E533">
        <v>35000</v>
      </c>
      <c r="F533" t="s">
        <v>656</v>
      </c>
      <c r="G533" s="2">
        <v>46086</v>
      </c>
      <c r="H533">
        <v>5</v>
      </c>
    </row>
    <row r="534" spans="1:8" x14ac:dyDescent="0.2">
      <c r="A534" t="s">
        <v>873</v>
      </c>
      <c r="B534" t="s">
        <v>21</v>
      </c>
      <c r="C534" t="s">
        <v>45</v>
      </c>
      <c r="D534">
        <v>19</v>
      </c>
      <c r="E534" t="s">
        <v>77</v>
      </c>
      <c r="F534" t="s">
        <v>480</v>
      </c>
      <c r="G534" s="2">
        <v>46101</v>
      </c>
      <c r="H534">
        <v>0</v>
      </c>
    </row>
    <row r="535" spans="1:8" x14ac:dyDescent="0.2">
      <c r="A535" t="s">
        <v>874</v>
      </c>
      <c r="B535" t="s">
        <v>14</v>
      </c>
      <c r="C535" t="s">
        <v>22</v>
      </c>
      <c r="D535">
        <v>24</v>
      </c>
      <c r="E535">
        <v>35000</v>
      </c>
      <c r="G535" s="2">
        <v>46046</v>
      </c>
      <c r="H535">
        <v>0</v>
      </c>
    </row>
    <row r="536" spans="1:8" x14ac:dyDescent="0.2">
      <c r="A536" t="s">
        <v>875</v>
      </c>
      <c r="B536" t="s">
        <v>21</v>
      </c>
      <c r="C536" t="s">
        <v>39</v>
      </c>
      <c r="D536">
        <v>2</v>
      </c>
      <c r="E536">
        <v>12000</v>
      </c>
      <c r="F536" t="s">
        <v>222</v>
      </c>
      <c r="G536" s="2">
        <v>46200</v>
      </c>
      <c r="H536">
        <v>0</v>
      </c>
    </row>
    <row r="537" spans="1:8" x14ac:dyDescent="0.2">
      <c r="A537" t="s">
        <v>876</v>
      </c>
      <c r="B537" t="s">
        <v>9</v>
      </c>
      <c r="C537" t="s">
        <v>70</v>
      </c>
      <c r="D537">
        <v>5</v>
      </c>
      <c r="E537">
        <v>28000</v>
      </c>
      <c r="F537" t="s">
        <v>591</v>
      </c>
      <c r="G537" s="2">
        <v>46044</v>
      </c>
      <c r="H537">
        <v>0</v>
      </c>
    </row>
    <row r="538" spans="1:8" x14ac:dyDescent="0.2">
      <c r="A538" t="s">
        <v>877</v>
      </c>
      <c r="B538" t="s">
        <v>25</v>
      </c>
      <c r="C538" t="s">
        <v>18</v>
      </c>
      <c r="D538" t="s">
        <v>878</v>
      </c>
      <c r="E538">
        <v>50000</v>
      </c>
      <c r="F538" t="s">
        <v>181</v>
      </c>
      <c r="G538" s="2">
        <v>46184</v>
      </c>
      <c r="H538">
        <v>0</v>
      </c>
    </row>
    <row r="539" spans="1:8" x14ac:dyDescent="0.2">
      <c r="A539" t="s">
        <v>879</v>
      </c>
      <c r="B539" t="s">
        <v>14</v>
      </c>
      <c r="C539" t="s">
        <v>18</v>
      </c>
      <c r="D539">
        <v>8</v>
      </c>
      <c r="E539">
        <v>50000</v>
      </c>
      <c r="F539" t="s">
        <v>604</v>
      </c>
      <c r="G539" s="2">
        <v>46156</v>
      </c>
      <c r="H539">
        <v>0</v>
      </c>
    </row>
    <row r="540" spans="1:8" x14ac:dyDescent="0.2">
      <c r="A540" t="s">
        <v>880</v>
      </c>
      <c r="B540" t="s">
        <v>25</v>
      </c>
      <c r="C540" t="s">
        <v>39</v>
      </c>
      <c r="D540">
        <v>-8</v>
      </c>
      <c r="E540">
        <v>12000</v>
      </c>
      <c r="F540" t="s">
        <v>443</v>
      </c>
      <c r="G540" s="2">
        <v>46130</v>
      </c>
      <c r="H540">
        <v>0</v>
      </c>
    </row>
    <row r="541" spans="1:8" x14ac:dyDescent="0.2">
      <c r="A541" t="s">
        <v>881</v>
      </c>
      <c r="B541" t="s">
        <v>25</v>
      </c>
      <c r="C541" t="s">
        <v>10</v>
      </c>
      <c r="D541">
        <v>3</v>
      </c>
      <c r="E541">
        <v>15000</v>
      </c>
      <c r="F541" t="s">
        <v>272</v>
      </c>
      <c r="G541" s="2">
        <v>46088</v>
      </c>
      <c r="H541">
        <v>0</v>
      </c>
    </row>
    <row r="542" spans="1:8" x14ac:dyDescent="0.2">
      <c r="A542" t="s">
        <v>882</v>
      </c>
      <c r="B542" t="s">
        <v>21</v>
      </c>
      <c r="C542" t="s">
        <v>26</v>
      </c>
      <c r="D542">
        <v>20</v>
      </c>
      <c r="E542">
        <v>20000</v>
      </c>
      <c r="F542" t="s">
        <v>137</v>
      </c>
      <c r="G542" s="2">
        <v>46045</v>
      </c>
      <c r="H542">
        <v>0</v>
      </c>
    </row>
    <row r="543" spans="1:8" x14ac:dyDescent="0.2">
      <c r="A543" t="s">
        <v>883</v>
      </c>
      <c r="B543" t="s">
        <v>14</v>
      </c>
      <c r="C543" t="s">
        <v>18</v>
      </c>
      <c r="D543">
        <v>3</v>
      </c>
      <c r="E543">
        <v>50000</v>
      </c>
      <c r="F543" t="s">
        <v>649</v>
      </c>
      <c r="G543" s="2">
        <v>46174</v>
      </c>
      <c r="H543">
        <v>0</v>
      </c>
    </row>
    <row r="544" spans="1:8" x14ac:dyDescent="0.2">
      <c r="A544" t="s">
        <v>884</v>
      </c>
      <c r="B544" t="s">
        <v>14</v>
      </c>
      <c r="C544" t="s">
        <v>18</v>
      </c>
      <c r="D544">
        <v>24</v>
      </c>
      <c r="E544">
        <v>50000</v>
      </c>
      <c r="F544" t="s">
        <v>151</v>
      </c>
      <c r="G544" s="2">
        <v>46149</v>
      </c>
      <c r="H544">
        <v>0</v>
      </c>
    </row>
    <row r="545" spans="1:8" x14ac:dyDescent="0.2">
      <c r="A545" t="s">
        <v>885</v>
      </c>
      <c r="B545" t="s">
        <v>25</v>
      </c>
      <c r="C545" t="s">
        <v>32</v>
      </c>
      <c r="D545">
        <v>18</v>
      </c>
      <c r="E545">
        <v>8000</v>
      </c>
      <c r="F545" t="s">
        <v>732</v>
      </c>
      <c r="G545" s="2">
        <v>46148</v>
      </c>
      <c r="H545">
        <v>1</v>
      </c>
    </row>
    <row r="546" spans="1:8" x14ac:dyDescent="0.2">
      <c r="A546" t="s">
        <v>886</v>
      </c>
      <c r="B546" t="s">
        <v>9</v>
      </c>
      <c r="C546" t="s">
        <v>26</v>
      </c>
      <c r="D546">
        <v>5</v>
      </c>
      <c r="E546">
        <v>20000</v>
      </c>
      <c r="F546" t="s">
        <v>364</v>
      </c>
      <c r="G546" s="2">
        <v>46054</v>
      </c>
      <c r="H546">
        <v>0</v>
      </c>
    </row>
    <row r="547" spans="1:8" x14ac:dyDescent="0.2">
      <c r="A547" t="s">
        <v>887</v>
      </c>
      <c r="B547" t="s">
        <v>14</v>
      </c>
      <c r="C547" t="s">
        <v>26</v>
      </c>
      <c r="D547">
        <v>22</v>
      </c>
      <c r="E547">
        <v>20000</v>
      </c>
      <c r="F547" t="s">
        <v>698</v>
      </c>
      <c r="G547" s="2">
        <v>46195</v>
      </c>
      <c r="H547">
        <v>0</v>
      </c>
    </row>
    <row r="548" spans="1:8" x14ac:dyDescent="0.2">
      <c r="A548" t="s">
        <v>888</v>
      </c>
      <c r="B548" t="s">
        <v>21</v>
      </c>
      <c r="C548" t="s">
        <v>32</v>
      </c>
      <c r="D548">
        <v>15</v>
      </c>
      <c r="E548">
        <v>8000</v>
      </c>
      <c r="F548" t="s">
        <v>159</v>
      </c>
      <c r="G548" s="2">
        <v>46059</v>
      </c>
      <c r="H548">
        <v>0</v>
      </c>
    </row>
    <row r="549" spans="1:8" x14ac:dyDescent="0.2">
      <c r="A549" t="s">
        <v>889</v>
      </c>
      <c r="B549" t="s">
        <v>9</v>
      </c>
      <c r="C549" t="s">
        <v>18</v>
      </c>
      <c r="D549">
        <v>20</v>
      </c>
      <c r="E549">
        <v>50000</v>
      </c>
      <c r="F549" t="s">
        <v>838</v>
      </c>
      <c r="G549" s="2">
        <v>46082</v>
      </c>
      <c r="H549">
        <v>0</v>
      </c>
    </row>
    <row r="550" spans="1:8" x14ac:dyDescent="0.2">
      <c r="A550" t="s">
        <v>890</v>
      </c>
      <c r="B550" t="s">
        <v>21</v>
      </c>
      <c r="C550" t="s">
        <v>39</v>
      </c>
      <c r="D550">
        <v>24</v>
      </c>
      <c r="E550">
        <v>12000</v>
      </c>
      <c r="F550" t="s">
        <v>891</v>
      </c>
      <c r="H550">
        <v>0</v>
      </c>
    </row>
    <row r="551" spans="1:8" x14ac:dyDescent="0.2">
      <c r="A551" t="s">
        <v>892</v>
      </c>
      <c r="B551" t="s">
        <v>21</v>
      </c>
      <c r="C551" t="s">
        <v>26</v>
      </c>
      <c r="D551">
        <v>13</v>
      </c>
      <c r="E551">
        <v>20000</v>
      </c>
      <c r="F551" t="s">
        <v>893</v>
      </c>
      <c r="G551" s="2">
        <v>46132</v>
      </c>
      <c r="H551">
        <v>0</v>
      </c>
    </row>
    <row r="552" spans="1:8" x14ac:dyDescent="0.2">
      <c r="A552" t="s">
        <v>894</v>
      </c>
      <c r="B552" t="s">
        <v>25</v>
      </c>
      <c r="C552" t="s">
        <v>26</v>
      </c>
      <c r="D552">
        <v>1</v>
      </c>
      <c r="E552">
        <v>20000</v>
      </c>
      <c r="F552" t="s">
        <v>895</v>
      </c>
      <c r="G552" s="2">
        <v>46024</v>
      </c>
      <c r="H552">
        <v>0</v>
      </c>
    </row>
    <row r="553" spans="1:8" x14ac:dyDescent="0.2">
      <c r="A553" t="s">
        <v>896</v>
      </c>
      <c r="B553" t="s">
        <v>21</v>
      </c>
      <c r="C553" t="s">
        <v>18</v>
      </c>
      <c r="D553">
        <v>-8</v>
      </c>
      <c r="E553">
        <v>50000</v>
      </c>
      <c r="F553" t="s">
        <v>514</v>
      </c>
      <c r="G553" s="2">
        <v>46118</v>
      </c>
      <c r="H553">
        <v>0</v>
      </c>
    </row>
    <row r="554" spans="1:8" x14ac:dyDescent="0.2">
      <c r="A554" t="s">
        <v>897</v>
      </c>
      <c r="B554" t="s">
        <v>21</v>
      </c>
      <c r="C554" t="s">
        <v>26</v>
      </c>
      <c r="D554">
        <v>18</v>
      </c>
      <c r="E554" t="s">
        <v>77</v>
      </c>
      <c r="F554" t="s">
        <v>898</v>
      </c>
      <c r="G554" s="2">
        <v>46192</v>
      </c>
      <c r="H554">
        <v>0</v>
      </c>
    </row>
    <row r="555" spans="1:8" x14ac:dyDescent="0.2">
      <c r="A555" t="s">
        <v>899</v>
      </c>
      <c r="B555" t="s">
        <v>14</v>
      </c>
      <c r="C555" t="s">
        <v>45</v>
      </c>
      <c r="D555">
        <v>20</v>
      </c>
      <c r="E555">
        <v>20000</v>
      </c>
      <c r="F555" t="s">
        <v>900</v>
      </c>
      <c r="G555" s="2">
        <v>46042</v>
      </c>
      <c r="H555">
        <v>0</v>
      </c>
    </row>
    <row r="556" spans="1:8" x14ac:dyDescent="0.2">
      <c r="A556" t="s">
        <v>901</v>
      </c>
      <c r="B556" t="s">
        <v>9</v>
      </c>
      <c r="C556" t="s">
        <v>10</v>
      </c>
      <c r="D556">
        <v>22</v>
      </c>
      <c r="E556">
        <v>15000</v>
      </c>
      <c r="F556" t="s">
        <v>236</v>
      </c>
      <c r="G556" s="2">
        <v>46160</v>
      </c>
      <c r="H556">
        <v>1</v>
      </c>
    </row>
    <row r="557" spans="1:8" x14ac:dyDescent="0.2">
      <c r="A557" t="s">
        <v>902</v>
      </c>
      <c r="B557" t="s">
        <v>14</v>
      </c>
      <c r="C557" t="s">
        <v>70</v>
      </c>
      <c r="D557">
        <v>1</v>
      </c>
      <c r="E557" t="s">
        <v>659</v>
      </c>
      <c r="F557" t="s">
        <v>419</v>
      </c>
      <c r="G557" s="2">
        <v>46130</v>
      </c>
      <c r="H557">
        <v>0</v>
      </c>
    </row>
    <row r="558" spans="1:8" x14ac:dyDescent="0.2">
      <c r="A558" t="s">
        <v>903</v>
      </c>
      <c r="B558" t="s">
        <v>14</v>
      </c>
      <c r="C558" t="s">
        <v>10</v>
      </c>
      <c r="D558">
        <v>9</v>
      </c>
      <c r="E558">
        <v>15000</v>
      </c>
      <c r="F558" t="s">
        <v>646</v>
      </c>
      <c r="G558" s="2">
        <v>46075</v>
      </c>
      <c r="H558">
        <v>0</v>
      </c>
    </row>
    <row r="559" spans="1:8" x14ac:dyDescent="0.2">
      <c r="A559" t="s">
        <v>904</v>
      </c>
      <c r="B559" t="s">
        <v>21</v>
      </c>
      <c r="C559" t="s">
        <v>26</v>
      </c>
      <c r="D559">
        <v>4</v>
      </c>
      <c r="E559">
        <v>20000</v>
      </c>
      <c r="F559" t="s">
        <v>905</v>
      </c>
      <c r="G559" s="2">
        <v>46070</v>
      </c>
      <c r="H559">
        <v>0</v>
      </c>
    </row>
    <row r="560" spans="1:8" x14ac:dyDescent="0.2">
      <c r="A560" t="s">
        <v>906</v>
      </c>
      <c r="B560" t="s">
        <v>14</v>
      </c>
      <c r="C560" t="s">
        <v>39</v>
      </c>
      <c r="D560">
        <v>2</v>
      </c>
      <c r="E560">
        <v>12000</v>
      </c>
      <c r="F560" t="s">
        <v>802</v>
      </c>
      <c r="G560" s="2">
        <v>46196</v>
      </c>
      <c r="H560">
        <v>0</v>
      </c>
    </row>
    <row r="561" spans="1:8" x14ac:dyDescent="0.2">
      <c r="A561" t="s">
        <v>907</v>
      </c>
      <c r="B561" t="s">
        <v>14</v>
      </c>
      <c r="C561" t="s">
        <v>70</v>
      </c>
      <c r="D561">
        <v>11</v>
      </c>
      <c r="E561">
        <v>28000</v>
      </c>
      <c r="F561" t="s">
        <v>472</v>
      </c>
      <c r="G561" s="2">
        <v>46086</v>
      </c>
      <c r="H561">
        <v>0</v>
      </c>
    </row>
    <row r="562" spans="1:8" x14ac:dyDescent="0.2">
      <c r="A562" t="s">
        <v>908</v>
      </c>
      <c r="B562" t="s">
        <v>14</v>
      </c>
      <c r="C562" t="s">
        <v>26</v>
      </c>
      <c r="D562">
        <v>17</v>
      </c>
      <c r="E562">
        <v>20000</v>
      </c>
      <c r="F562" t="s">
        <v>891</v>
      </c>
      <c r="G562" s="2">
        <v>46119</v>
      </c>
      <c r="H562">
        <v>0</v>
      </c>
    </row>
    <row r="563" spans="1:8" x14ac:dyDescent="0.2">
      <c r="A563" t="s">
        <v>909</v>
      </c>
      <c r="B563" t="s">
        <v>21</v>
      </c>
      <c r="C563" t="s">
        <v>45</v>
      </c>
      <c r="D563">
        <v>6</v>
      </c>
      <c r="E563">
        <v>20000</v>
      </c>
      <c r="F563" t="s">
        <v>866</v>
      </c>
      <c r="G563" s="2">
        <v>46060</v>
      </c>
      <c r="H563">
        <v>0</v>
      </c>
    </row>
    <row r="564" spans="1:8" x14ac:dyDescent="0.2">
      <c r="A564" t="s">
        <v>910</v>
      </c>
      <c r="B564" t="s">
        <v>25</v>
      </c>
      <c r="C564" t="s">
        <v>559</v>
      </c>
      <c r="D564">
        <v>24</v>
      </c>
      <c r="E564">
        <v>15000</v>
      </c>
      <c r="F564" t="s">
        <v>677</v>
      </c>
      <c r="G564" s="2">
        <v>46055</v>
      </c>
      <c r="H564">
        <v>1</v>
      </c>
    </row>
    <row r="565" spans="1:8" x14ac:dyDescent="0.2">
      <c r="A565" t="s">
        <v>911</v>
      </c>
      <c r="B565" t="s">
        <v>25</v>
      </c>
      <c r="C565" t="s">
        <v>912</v>
      </c>
      <c r="D565">
        <v>19</v>
      </c>
      <c r="E565">
        <v>50000</v>
      </c>
      <c r="F565" t="s">
        <v>78</v>
      </c>
      <c r="G565" t="s">
        <v>913</v>
      </c>
      <c r="H565">
        <v>0</v>
      </c>
    </row>
    <row r="566" spans="1:8" x14ac:dyDescent="0.2">
      <c r="A566" t="s">
        <v>914</v>
      </c>
      <c r="B566" t="s">
        <v>14</v>
      </c>
      <c r="C566" t="s">
        <v>22</v>
      </c>
      <c r="D566">
        <v>11</v>
      </c>
      <c r="E566">
        <v>35000</v>
      </c>
      <c r="F566" t="s">
        <v>374</v>
      </c>
      <c r="G566" t="s">
        <v>915</v>
      </c>
      <c r="H566">
        <v>0</v>
      </c>
    </row>
    <row r="567" spans="1:8" x14ac:dyDescent="0.2">
      <c r="A567" t="s">
        <v>916</v>
      </c>
      <c r="B567" t="s">
        <v>25</v>
      </c>
      <c r="C567" t="s">
        <v>70</v>
      </c>
      <c r="D567">
        <v>22</v>
      </c>
      <c r="E567">
        <v>28000</v>
      </c>
      <c r="F567" t="s">
        <v>175</v>
      </c>
      <c r="H567">
        <v>1</v>
      </c>
    </row>
    <row r="568" spans="1:8" x14ac:dyDescent="0.2">
      <c r="A568" t="s">
        <v>917</v>
      </c>
      <c r="B568" t="s">
        <v>21</v>
      </c>
      <c r="C568" t="s">
        <v>45</v>
      </c>
      <c r="D568">
        <v>17</v>
      </c>
      <c r="E568">
        <v>20000</v>
      </c>
      <c r="F568" t="s">
        <v>308</v>
      </c>
      <c r="G568" s="2">
        <v>46046</v>
      </c>
      <c r="H568">
        <v>0</v>
      </c>
    </row>
    <row r="569" spans="1:8" x14ac:dyDescent="0.2">
      <c r="A569" t="s">
        <v>918</v>
      </c>
      <c r="B569" t="s">
        <v>25</v>
      </c>
      <c r="C569" t="s">
        <v>18</v>
      </c>
      <c r="D569">
        <v>1</v>
      </c>
      <c r="E569">
        <v>50000</v>
      </c>
      <c r="F569" t="s">
        <v>677</v>
      </c>
      <c r="G569" s="2">
        <v>46094</v>
      </c>
      <c r="H569">
        <v>0</v>
      </c>
    </row>
    <row r="570" spans="1:8" x14ac:dyDescent="0.2">
      <c r="A570" t="s">
        <v>919</v>
      </c>
      <c r="B570" t="s">
        <v>25</v>
      </c>
      <c r="C570" t="s">
        <v>70</v>
      </c>
      <c r="D570">
        <v>11</v>
      </c>
      <c r="E570">
        <v>28000</v>
      </c>
      <c r="F570" t="s">
        <v>443</v>
      </c>
      <c r="G570" s="2">
        <v>46168</v>
      </c>
      <c r="H570">
        <v>0</v>
      </c>
    </row>
    <row r="571" spans="1:8" x14ac:dyDescent="0.2">
      <c r="A571" t="s">
        <v>920</v>
      </c>
      <c r="B571" t="s">
        <v>9</v>
      </c>
      <c r="C571" t="s">
        <v>70</v>
      </c>
      <c r="D571">
        <v>13</v>
      </c>
      <c r="E571">
        <v>28000</v>
      </c>
      <c r="F571" t="s">
        <v>328</v>
      </c>
      <c r="G571" s="2">
        <v>46187</v>
      </c>
      <c r="H571">
        <v>0</v>
      </c>
    </row>
    <row r="572" spans="1:8" x14ac:dyDescent="0.2">
      <c r="A572" t="s">
        <v>921</v>
      </c>
      <c r="B572" t="s">
        <v>14</v>
      </c>
      <c r="C572" t="s">
        <v>70</v>
      </c>
      <c r="D572">
        <v>14</v>
      </c>
      <c r="E572">
        <v>28000</v>
      </c>
      <c r="F572" t="s">
        <v>530</v>
      </c>
      <c r="G572" s="2">
        <v>46119</v>
      </c>
      <c r="H572">
        <v>0</v>
      </c>
    </row>
    <row r="573" spans="1:8" x14ac:dyDescent="0.2">
      <c r="A573" t="s">
        <v>922</v>
      </c>
      <c r="B573" t="s">
        <v>21</v>
      </c>
      <c r="C573" t="s">
        <v>22</v>
      </c>
      <c r="D573">
        <v>6</v>
      </c>
      <c r="E573">
        <v>35000</v>
      </c>
      <c r="F573" t="s">
        <v>789</v>
      </c>
      <c r="G573" s="2">
        <v>46187</v>
      </c>
      <c r="H573">
        <v>0</v>
      </c>
    </row>
    <row r="574" spans="1:8" x14ac:dyDescent="0.2">
      <c r="A574" t="s">
        <v>923</v>
      </c>
      <c r="B574" t="s">
        <v>25</v>
      </c>
      <c r="C574" t="s">
        <v>22</v>
      </c>
      <c r="D574">
        <v>11</v>
      </c>
      <c r="E574" t="s">
        <v>11</v>
      </c>
      <c r="F574" t="s">
        <v>268</v>
      </c>
      <c r="G574" s="2">
        <v>46140</v>
      </c>
      <c r="H574">
        <v>0</v>
      </c>
    </row>
    <row r="575" spans="1:8" x14ac:dyDescent="0.2">
      <c r="A575" t="s">
        <v>924</v>
      </c>
      <c r="B575" t="s">
        <v>9</v>
      </c>
      <c r="C575" t="s">
        <v>10</v>
      </c>
      <c r="D575">
        <v>8</v>
      </c>
      <c r="E575">
        <v>15000</v>
      </c>
      <c r="F575" t="s">
        <v>335</v>
      </c>
      <c r="G575" s="2">
        <v>46044</v>
      </c>
      <c r="H575">
        <v>13</v>
      </c>
    </row>
    <row r="576" spans="1:8" x14ac:dyDescent="0.2">
      <c r="A576" t="s">
        <v>925</v>
      </c>
      <c r="B576" t="s">
        <v>25</v>
      </c>
      <c r="C576" t="s">
        <v>39</v>
      </c>
      <c r="D576">
        <v>2</v>
      </c>
      <c r="E576">
        <v>12000</v>
      </c>
      <c r="F576" t="s">
        <v>437</v>
      </c>
      <c r="G576" s="2">
        <v>46051</v>
      </c>
      <c r="H576">
        <v>0</v>
      </c>
    </row>
    <row r="577" spans="1:8" x14ac:dyDescent="0.2">
      <c r="A577" t="s">
        <v>926</v>
      </c>
      <c r="B577" t="s">
        <v>25</v>
      </c>
      <c r="C577" t="s">
        <v>32</v>
      </c>
      <c r="D577">
        <v>14</v>
      </c>
      <c r="E577">
        <v>8000</v>
      </c>
      <c r="F577" t="s">
        <v>842</v>
      </c>
      <c r="G577" s="2">
        <v>46024</v>
      </c>
      <c r="H577">
        <v>4</v>
      </c>
    </row>
    <row r="578" spans="1:8" x14ac:dyDescent="0.2">
      <c r="A578" t="s">
        <v>927</v>
      </c>
      <c r="B578" t="s">
        <v>21</v>
      </c>
      <c r="C578" t="s">
        <v>70</v>
      </c>
      <c r="D578">
        <v>8</v>
      </c>
      <c r="E578">
        <v>28000</v>
      </c>
      <c r="F578" t="s">
        <v>167</v>
      </c>
      <c r="G578" s="2">
        <v>46035</v>
      </c>
      <c r="H578">
        <v>0</v>
      </c>
    </row>
    <row r="579" spans="1:8" x14ac:dyDescent="0.2">
      <c r="A579" t="s">
        <v>928</v>
      </c>
      <c r="B579" t="s">
        <v>25</v>
      </c>
      <c r="C579" t="s">
        <v>10</v>
      </c>
      <c r="D579">
        <v>7</v>
      </c>
      <c r="E579">
        <v>15000</v>
      </c>
      <c r="F579" t="s">
        <v>40</v>
      </c>
      <c r="G579" s="2">
        <v>46076</v>
      </c>
      <c r="H579">
        <v>4</v>
      </c>
    </row>
    <row r="580" spans="1:8" x14ac:dyDescent="0.2">
      <c r="A580" t="s">
        <v>930</v>
      </c>
      <c r="B580" t="s">
        <v>21</v>
      </c>
      <c r="C580" t="s">
        <v>26</v>
      </c>
      <c r="D580">
        <v>6</v>
      </c>
      <c r="E580">
        <v>20000</v>
      </c>
      <c r="F580" t="s">
        <v>614</v>
      </c>
      <c r="G580" s="2">
        <v>46162</v>
      </c>
      <c r="H580">
        <v>0</v>
      </c>
    </row>
    <row r="581" spans="1:8" x14ac:dyDescent="0.2">
      <c r="A581" t="s">
        <v>931</v>
      </c>
      <c r="B581" t="s">
        <v>14</v>
      </c>
      <c r="C581" t="s">
        <v>70</v>
      </c>
      <c r="D581">
        <v>24</v>
      </c>
      <c r="E581" t="s">
        <v>659</v>
      </c>
      <c r="G581" s="2">
        <v>46061</v>
      </c>
      <c r="H581">
        <v>0</v>
      </c>
    </row>
    <row r="582" spans="1:8" x14ac:dyDescent="0.2">
      <c r="A582" t="s">
        <v>932</v>
      </c>
      <c r="B582" t="s">
        <v>21</v>
      </c>
      <c r="C582" t="s">
        <v>18</v>
      </c>
      <c r="D582">
        <v>11</v>
      </c>
      <c r="E582">
        <v>50000</v>
      </c>
      <c r="F582" t="s">
        <v>108</v>
      </c>
      <c r="G582" s="2">
        <v>46054</v>
      </c>
      <c r="H582">
        <v>0</v>
      </c>
    </row>
    <row r="583" spans="1:8" x14ac:dyDescent="0.2">
      <c r="A583" t="s">
        <v>933</v>
      </c>
      <c r="B583" t="s">
        <v>14</v>
      </c>
      <c r="C583" t="s">
        <v>10</v>
      </c>
      <c r="D583">
        <v>16</v>
      </c>
      <c r="E583" t="s">
        <v>188</v>
      </c>
      <c r="F583" t="s">
        <v>16</v>
      </c>
      <c r="G583" s="2">
        <v>46199</v>
      </c>
      <c r="H583">
        <v>0</v>
      </c>
    </row>
    <row r="584" spans="1:8" x14ac:dyDescent="0.2">
      <c r="A584" t="s">
        <v>934</v>
      </c>
      <c r="B584" t="s">
        <v>25</v>
      </c>
      <c r="C584" t="s">
        <v>45</v>
      </c>
      <c r="D584">
        <v>25</v>
      </c>
      <c r="E584">
        <v>20000</v>
      </c>
      <c r="F584" t="s">
        <v>282</v>
      </c>
      <c r="G584" s="2">
        <v>46118</v>
      </c>
      <c r="H584">
        <v>0</v>
      </c>
    </row>
    <row r="585" spans="1:8" x14ac:dyDescent="0.2">
      <c r="A585" t="s">
        <v>935</v>
      </c>
      <c r="B585" t="s">
        <v>9</v>
      </c>
      <c r="C585" t="s">
        <v>10</v>
      </c>
      <c r="D585">
        <v>8</v>
      </c>
      <c r="E585">
        <v>15000</v>
      </c>
      <c r="F585" t="s">
        <v>37</v>
      </c>
      <c r="G585" s="2">
        <v>46099</v>
      </c>
      <c r="H585">
        <v>0</v>
      </c>
    </row>
    <row r="586" spans="1:8" x14ac:dyDescent="0.2">
      <c r="A586" t="s">
        <v>936</v>
      </c>
      <c r="B586" t="s">
        <v>21</v>
      </c>
      <c r="C586" t="s">
        <v>22</v>
      </c>
      <c r="D586">
        <v>11</v>
      </c>
      <c r="E586">
        <v>35000</v>
      </c>
      <c r="F586" t="s">
        <v>937</v>
      </c>
      <c r="G586" s="2">
        <v>46098</v>
      </c>
      <c r="H586">
        <v>3</v>
      </c>
    </row>
    <row r="587" spans="1:8" x14ac:dyDescent="0.2">
      <c r="A587" t="s">
        <v>938</v>
      </c>
      <c r="B587" t="s">
        <v>9</v>
      </c>
      <c r="C587" t="s">
        <v>22</v>
      </c>
      <c r="D587">
        <v>18</v>
      </c>
      <c r="E587">
        <v>35000</v>
      </c>
      <c r="F587" t="s">
        <v>324</v>
      </c>
      <c r="G587" s="2">
        <v>46137</v>
      </c>
      <c r="H587">
        <v>0</v>
      </c>
    </row>
    <row r="588" spans="1:8" x14ac:dyDescent="0.2">
      <c r="A588" t="s">
        <v>939</v>
      </c>
      <c r="B588" t="s">
        <v>9</v>
      </c>
      <c r="C588" t="s">
        <v>22</v>
      </c>
      <c r="D588">
        <v>5</v>
      </c>
      <c r="E588">
        <v>35000</v>
      </c>
      <c r="F588" t="s">
        <v>940</v>
      </c>
      <c r="G588" s="2">
        <v>46137</v>
      </c>
      <c r="H588">
        <v>0</v>
      </c>
    </row>
    <row r="589" spans="1:8" x14ac:dyDescent="0.2">
      <c r="A589" t="s">
        <v>941</v>
      </c>
      <c r="B589" t="s">
        <v>21</v>
      </c>
      <c r="C589" t="s">
        <v>10</v>
      </c>
      <c r="D589">
        <v>21</v>
      </c>
      <c r="E589" t="s">
        <v>11</v>
      </c>
      <c r="F589" t="s">
        <v>942</v>
      </c>
      <c r="G589" s="2">
        <v>46073</v>
      </c>
      <c r="H589">
        <v>0</v>
      </c>
    </row>
    <row r="590" spans="1:8" x14ac:dyDescent="0.2">
      <c r="A590" t="s">
        <v>943</v>
      </c>
      <c r="B590" t="s">
        <v>25</v>
      </c>
      <c r="C590" t="s">
        <v>10</v>
      </c>
      <c r="D590">
        <v>14</v>
      </c>
      <c r="E590">
        <v>15000</v>
      </c>
      <c r="F590" t="s">
        <v>203</v>
      </c>
      <c r="G590" s="2">
        <v>46024</v>
      </c>
      <c r="H590">
        <v>0</v>
      </c>
    </row>
    <row r="591" spans="1:8" x14ac:dyDescent="0.2">
      <c r="A591" t="s">
        <v>944</v>
      </c>
      <c r="B591" t="s">
        <v>21</v>
      </c>
      <c r="C591" t="s">
        <v>10</v>
      </c>
      <c r="D591">
        <v>5</v>
      </c>
      <c r="E591" t="s">
        <v>188</v>
      </c>
      <c r="F591" t="s">
        <v>257</v>
      </c>
      <c r="G591" s="2">
        <v>46136</v>
      </c>
      <c r="H591">
        <v>0</v>
      </c>
    </row>
    <row r="592" spans="1:8" x14ac:dyDescent="0.2">
      <c r="A592" t="s">
        <v>945</v>
      </c>
      <c r="B592" t="s">
        <v>25</v>
      </c>
      <c r="C592" t="s">
        <v>39</v>
      </c>
      <c r="D592">
        <v>1</v>
      </c>
      <c r="E592">
        <v>12000</v>
      </c>
      <c r="F592" t="s">
        <v>946</v>
      </c>
      <c r="G592" s="2">
        <v>46199</v>
      </c>
      <c r="H592">
        <v>0</v>
      </c>
    </row>
    <row r="593" spans="1:8" x14ac:dyDescent="0.2">
      <c r="A593" t="s">
        <v>947</v>
      </c>
      <c r="B593" t="s">
        <v>21</v>
      </c>
      <c r="C593" t="s">
        <v>39</v>
      </c>
      <c r="D593">
        <v>12</v>
      </c>
      <c r="E593">
        <v>12000</v>
      </c>
      <c r="F593" t="s">
        <v>246</v>
      </c>
      <c r="G593" s="2">
        <v>46071</v>
      </c>
      <c r="H593">
        <v>0</v>
      </c>
    </row>
    <row r="594" spans="1:8" x14ac:dyDescent="0.2">
      <c r="A594" t="s">
        <v>948</v>
      </c>
      <c r="B594" t="s">
        <v>14</v>
      </c>
      <c r="C594" t="s">
        <v>10</v>
      </c>
      <c r="D594" t="s">
        <v>11</v>
      </c>
      <c r="E594">
        <v>15000</v>
      </c>
      <c r="F594" t="s">
        <v>949</v>
      </c>
      <c r="G594" s="2">
        <v>46193</v>
      </c>
      <c r="H594">
        <v>0</v>
      </c>
    </row>
    <row r="595" spans="1:8" x14ac:dyDescent="0.2">
      <c r="A595" t="s">
        <v>950</v>
      </c>
      <c r="B595" t="s">
        <v>25</v>
      </c>
      <c r="C595" t="s">
        <v>32</v>
      </c>
      <c r="D595">
        <v>19</v>
      </c>
      <c r="E595">
        <v>24000</v>
      </c>
      <c r="F595" t="s">
        <v>857</v>
      </c>
      <c r="G595" s="2">
        <v>46106</v>
      </c>
      <c r="H595">
        <v>0</v>
      </c>
    </row>
    <row r="596" spans="1:8" x14ac:dyDescent="0.2">
      <c r="A596" t="s">
        <v>951</v>
      </c>
      <c r="B596" t="s">
        <v>21</v>
      </c>
      <c r="C596" t="s">
        <v>45</v>
      </c>
      <c r="D596">
        <v>20</v>
      </c>
      <c r="E596">
        <v>20000</v>
      </c>
      <c r="F596" t="s">
        <v>740</v>
      </c>
      <c r="G596" s="2">
        <v>46090</v>
      </c>
      <c r="H596">
        <v>0</v>
      </c>
    </row>
    <row r="597" spans="1:8" x14ac:dyDescent="0.2">
      <c r="A597" t="s">
        <v>952</v>
      </c>
      <c r="B597" t="s">
        <v>21</v>
      </c>
      <c r="C597" t="s">
        <v>22</v>
      </c>
      <c r="D597" t="s">
        <v>953</v>
      </c>
      <c r="E597">
        <v>35000</v>
      </c>
      <c r="F597" t="s">
        <v>119</v>
      </c>
      <c r="G597" s="2">
        <v>46076</v>
      </c>
      <c r="H597">
        <v>0</v>
      </c>
    </row>
    <row r="598" spans="1:8" x14ac:dyDescent="0.2">
      <c r="A598" t="s">
        <v>954</v>
      </c>
      <c r="B598" t="s">
        <v>9</v>
      </c>
      <c r="C598" t="s">
        <v>26</v>
      </c>
      <c r="D598">
        <v>9</v>
      </c>
      <c r="E598">
        <v>20000</v>
      </c>
      <c r="F598" t="s">
        <v>599</v>
      </c>
      <c r="G598" s="2">
        <v>46168</v>
      </c>
      <c r="H598">
        <v>4</v>
      </c>
    </row>
    <row r="599" spans="1:8" x14ac:dyDescent="0.2">
      <c r="A599" t="s">
        <v>955</v>
      </c>
      <c r="B599" t="s">
        <v>21</v>
      </c>
      <c r="C599" t="s">
        <v>18</v>
      </c>
      <c r="D599">
        <v>6</v>
      </c>
      <c r="E599">
        <v>50000</v>
      </c>
      <c r="F599" t="s">
        <v>820</v>
      </c>
      <c r="G599" s="2">
        <v>46161</v>
      </c>
      <c r="H599">
        <v>0</v>
      </c>
    </row>
    <row r="600" spans="1:8" x14ac:dyDescent="0.2">
      <c r="A600" t="s">
        <v>956</v>
      </c>
      <c r="B600" t="s">
        <v>25</v>
      </c>
      <c r="C600" t="s">
        <v>15</v>
      </c>
      <c r="D600">
        <v>6</v>
      </c>
      <c r="E600">
        <v>50000</v>
      </c>
      <c r="F600" t="s">
        <v>949</v>
      </c>
      <c r="G600" s="2">
        <v>46161</v>
      </c>
      <c r="H600">
        <v>5</v>
      </c>
    </row>
    <row r="601" spans="1:8" x14ac:dyDescent="0.2">
      <c r="A601" t="s">
        <v>957</v>
      </c>
      <c r="B601" t="s">
        <v>25</v>
      </c>
      <c r="C601" t="s">
        <v>26</v>
      </c>
      <c r="D601">
        <v>6</v>
      </c>
      <c r="E601" t="s">
        <v>77</v>
      </c>
      <c r="F601" t="s">
        <v>333</v>
      </c>
      <c r="G601" s="2">
        <v>46090</v>
      </c>
      <c r="H601">
        <v>0</v>
      </c>
    </row>
    <row r="602" spans="1:8" x14ac:dyDescent="0.2">
      <c r="A602" t="s">
        <v>958</v>
      </c>
      <c r="B602" t="s">
        <v>9</v>
      </c>
      <c r="C602" t="s">
        <v>10</v>
      </c>
      <c r="D602">
        <v>8</v>
      </c>
      <c r="E602">
        <v>15000</v>
      </c>
      <c r="F602" t="s">
        <v>137</v>
      </c>
      <c r="G602" s="2">
        <v>46094</v>
      </c>
      <c r="H602">
        <v>0</v>
      </c>
    </row>
    <row r="603" spans="1:8" x14ac:dyDescent="0.2">
      <c r="A603" t="s">
        <v>959</v>
      </c>
      <c r="B603" t="s">
        <v>14</v>
      </c>
      <c r="C603" t="s">
        <v>22</v>
      </c>
      <c r="D603">
        <v>9</v>
      </c>
      <c r="E603">
        <v>35000</v>
      </c>
      <c r="F603" t="s">
        <v>640</v>
      </c>
      <c r="G603" s="2">
        <v>46069</v>
      </c>
      <c r="H603">
        <v>0</v>
      </c>
    </row>
    <row r="604" spans="1:8" x14ac:dyDescent="0.2">
      <c r="A604" t="s">
        <v>960</v>
      </c>
      <c r="B604" t="s">
        <v>25</v>
      </c>
      <c r="C604" t="s">
        <v>22</v>
      </c>
      <c r="D604">
        <v>9</v>
      </c>
      <c r="E604">
        <v>35000</v>
      </c>
      <c r="F604" t="s">
        <v>101</v>
      </c>
      <c r="G604" s="2">
        <v>46036</v>
      </c>
      <c r="H604">
        <v>2</v>
      </c>
    </row>
    <row r="605" spans="1:8" x14ac:dyDescent="0.2">
      <c r="A605" t="s">
        <v>961</v>
      </c>
      <c r="B605" t="s">
        <v>9</v>
      </c>
      <c r="C605" t="s">
        <v>39</v>
      </c>
      <c r="D605">
        <v>17</v>
      </c>
      <c r="E605">
        <v>12000</v>
      </c>
      <c r="F605" t="s">
        <v>677</v>
      </c>
      <c r="G605" s="2">
        <v>46069</v>
      </c>
      <c r="H605">
        <v>0</v>
      </c>
    </row>
    <row r="606" spans="1:8" x14ac:dyDescent="0.2">
      <c r="A606" t="s">
        <v>962</v>
      </c>
      <c r="B606" t="s">
        <v>14</v>
      </c>
      <c r="C606" t="s">
        <v>32</v>
      </c>
      <c r="D606">
        <v>9</v>
      </c>
      <c r="E606" t="s">
        <v>522</v>
      </c>
      <c r="F606" t="s">
        <v>484</v>
      </c>
      <c r="G606" s="2">
        <v>46035</v>
      </c>
      <c r="H606">
        <v>0</v>
      </c>
    </row>
    <row r="607" spans="1:8" x14ac:dyDescent="0.2">
      <c r="A607" t="s">
        <v>963</v>
      </c>
      <c r="B607" t="s">
        <v>9</v>
      </c>
      <c r="C607" t="s">
        <v>32</v>
      </c>
      <c r="D607">
        <v>5</v>
      </c>
      <c r="E607">
        <v>8000</v>
      </c>
      <c r="F607" t="s">
        <v>964</v>
      </c>
      <c r="G607" s="2">
        <v>46153</v>
      </c>
      <c r="H607">
        <v>0</v>
      </c>
    </row>
    <row r="608" spans="1:8" x14ac:dyDescent="0.2">
      <c r="A608" t="s">
        <v>965</v>
      </c>
      <c r="B608" t="s">
        <v>679</v>
      </c>
      <c r="C608" t="s">
        <v>26</v>
      </c>
      <c r="D608">
        <v>9</v>
      </c>
      <c r="E608">
        <v>20000</v>
      </c>
      <c r="F608" t="s">
        <v>595</v>
      </c>
      <c r="G608" s="2">
        <v>46141</v>
      </c>
      <c r="H608">
        <v>0</v>
      </c>
    </row>
    <row r="609" spans="1:8" x14ac:dyDescent="0.2">
      <c r="A609" t="s">
        <v>966</v>
      </c>
      <c r="B609" t="s">
        <v>25</v>
      </c>
      <c r="C609" t="s">
        <v>32</v>
      </c>
      <c r="D609">
        <v>25</v>
      </c>
      <c r="E609">
        <v>8000</v>
      </c>
      <c r="F609" t="s">
        <v>268</v>
      </c>
      <c r="G609" s="2">
        <v>46082</v>
      </c>
      <c r="H609">
        <v>0</v>
      </c>
    </row>
    <row r="610" spans="1:8" x14ac:dyDescent="0.2">
      <c r="A610" t="s">
        <v>967</v>
      </c>
      <c r="B610" t="s">
        <v>21</v>
      </c>
      <c r="C610" t="s">
        <v>70</v>
      </c>
      <c r="D610">
        <v>10</v>
      </c>
      <c r="E610">
        <v>28000</v>
      </c>
      <c r="F610" t="s">
        <v>193</v>
      </c>
      <c r="G610" s="2">
        <v>46156</v>
      </c>
      <c r="H610">
        <v>0</v>
      </c>
    </row>
    <row r="611" spans="1:8" x14ac:dyDescent="0.2">
      <c r="A611" t="s">
        <v>968</v>
      </c>
      <c r="B611" t="s">
        <v>25</v>
      </c>
      <c r="C611" t="s">
        <v>45</v>
      </c>
      <c r="D611">
        <v>16</v>
      </c>
      <c r="E611">
        <v>20000</v>
      </c>
      <c r="F611" t="s">
        <v>274</v>
      </c>
      <c r="G611" s="2">
        <v>46201</v>
      </c>
      <c r="H611">
        <v>4</v>
      </c>
    </row>
    <row r="612" spans="1:8" x14ac:dyDescent="0.2">
      <c r="A612" t="s">
        <v>969</v>
      </c>
      <c r="B612" t="s">
        <v>9</v>
      </c>
      <c r="C612" t="s">
        <v>70</v>
      </c>
      <c r="D612">
        <v>7</v>
      </c>
      <c r="E612">
        <v>28000</v>
      </c>
      <c r="F612" t="s">
        <v>891</v>
      </c>
      <c r="G612" s="2">
        <v>46075</v>
      </c>
      <c r="H612">
        <v>0</v>
      </c>
    </row>
    <row r="613" spans="1:8" x14ac:dyDescent="0.2">
      <c r="A613" t="s">
        <v>970</v>
      </c>
      <c r="B613" t="s">
        <v>21</v>
      </c>
      <c r="C613" t="s">
        <v>32</v>
      </c>
      <c r="D613">
        <v>12</v>
      </c>
      <c r="E613">
        <v>8000</v>
      </c>
      <c r="F613" t="s">
        <v>616</v>
      </c>
      <c r="G613" s="2">
        <v>46044</v>
      </c>
      <c r="H613">
        <v>5</v>
      </c>
    </row>
    <row r="614" spans="1:8" x14ac:dyDescent="0.2">
      <c r="A614" t="s">
        <v>971</v>
      </c>
      <c r="B614" t="s">
        <v>21</v>
      </c>
      <c r="C614" t="s">
        <v>39</v>
      </c>
      <c r="D614">
        <v>6</v>
      </c>
      <c r="E614">
        <v>12000</v>
      </c>
      <c r="F614" t="s">
        <v>282</v>
      </c>
      <c r="G614" s="2">
        <v>46097</v>
      </c>
      <c r="H614">
        <v>0</v>
      </c>
    </row>
    <row r="615" spans="1:8" x14ac:dyDescent="0.2">
      <c r="A615" t="s">
        <v>972</v>
      </c>
      <c r="B615" t="s">
        <v>21</v>
      </c>
      <c r="C615" t="s">
        <v>70</v>
      </c>
      <c r="D615">
        <v>4</v>
      </c>
      <c r="E615">
        <v>28000</v>
      </c>
      <c r="F615" t="s">
        <v>789</v>
      </c>
      <c r="G615" s="2">
        <v>46184</v>
      </c>
      <c r="H615">
        <v>0</v>
      </c>
    </row>
    <row r="616" spans="1:8" x14ac:dyDescent="0.2">
      <c r="A616" t="s">
        <v>973</v>
      </c>
      <c r="B616" t="s">
        <v>14</v>
      </c>
      <c r="C616" t="s">
        <v>26</v>
      </c>
      <c r="D616">
        <v>24</v>
      </c>
      <c r="E616">
        <v>20000</v>
      </c>
      <c r="F616" t="s">
        <v>416</v>
      </c>
      <c r="G616" s="2">
        <v>46148</v>
      </c>
      <c r="H616">
        <v>4</v>
      </c>
    </row>
    <row r="617" spans="1:8" x14ac:dyDescent="0.2">
      <c r="A617" t="s">
        <v>974</v>
      </c>
      <c r="B617" t="s">
        <v>21</v>
      </c>
      <c r="C617" t="s">
        <v>10</v>
      </c>
      <c r="D617">
        <v>9</v>
      </c>
      <c r="E617">
        <v>15000</v>
      </c>
      <c r="F617" t="s">
        <v>975</v>
      </c>
      <c r="G617" s="2">
        <v>46046</v>
      </c>
      <c r="H617">
        <v>1</v>
      </c>
    </row>
    <row r="618" spans="1:8" x14ac:dyDescent="0.2">
      <c r="A618" t="s">
        <v>976</v>
      </c>
      <c r="B618" t="s">
        <v>25</v>
      </c>
      <c r="C618" t="s">
        <v>18</v>
      </c>
      <c r="D618">
        <v>2</v>
      </c>
      <c r="E618">
        <v>50000</v>
      </c>
      <c r="F618" t="s">
        <v>381</v>
      </c>
      <c r="G618" s="2">
        <v>46161</v>
      </c>
      <c r="H618">
        <v>1</v>
      </c>
    </row>
    <row r="619" spans="1:8" x14ac:dyDescent="0.2">
      <c r="A619" t="s">
        <v>977</v>
      </c>
      <c r="B619" t="s">
        <v>21</v>
      </c>
      <c r="C619" t="s">
        <v>45</v>
      </c>
      <c r="D619">
        <v>25</v>
      </c>
      <c r="E619" t="s">
        <v>11</v>
      </c>
      <c r="F619" t="s">
        <v>525</v>
      </c>
      <c r="G619" s="2">
        <v>46179</v>
      </c>
      <c r="H619">
        <v>0</v>
      </c>
    </row>
    <row r="620" spans="1:8" x14ac:dyDescent="0.2">
      <c r="A620" t="s">
        <v>978</v>
      </c>
      <c r="B620" t="s">
        <v>9</v>
      </c>
      <c r="C620" t="s">
        <v>26</v>
      </c>
      <c r="D620">
        <v>8</v>
      </c>
      <c r="E620">
        <v>20000</v>
      </c>
      <c r="F620" t="s">
        <v>541</v>
      </c>
      <c r="G620" s="2">
        <v>46105</v>
      </c>
      <c r="H620">
        <v>0</v>
      </c>
    </row>
    <row r="621" spans="1:8" x14ac:dyDescent="0.2">
      <c r="A621" t="s">
        <v>979</v>
      </c>
      <c r="B621" t="s">
        <v>25</v>
      </c>
      <c r="C621" t="s">
        <v>39</v>
      </c>
      <c r="D621">
        <v>1</v>
      </c>
      <c r="E621">
        <v>12000</v>
      </c>
      <c r="G621" s="2">
        <v>46177</v>
      </c>
      <c r="H621">
        <v>0</v>
      </c>
    </row>
    <row r="622" spans="1:8" x14ac:dyDescent="0.2">
      <c r="A622" t="s">
        <v>980</v>
      </c>
      <c r="B622" t="s">
        <v>14</v>
      </c>
      <c r="C622" t="s">
        <v>10</v>
      </c>
      <c r="D622">
        <v>23</v>
      </c>
      <c r="E622">
        <v>15000</v>
      </c>
      <c r="F622" t="s">
        <v>443</v>
      </c>
      <c r="G622" s="2">
        <v>46040</v>
      </c>
      <c r="H622">
        <v>0</v>
      </c>
    </row>
    <row r="623" spans="1:8" x14ac:dyDescent="0.2">
      <c r="A623" t="s">
        <v>981</v>
      </c>
      <c r="B623" t="s">
        <v>9</v>
      </c>
      <c r="C623" t="s">
        <v>70</v>
      </c>
      <c r="D623">
        <v>2</v>
      </c>
      <c r="E623">
        <v>28000</v>
      </c>
      <c r="F623" t="s">
        <v>352</v>
      </c>
      <c r="G623" s="2">
        <v>46179</v>
      </c>
      <c r="H623">
        <v>0</v>
      </c>
    </row>
    <row r="624" spans="1:8" x14ac:dyDescent="0.2">
      <c r="A624" t="s">
        <v>982</v>
      </c>
      <c r="B624" t="s">
        <v>21</v>
      </c>
      <c r="C624" t="s">
        <v>26</v>
      </c>
      <c r="D624">
        <v>15</v>
      </c>
      <c r="E624">
        <v>20000</v>
      </c>
      <c r="F624" t="s">
        <v>983</v>
      </c>
      <c r="G624" s="2">
        <v>46157</v>
      </c>
      <c r="H624">
        <v>0</v>
      </c>
    </row>
    <row r="625" spans="1:8" x14ac:dyDescent="0.2">
      <c r="A625" t="s">
        <v>984</v>
      </c>
      <c r="B625" t="s">
        <v>25</v>
      </c>
      <c r="C625" t="s">
        <v>18</v>
      </c>
      <c r="D625">
        <v>14</v>
      </c>
      <c r="E625">
        <v>50000</v>
      </c>
      <c r="F625" t="s">
        <v>113</v>
      </c>
      <c r="G625" s="2">
        <v>46134</v>
      </c>
      <c r="H625">
        <v>0</v>
      </c>
    </row>
    <row r="626" spans="1:8" x14ac:dyDescent="0.2">
      <c r="A626" t="s">
        <v>985</v>
      </c>
      <c r="B626" t="s">
        <v>14</v>
      </c>
      <c r="C626" t="s">
        <v>39</v>
      </c>
      <c r="D626">
        <v>18</v>
      </c>
      <c r="E626">
        <v>12000</v>
      </c>
      <c r="F626" t="s">
        <v>78</v>
      </c>
      <c r="G626" s="2">
        <v>46141</v>
      </c>
      <c r="H626">
        <v>0</v>
      </c>
    </row>
    <row r="627" spans="1:8" x14ac:dyDescent="0.2">
      <c r="A627" t="s">
        <v>986</v>
      </c>
      <c r="B627" t="s">
        <v>14</v>
      </c>
      <c r="C627" t="s">
        <v>32</v>
      </c>
      <c r="D627">
        <v>24</v>
      </c>
      <c r="E627">
        <v>8000</v>
      </c>
      <c r="F627" t="s">
        <v>374</v>
      </c>
      <c r="G627" s="2">
        <v>46031</v>
      </c>
      <c r="H627">
        <v>1</v>
      </c>
    </row>
    <row r="628" spans="1:8" x14ac:dyDescent="0.2">
      <c r="A628" t="s">
        <v>987</v>
      </c>
      <c r="B628" t="s">
        <v>25</v>
      </c>
      <c r="C628" t="s">
        <v>45</v>
      </c>
      <c r="D628">
        <v>24</v>
      </c>
      <c r="E628">
        <v>20000</v>
      </c>
      <c r="G628" s="2">
        <v>46076</v>
      </c>
      <c r="H628">
        <v>0</v>
      </c>
    </row>
    <row r="629" spans="1:8" x14ac:dyDescent="0.2">
      <c r="A629" t="s">
        <v>988</v>
      </c>
      <c r="B629" t="s">
        <v>14</v>
      </c>
      <c r="C629" t="s">
        <v>70</v>
      </c>
      <c r="D629" t="s">
        <v>11</v>
      </c>
      <c r="E629">
        <v>28000</v>
      </c>
      <c r="F629" t="s">
        <v>173</v>
      </c>
      <c r="G629" s="2">
        <v>46158</v>
      </c>
      <c r="H629">
        <v>0</v>
      </c>
    </row>
    <row r="630" spans="1:8" x14ac:dyDescent="0.2">
      <c r="A630" t="s">
        <v>989</v>
      </c>
      <c r="B630" t="s">
        <v>14</v>
      </c>
      <c r="C630" t="s">
        <v>724</v>
      </c>
      <c r="D630">
        <v>1</v>
      </c>
      <c r="E630">
        <v>20000</v>
      </c>
      <c r="F630" t="s">
        <v>372</v>
      </c>
      <c r="G630" s="2">
        <v>46172</v>
      </c>
      <c r="H630">
        <v>0</v>
      </c>
    </row>
    <row r="631" spans="1:8" x14ac:dyDescent="0.2">
      <c r="A631" t="s">
        <v>991</v>
      </c>
      <c r="B631" t="s">
        <v>25</v>
      </c>
      <c r="C631" t="s">
        <v>70</v>
      </c>
      <c r="D631">
        <v>13</v>
      </c>
      <c r="E631">
        <v>28000</v>
      </c>
      <c r="F631" t="s">
        <v>942</v>
      </c>
      <c r="G631" s="2">
        <v>46193</v>
      </c>
      <c r="H631">
        <v>2</v>
      </c>
    </row>
    <row r="632" spans="1:8" x14ac:dyDescent="0.2">
      <c r="A632" t="s">
        <v>992</v>
      </c>
      <c r="B632" t="s">
        <v>25</v>
      </c>
      <c r="C632" t="s">
        <v>18</v>
      </c>
      <c r="D632">
        <v>19</v>
      </c>
      <c r="E632">
        <v>50000</v>
      </c>
      <c r="F632" t="s">
        <v>541</v>
      </c>
      <c r="G632" s="2">
        <v>46128</v>
      </c>
      <c r="H632">
        <v>0</v>
      </c>
    </row>
    <row r="633" spans="1:8" x14ac:dyDescent="0.2">
      <c r="A633" t="s">
        <v>993</v>
      </c>
      <c r="B633" t="s">
        <v>9</v>
      </c>
      <c r="C633" t="s">
        <v>22</v>
      </c>
      <c r="D633">
        <v>18</v>
      </c>
      <c r="E633">
        <v>35000</v>
      </c>
      <c r="F633" t="s">
        <v>203</v>
      </c>
      <c r="G633" s="2">
        <v>46082</v>
      </c>
      <c r="H633">
        <v>0</v>
      </c>
    </row>
    <row r="634" spans="1:8" x14ac:dyDescent="0.2">
      <c r="A634" t="s">
        <v>994</v>
      </c>
      <c r="B634" t="s">
        <v>9</v>
      </c>
      <c r="C634" t="s">
        <v>70</v>
      </c>
      <c r="D634">
        <v>3</v>
      </c>
      <c r="E634">
        <v>28000</v>
      </c>
      <c r="F634" t="s">
        <v>898</v>
      </c>
      <c r="G634" s="2">
        <v>46072</v>
      </c>
      <c r="H634">
        <v>0</v>
      </c>
    </row>
    <row r="635" spans="1:8" x14ac:dyDescent="0.2">
      <c r="A635" t="s">
        <v>995</v>
      </c>
      <c r="B635" t="s">
        <v>14</v>
      </c>
      <c r="C635" t="s">
        <v>45</v>
      </c>
      <c r="D635">
        <v>1</v>
      </c>
      <c r="E635">
        <v>20000</v>
      </c>
      <c r="F635" t="s">
        <v>214</v>
      </c>
      <c r="G635" s="2">
        <v>46202</v>
      </c>
      <c r="H635">
        <v>0</v>
      </c>
    </row>
    <row r="636" spans="1:8" x14ac:dyDescent="0.2">
      <c r="A636" t="s">
        <v>996</v>
      </c>
      <c r="B636" t="s">
        <v>9</v>
      </c>
      <c r="C636" t="s">
        <v>39</v>
      </c>
      <c r="D636">
        <v>3</v>
      </c>
      <c r="E636">
        <v>12000</v>
      </c>
      <c r="F636" t="s">
        <v>997</v>
      </c>
      <c r="G636" t="s">
        <v>998</v>
      </c>
      <c r="H636" t="s">
        <v>55</v>
      </c>
    </row>
    <row r="637" spans="1:8" x14ac:dyDescent="0.2">
      <c r="A637" t="s">
        <v>999</v>
      </c>
      <c r="B637" t="s">
        <v>14</v>
      </c>
      <c r="C637" t="s">
        <v>10</v>
      </c>
      <c r="D637">
        <v>25</v>
      </c>
      <c r="E637">
        <v>15000</v>
      </c>
      <c r="F637" t="s">
        <v>626</v>
      </c>
      <c r="G637" s="2">
        <v>46093</v>
      </c>
      <c r="H637">
        <v>0</v>
      </c>
    </row>
    <row r="638" spans="1:8" x14ac:dyDescent="0.2">
      <c r="A638" t="s">
        <v>1000</v>
      </c>
      <c r="B638" t="s">
        <v>21</v>
      </c>
      <c r="C638" t="s">
        <v>32</v>
      </c>
      <c r="D638">
        <v>19</v>
      </c>
      <c r="E638">
        <v>8000</v>
      </c>
      <c r="F638" t="s">
        <v>171</v>
      </c>
      <c r="G638" s="2">
        <v>46066</v>
      </c>
      <c r="H638">
        <v>0</v>
      </c>
    </row>
    <row r="639" spans="1:8" x14ac:dyDescent="0.2">
      <c r="A639" t="s">
        <v>1001</v>
      </c>
      <c r="B639" t="s">
        <v>9</v>
      </c>
      <c r="C639" t="s">
        <v>10</v>
      </c>
      <c r="D639">
        <v>4</v>
      </c>
      <c r="E639">
        <v>15000</v>
      </c>
      <c r="F639" t="s">
        <v>646</v>
      </c>
      <c r="G639" s="2">
        <v>46114</v>
      </c>
      <c r="H639">
        <v>0</v>
      </c>
    </row>
    <row r="640" spans="1:8" x14ac:dyDescent="0.2">
      <c r="A640" t="s">
        <v>1002</v>
      </c>
      <c r="B640" t="s">
        <v>21</v>
      </c>
      <c r="C640" t="s">
        <v>32</v>
      </c>
      <c r="D640">
        <v>8</v>
      </c>
      <c r="E640">
        <v>8000</v>
      </c>
      <c r="F640" t="s">
        <v>63</v>
      </c>
      <c r="G640" t="s">
        <v>1003</v>
      </c>
      <c r="H640">
        <v>0</v>
      </c>
    </row>
    <row r="641" spans="1:8" x14ac:dyDescent="0.2">
      <c r="A641" t="s">
        <v>1004</v>
      </c>
      <c r="B641" t="s">
        <v>25</v>
      </c>
      <c r="C641" t="s">
        <v>32</v>
      </c>
      <c r="D641">
        <v>18</v>
      </c>
      <c r="E641">
        <v>8000</v>
      </c>
      <c r="F641" t="s">
        <v>146</v>
      </c>
      <c r="G641" s="2">
        <v>46188</v>
      </c>
      <c r="H641">
        <v>0</v>
      </c>
    </row>
    <row r="642" spans="1:8" x14ac:dyDescent="0.2">
      <c r="A642" t="s">
        <v>1005</v>
      </c>
      <c r="B642" t="s">
        <v>9</v>
      </c>
      <c r="C642" t="s">
        <v>22</v>
      </c>
      <c r="D642" t="s">
        <v>529</v>
      </c>
      <c r="E642">
        <v>35000</v>
      </c>
      <c r="F642" t="s">
        <v>530</v>
      </c>
      <c r="G642" s="2">
        <v>46162</v>
      </c>
      <c r="H642">
        <v>0</v>
      </c>
    </row>
    <row r="643" spans="1:8" x14ac:dyDescent="0.2">
      <c r="A643" t="s">
        <v>1006</v>
      </c>
      <c r="B643" t="s">
        <v>14</v>
      </c>
      <c r="C643" t="s">
        <v>22</v>
      </c>
      <c r="D643">
        <v>14</v>
      </c>
      <c r="E643">
        <v>35000</v>
      </c>
      <c r="F643" t="s">
        <v>861</v>
      </c>
      <c r="G643" s="2">
        <v>46115</v>
      </c>
      <c r="H643">
        <v>0</v>
      </c>
    </row>
    <row r="644" spans="1:8" x14ac:dyDescent="0.2">
      <c r="A644" t="s">
        <v>1007</v>
      </c>
      <c r="B644" t="s">
        <v>21</v>
      </c>
      <c r="C644" t="s">
        <v>26</v>
      </c>
      <c r="D644">
        <v>12</v>
      </c>
      <c r="E644">
        <v>20000</v>
      </c>
      <c r="F644" t="s">
        <v>374</v>
      </c>
      <c r="G644" s="2">
        <v>46090</v>
      </c>
      <c r="H644">
        <v>0</v>
      </c>
    </row>
    <row r="645" spans="1:8" x14ac:dyDescent="0.2">
      <c r="A645" t="s">
        <v>1008</v>
      </c>
      <c r="B645" t="s">
        <v>9</v>
      </c>
      <c r="C645" t="s">
        <v>10</v>
      </c>
      <c r="D645">
        <v>20</v>
      </c>
      <c r="E645">
        <v>15000</v>
      </c>
      <c r="F645" t="s">
        <v>400</v>
      </c>
      <c r="G645" s="2">
        <v>46126</v>
      </c>
      <c r="H645">
        <v>24</v>
      </c>
    </row>
    <row r="646" spans="1:8" x14ac:dyDescent="0.2">
      <c r="A646" t="s">
        <v>1009</v>
      </c>
      <c r="B646" t="s">
        <v>21</v>
      </c>
      <c r="C646" t="s">
        <v>39</v>
      </c>
      <c r="D646">
        <v>1</v>
      </c>
      <c r="E646">
        <v>12000</v>
      </c>
      <c r="F646" t="s">
        <v>656</v>
      </c>
      <c r="G646" s="2">
        <v>46120</v>
      </c>
      <c r="H646">
        <v>0</v>
      </c>
    </row>
    <row r="647" spans="1:8" x14ac:dyDescent="0.2">
      <c r="A647" t="s">
        <v>1010</v>
      </c>
      <c r="B647" t="s">
        <v>21</v>
      </c>
      <c r="C647" t="s">
        <v>10</v>
      </c>
      <c r="D647">
        <v>24</v>
      </c>
      <c r="E647">
        <v>15000</v>
      </c>
      <c r="F647" t="s">
        <v>516</v>
      </c>
      <c r="G647" s="2">
        <v>46074</v>
      </c>
      <c r="H647">
        <v>0</v>
      </c>
    </row>
    <row r="648" spans="1:8" x14ac:dyDescent="0.2">
      <c r="A648" t="s">
        <v>1011</v>
      </c>
      <c r="B648" t="s">
        <v>9</v>
      </c>
      <c r="C648" t="s">
        <v>1012</v>
      </c>
      <c r="D648">
        <v>3</v>
      </c>
      <c r="E648">
        <v>8000</v>
      </c>
      <c r="F648" t="s">
        <v>137</v>
      </c>
      <c r="G648" s="2">
        <v>46109</v>
      </c>
      <c r="H648">
        <v>0</v>
      </c>
    </row>
    <row r="649" spans="1:8" x14ac:dyDescent="0.2">
      <c r="A649" t="s">
        <v>1013</v>
      </c>
      <c r="B649" t="s">
        <v>14</v>
      </c>
      <c r="C649" t="s">
        <v>26</v>
      </c>
      <c r="D649">
        <v>2</v>
      </c>
      <c r="E649">
        <v>20000</v>
      </c>
      <c r="F649" t="s">
        <v>507</v>
      </c>
      <c r="G649" s="2">
        <v>46084</v>
      </c>
      <c r="H649">
        <v>0</v>
      </c>
    </row>
    <row r="650" spans="1:8" x14ac:dyDescent="0.2">
      <c r="A650" t="s">
        <v>1014</v>
      </c>
      <c r="B650" t="s">
        <v>9</v>
      </c>
      <c r="C650" t="s">
        <v>70</v>
      </c>
      <c r="D650">
        <v>15</v>
      </c>
      <c r="E650">
        <v>28000</v>
      </c>
      <c r="F650" t="s">
        <v>146</v>
      </c>
      <c r="G650" s="2">
        <v>46197</v>
      </c>
      <c r="H650">
        <v>0</v>
      </c>
    </row>
    <row r="651" spans="1:8" x14ac:dyDescent="0.2">
      <c r="A651" t="s">
        <v>1015</v>
      </c>
      <c r="B651" t="s">
        <v>25</v>
      </c>
      <c r="C651" t="s">
        <v>681</v>
      </c>
      <c r="D651">
        <v>14</v>
      </c>
      <c r="E651">
        <v>50000</v>
      </c>
      <c r="F651" t="s">
        <v>241</v>
      </c>
      <c r="G651" s="2">
        <v>46175</v>
      </c>
      <c r="H651">
        <v>3</v>
      </c>
    </row>
    <row r="652" spans="1:8" x14ac:dyDescent="0.2">
      <c r="A652" t="s">
        <v>1016</v>
      </c>
      <c r="B652" t="s">
        <v>21</v>
      </c>
      <c r="C652" t="s">
        <v>18</v>
      </c>
      <c r="D652">
        <v>9</v>
      </c>
      <c r="E652">
        <v>75000</v>
      </c>
      <c r="F652" t="s">
        <v>92</v>
      </c>
      <c r="G652" s="2">
        <v>46077</v>
      </c>
      <c r="H652">
        <v>0</v>
      </c>
    </row>
    <row r="653" spans="1:8" x14ac:dyDescent="0.2">
      <c r="A653" t="s">
        <v>1017</v>
      </c>
      <c r="B653" t="s">
        <v>9</v>
      </c>
      <c r="C653" t="s">
        <v>559</v>
      </c>
      <c r="D653">
        <v>-5</v>
      </c>
      <c r="E653">
        <v>15000</v>
      </c>
      <c r="F653" t="s">
        <v>784</v>
      </c>
      <c r="G653" s="2">
        <v>46108</v>
      </c>
      <c r="H653">
        <v>0</v>
      </c>
    </row>
    <row r="654" spans="1:8" x14ac:dyDescent="0.2">
      <c r="A654" t="s">
        <v>1018</v>
      </c>
      <c r="B654" t="s">
        <v>14</v>
      </c>
      <c r="C654" t="s">
        <v>70</v>
      </c>
      <c r="D654">
        <v>1</v>
      </c>
      <c r="E654">
        <v>28000</v>
      </c>
      <c r="F654" t="s">
        <v>263</v>
      </c>
      <c r="G654" s="2">
        <v>46148</v>
      </c>
      <c r="H654">
        <v>0</v>
      </c>
    </row>
    <row r="655" spans="1:8" x14ac:dyDescent="0.2">
      <c r="A655" t="s">
        <v>1019</v>
      </c>
      <c r="B655" t="s">
        <v>9</v>
      </c>
      <c r="C655" t="s">
        <v>18</v>
      </c>
      <c r="D655">
        <v>20</v>
      </c>
      <c r="E655">
        <v>50000</v>
      </c>
      <c r="F655" t="s">
        <v>226</v>
      </c>
      <c r="G655" s="2">
        <v>46099</v>
      </c>
      <c r="H655">
        <v>0</v>
      </c>
    </row>
    <row r="656" spans="1:8" x14ac:dyDescent="0.2">
      <c r="A656" t="s">
        <v>1020</v>
      </c>
      <c r="B656" t="s">
        <v>14</v>
      </c>
      <c r="C656" t="s">
        <v>793</v>
      </c>
      <c r="D656">
        <v>17</v>
      </c>
      <c r="E656">
        <v>8000</v>
      </c>
      <c r="F656" t="s">
        <v>54</v>
      </c>
      <c r="G656" s="2">
        <v>46178</v>
      </c>
      <c r="H656">
        <v>1</v>
      </c>
    </row>
    <row r="657" spans="1:8" x14ac:dyDescent="0.2">
      <c r="A657" t="s">
        <v>1021</v>
      </c>
      <c r="B657" t="s">
        <v>9</v>
      </c>
      <c r="C657" t="s">
        <v>70</v>
      </c>
      <c r="D657">
        <v>8</v>
      </c>
      <c r="E657">
        <v>28000</v>
      </c>
      <c r="F657" t="s">
        <v>103</v>
      </c>
      <c r="G657" s="2">
        <v>46033</v>
      </c>
      <c r="H657">
        <v>0</v>
      </c>
    </row>
    <row r="658" spans="1:8" x14ac:dyDescent="0.2">
      <c r="A658" t="s">
        <v>1022</v>
      </c>
      <c r="B658" t="s">
        <v>25</v>
      </c>
      <c r="C658" t="s">
        <v>45</v>
      </c>
      <c r="D658">
        <v>6</v>
      </c>
      <c r="E658">
        <v>20000</v>
      </c>
      <c r="G658" s="2">
        <v>46109</v>
      </c>
      <c r="H658">
        <v>2</v>
      </c>
    </row>
    <row r="659" spans="1:8" x14ac:dyDescent="0.2">
      <c r="A659" t="s">
        <v>1023</v>
      </c>
      <c r="B659" t="s">
        <v>21</v>
      </c>
      <c r="C659" t="s">
        <v>45</v>
      </c>
      <c r="D659">
        <v>3</v>
      </c>
      <c r="E659">
        <v>20000</v>
      </c>
      <c r="F659" t="s">
        <v>410</v>
      </c>
      <c r="G659" s="2">
        <v>46026</v>
      </c>
      <c r="H659">
        <v>0</v>
      </c>
    </row>
    <row r="660" spans="1:8" x14ac:dyDescent="0.2">
      <c r="A660" t="s">
        <v>1024</v>
      </c>
      <c r="B660" t="s">
        <v>25</v>
      </c>
      <c r="C660" t="s">
        <v>22</v>
      </c>
      <c r="D660">
        <v>1</v>
      </c>
      <c r="E660">
        <v>35000</v>
      </c>
      <c r="F660" t="s">
        <v>33</v>
      </c>
      <c r="G660" s="2">
        <v>46168</v>
      </c>
      <c r="H660">
        <v>0</v>
      </c>
    </row>
    <row r="661" spans="1:8" x14ac:dyDescent="0.2">
      <c r="A661" t="s">
        <v>1025</v>
      </c>
      <c r="B661" t="s">
        <v>21</v>
      </c>
      <c r="C661" t="s">
        <v>22</v>
      </c>
      <c r="D661">
        <v>13</v>
      </c>
      <c r="E661">
        <v>35000</v>
      </c>
      <c r="F661" t="s">
        <v>452</v>
      </c>
      <c r="G661" s="2">
        <v>46160</v>
      </c>
      <c r="H661">
        <v>0</v>
      </c>
    </row>
    <row r="662" spans="1:8" x14ac:dyDescent="0.2">
      <c r="A662" t="s">
        <v>1026</v>
      </c>
      <c r="B662" t="s">
        <v>14</v>
      </c>
      <c r="C662" t="s">
        <v>18</v>
      </c>
      <c r="D662">
        <v>10</v>
      </c>
      <c r="E662">
        <v>50000</v>
      </c>
      <c r="F662" t="s">
        <v>630</v>
      </c>
      <c r="G662" s="2">
        <v>46082</v>
      </c>
      <c r="H662">
        <v>0</v>
      </c>
    </row>
    <row r="663" spans="1:8" x14ac:dyDescent="0.2">
      <c r="A663" t="s">
        <v>1027</v>
      </c>
      <c r="B663" t="s">
        <v>14</v>
      </c>
      <c r="C663" t="s">
        <v>26</v>
      </c>
      <c r="D663">
        <v>6</v>
      </c>
      <c r="E663">
        <v>20000</v>
      </c>
      <c r="F663" t="s">
        <v>92</v>
      </c>
      <c r="G663" s="2">
        <v>46048</v>
      </c>
      <c r="H663">
        <v>0</v>
      </c>
    </row>
    <row r="664" spans="1:8" x14ac:dyDescent="0.2">
      <c r="A664" t="s">
        <v>1028</v>
      </c>
      <c r="B664" t="s">
        <v>25</v>
      </c>
      <c r="C664" t="s">
        <v>32</v>
      </c>
      <c r="D664">
        <v>-9</v>
      </c>
      <c r="E664">
        <v>8000</v>
      </c>
      <c r="F664" t="s">
        <v>776</v>
      </c>
      <c r="G664" s="2">
        <v>46102</v>
      </c>
      <c r="H664">
        <v>0</v>
      </c>
    </row>
    <row r="665" spans="1:8" x14ac:dyDescent="0.2">
      <c r="A665" t="s">
        <v>1029</v>
      </c>
      <c r="B665" t="s">
        <v>25</v>
      </c>
      <c r="C665" t="s">
        <v>45</v>
      </c>
      <c r="D665">
        <v>22</v>
      </c>
      <c r="E665">
        <v>20000</v>
      </c>
      <c r="F665" t="s">
        <v>167</v>
      </c>
      <c r="G665" s="2">
        <v>46098</v>
      </c>
      <c r="H665">
        <v>0</v>
      </c>
    </row>
    <row r="666" spans="1:8" x14ac:dyDescent="0.2">
      <c r="A666" t="s">
        <v>1030</v>
      </c>
      <c r="B666" t="s">
        <v>25</v>
      </c>
      <c r="C666" t="s">
        <v>18</v>
      </c>
      <c r="D666">
        <v>20</v>
      </c>
      <c r="E666" t="s">
        <v>11</v>
      </c>
      <c r="G666" s="2">
        <v>46133</v>
      </c>
      <c r="H666">
        <v>0</v>
      </c>
    </row>
    <row r="667" spans="1:8" x14ac:dyDescent="0.2">
      <c r="A667" t="s">
        <v>1031</v>
      </c>
      <c r="B667" t="s">
        <v>25</v>
      </c>
      <c r="C667" t="s">
        <v>10</v>
      </c>
      <c r="D667">
        <v>3</v>
      </c>
      <c r="E667">
        <v>15000</v>
      </c>
      <c r="F667" t="s">
        <v>942</v>
      </c>
      <c r="G667" s="2">
        <v>46026</v>
      </c>
      <c r="H667">
        <v>0</v>
      </c>
    </row>
    <row r="668" spans="1:8" x14ac:dyDescent="0.2">
      <c r="A668" t="s">
        <v>1032</v>
      </c>
      <c r="B668" t="s">
        <v>21</v>
      </c>
      <c r="C668" t="s">
        <v>45</v>
      </c>
      <c r="D668">
        <v>3</v>
      </c>
      <c r="E668">
        <v>20000</v>
      </c>
      <c r="F668" t="s">
        <v>159</v>
      </c>
      <c r="G668" s="2">
        <v>46051</v>
      </c>
      <c r="H668">
        <v>0</v>
      </c>
    </row>
    <row r="669" spans="1:8" x14ac:dyDescent="0.2">
      <c r="A669" t="s">
        <v>1033</v>
      </c>
      <c r="B669" t="s">
        <v>21</v>
      </c>
      <c r="C669" t="s">
        <v>70</v>
      </c>
      <c r="D669">
        <v>15</v>
      </c>
      <c r="E669">
        <v>28000</v>
      </c>
      <c r="F669" t="s">
        <v>614</v>
      </c>
      <c r="G669" s="2">
        <v>46200</v>
      </c>
      <c r="H669">
        <v>0</v>
      </c>
    </row>
    <row r="670" spans="1:8" x14ac:dyDescent="0.2">
      <c r="A670" t="s">
        <v>1034</v>
      </c>
      <c r="B670" t="s">
        <v>25</v>
      </c>
      <c r="C670" t="s">
        <v>39</v>
      </c>
      <c r="D670">
        <v>6</v>
      </c>
      <c r="E670">
        <v>12000</v>
      </c>
      <c r="F670" t="s">
        <v>294</v>
      </c>
      <c r="H670">
        <v>1</v>
      </c>
    </row>
    <row r="671" spans="1:8" x14ac:dyDescent="0.2">
      <c r="A671" t="s">
        <v>1035</v>
      </c>
      <c r="B671" t="s">
        <v>14</v>
      </c>
      <c r="C671" t="s">
        <v>70</v>
      </c>
      <c r="D671">
        <v>6</v>
      </c>
      <c r="E671">
        <v>28000</v>
      </c>
      <c r="F671" t="s">
        <v>692</v>
      </c>
      <c r="G671" s="2">
        <v>46075</v>
      </c>
      <c r="H671">
        <v>5</v>
      </c>
    </row>
    <row r="672" spans="1:8" x14ac:dyDescent="0.2">
      <c r="A672" t="s">
        <v>1036</v>
      </c>
      <c r="B672" t="s">
        <v>14</v>
      </c>
      <c r="C672" t="s">
        <v>22</v>
      </c>
      <c r="D672">
        <v>22</v>
      </c>
      <c r="E672">
        <v>35000</v>
      </c>
      <c r="F672" t="s">
        <v>287</v>
      </c>
      <c r="G672" s="2">
        <v>46123</v>
      </c>
      <c r="H672">
        <v>1</v>
      </c>
    </row>
    <row r="673" spans="1:8" x14ac:dyDescent="0.2">
      <c r="A673" t="s">
        <v>1037</v>
      </c>
      <c r="B673" t="s">
        <v>21</v>
      </c>
      <c r="C673" t="s">
        <v>18</v>
      </c>
      <c r="D673">
        <v>12</v>
      </c>
      <c r="E673">
        <v>50000</v>
      </c>
      <c r="F673" t="s">
        <v>328</v>
      </c>
      <c r="G673" s="2">
        <v>46189</v>
      </c>
      <c r="H673">
        <v>0</v>
      </c>
    </row>
    <row r="674" spans="1:8" x14ac:dyDescent="0.2">
      <c r="A674" t="s">
        <v>1038</v>
      </c>
      <c r="B674" t="s">
        <v>21</v>
      </c>
      <c r="C674" t="s">
        <v>39</v>
      </c>
      <c r="D674">
        <v>13</v>
      </c>
      <c r="E674">
        <v>12000</v>
      </c>
      <c r="F674" t="s">
        <v>1039</v>
      </c>
      <c r="G674" s="2">
        <v>46058</v>
      </c>
      <c r="H674">
        <v>3</v>
      </c>
    </row>
    <row r="675" spans="1:8" x14ac:dyDescent="0.2">
      <c r="A675" t="s">
        <v>1040</v>
      </c>
      <c r="B675" t="s">
        <v>14</v>
      </c>
      <c r="C675" t="s">
        <v>26</v>
      </c>
      <c r="D675">
        <v>16</v>
      </c>
      <c r="E675">
        <v>20000</v>
      </c>
      <c r="F675" t="s">
        <v>656</v>
      </c>
      <c r="G675" s="2">
        <v>46043</v>
      </c>
      <c r="H675">
        <v>0</v>
      </c>
    </row>
    <row r="676" spans="1:8" x14ac:dyDescent="0.2">
      <c r="A676" t="s">
        <v>1041</v>
      </c>
      <c r="B676" t="s">
        <v>25</v>
      </c>
      <c r="C676" t="s">
        <v>70</v>
      </c>
      <c r="D676">
        <v>4</v>
      </c>
      <c r="E676">
        <v>28000</v>
      </c>
      <c r="F676" t="s">
        <v>209</v>
      </c>
      <c r="G676" s="2">
        <v>46105</v>
      </c>
      <c r="H676">
        <v>0</v>
      </c>
    </row>
    <row r="677" spans="1:8" x14ac:dyDescent="0.2">
      <c r="A677" t="s">
        <v>1042</v>
      </c>
      <c r="B677" t="s">
        <v>9</v>
      </c>
      <c r="C677" t="s">
        <v>45</v>
      </c>
      <c r="D677">
        <v>2</v>
      </c>
      <c r="E677">
        <v>20000</v>
      </c>
      <c r="F677" t="s">
        <v>593</v>
      </c>
      <c r="G677" s="2">
        <v>46063</v>
      </c>
      <c r="H677">
        <v>0</v>
      </c>
    </row>
    <row r="678" spans="1:8" x14ac:dyDescent="0.2">
      <c r="A678" t="s">
        <v>1043</v>
      </c>
      <c r="B678" t="s">
        <v>9</v>
      </c>
      <c r="C678" t="s">
        <v>39</v>
      </c>
      <c r="D678" t="s">
        <v>490</v>
      </c>
      <c r="E678">
        <v>12000</v>
      </c>
      <c r="F678" t="s">
        <v>155</v>
      </c>
      <c r="G678" s="2">
        <v>46108</v>
      </c>
      <c r="H678">
        <v>0</v>
      </c>
    </row>
    <row r="679" spans="1:8" x14ac:dyDescent="0.2">
      <c r="A679" t="s">
        <v>1044</v>
      </c>
      <c r="B679" t="s">
        <v>14</v>
      </c>
      <c r="C679" t="s">
        <v>559</v>
      </c>
      <c r="D679">
        <v>15</v>
      </c>
      <c r="E679">
        <v>15000</v>
      </c>
      <c r="F679" t="s">
        <v>406</v>
      </c>
      <c r="G679" s="2">
        <v>46075</v>
      </c>
      <c r="H679">
        <v>0</v>
      </c>
    </row>
    <row r="680" spans="1:8" x14ac:dyDescent="0.2">
      <c r="A680" t="s">
        <v>1045</v>
      </c>
      <c r="B680" t="s">
        <v>21</v>
      </c>
      <c r="C680" t="s">
        <v>22</v>
      </c>
      <c r="D680">
        <v>16</v>
      </c>
      <c r="E680">
        <v>35000</v>
      </c>
      <c r="F680" t="s">
        <v>616</v>
      </c>
      <c r="G680" s="2">
        <v>46083</v>
      </c>
      <c r="H680">
        <v>0</v>
      </c>
    </row>
    <row r="681" spans="1:8" x14ac:dyDescent="0.2">
      <c r="A681" t="s">
        <v>1046</v>
      </c>
      <c r="B681" t="s">
        <v>25</v>
      </c>
      <c r="C681" t="s">
        <v>32</v>
      </c>
      <c r="D681">
        <v>18</v>
      </c>
      <c r="E681">
        <v>8000</v>
      </c>
      <c r="F681" t="s">
        <v>244</v>
      </c>
      <c r="G681" s="2">
        <v>46086</v>
      </c>
      <c r="H681">
        <v>0</v>
      </c>
    </row>
    <row r="682" spans="1:8" x14ac:dyDescent="0.2">
      <c r="A682" t="s">
        <v>1047</v>
      </c>
      <c r="B682" t="s">
        <v>21</v>
      </c>
      <c r="C682" t="s">
        <v>26</v>
      </c>
      <c r="D682">
        <v>10</v>
      </c>
      <c r="E682">
        <v>20000</v>
      </c>
      <c r="F682" t="s">
        <v>541</v>
      </c>
      <c r="G682" s="2">
        <v>46178</v>
      </c>
      <c r="H682">
        <v>0</v>
      </c>
    </row>
    <row r="683" spans="1:8" x14ac:dyDescent="0.2">
      <c r="A683" t="s">
        <v>1048</v>
      </c>
      <c r="B683" t="s">
        <v>25</v>
      </c>
      <c r="C683" t="s">
        <v>22</v>
      </c>
      <c r="D683">
        <v>1</v>
      </c>
      <c r="E683">
        <v>35000</v>
      </c>
      <c r="F683" t="s">
        <v>46</v>
      </c>
      <c r="H683">
        <v>0</v>
      </c>
    </row>
    <row r="684" spans="1:8" x14ac:dyDescent="0.2">
      <c r="A684" t="s">
        <v>1049</v>
      </c>
      <c r="B684" t="s">
        <v>9</v>
      </c>
      <c r="C684" t="s">
        <v>39</v>
      </c>
      <c r="D684">
        <v>8</v>
      </c>
      <c r="E684">
        <v>12000</v>
      </c>
      <c r="F684" t="s">
        <v>181</v>
      </c>
      <c r="G684" s="2">
        <v>46099</v>
      </c>
      <c r="H684" t="s">
        <v>55</v>
      </c>
    </row>
    <row r="685" spans="1:8" x14ac:dyDescent="0.2">
      <c r="A685" t="s">
        <v>1050</v>
      </c>
      <c r="B685" t="s">
        <v>9</v>
      </c>
      <c r="C685" t="s">
        <v>45</v>
      </c>
      <c r="D685">
        <v>19</v>
      </c>
      <c r="E685">
        <v>40000</v>
      </c>
      <c r="F685" t="s">
        <v>30</v>
      </c>
      <c r="G685" s="2">
        <v>46182</v>
      </c>
      <c r="H685">
        <v>0</v>
      </c>
    </row>
    <row r="686" spans="1:8" x14ac:dyDescent="0.2">
      <c r="A686" t="s">
        <v>1051</v>
      </c>
      <c r="B686" t="s">
        <v>9</v>
      </c>
      <c r="C686" t="s">
        <v>10</v>
      </c>
      <c r="D686">
        <v>9</v>
      </c>
      <c r="E686">
        <v>15000</v>
      </c>
      <c r="F686" t="s">
        <v>677</v>
      </c>
      <c r="G686" s="2">
        <v>46169</v>
      </c>
      <c r="H686">
        <v>5</v>
      </c>
    </row>
    <row r="687" spans="1:8" x14ac:dyDescent="0.2">
      <c r="A687" t="s">
        <v>1052</v>
      </c>
      <c r="B687" t="s">
        <v>21</v>
      </c>
      <c r="C687" t="s">
        <v>607</v>
      </c>
      <c r="D687">
        <v>19</v>
      </c>
      <c r="E687">
        <v>20000</v>
      </c>
      <c r="G687" s="2">
        <v>46081</v>
      </c>
      <c r="H687" t="s">
        <v>55</v>
      </c>
    </row>
    <row r="688" spans="1:8" x14ac:dyDescent="0.2">
      <c r="A688" t="s">
        <v>1053</v>
      </c>
      <c r="B688" t="s">
        <v>9</v>
      </c>
      <c r="C688" t="s">
        <v>26</v>
      </c>
      <c r="D688">
        <v>-2</v>
      </c>
      <c r="E688">
        <v>20000</v>
      </c>
      <c r="F688" t="s">
        <v>1054</v>
      </c>
      <c r="G688" s="2">
        <v>46171</v>
      </c>
      <c r="H688">
        <v>0</v>
      </c>
    </row>
    <row r="689" spans="1:8" x14ac:dyDescent="0.2">
      <c r="A689" t="s">
        <v>1055</v>
      </c>
      <c r="B689" t="s">
        <v>9</v>
      </c>
      <c r="C689" t="s">
        <v>18</v>
      </c>
      <c r="D689" t="s">
        <v>150</v>
      </c>
      <c r="E689">
        <v>50000</v>
      </c>
      <c r="F689" t="s">
        <v>257</v>
      </c>
      <c r="G689" s="2">
        <v>46101</v>
      </c>
      <c r="H689">
        <v>0</v>
      </c>
    </row>
    <row r="690" spans="1:8" x14ac:dyDescent="0.2">
      <c r="A690" t="s">
        <v>1056</v>
      </c>
      <c r="B690" t="s">
        <v>14</v>
      </c>
      <c r="C690" t="s">
        <v>39</v>
      </c>
      <c r="D690">
        <v>3</v>
      </c>
      <c r="E690">
        <v>12000</v>
      </c>
      <c r="F690" t="s">
        <v>593</v>
      </c>
      <c r="G690" s="2">
        <v>46134</v>
      </c>
      <c r="H690">
        <v>0</v>
      </c>
    </row>
    <row r="691" spans="1:8" x14ac:dyDescent="0.2">
      <c r="A691" t="s">
        <v>1057</v>
      </c>
      <c r="B691" t="s">
        <v>25</v>
      </c>
      <c r="C691" t="s">
        <v>45</v>
      </c>
      <c r="D691">
        <v>23</v>
      </c>
      <c r="E691">
        <v>20000</v>
      </c>
      <c r="F691" t="s">
        <v>1039</v>
      </c>
      <c r="G691" s="2">
        <v>46182</v>
      </c>
      <c r="H691">
        <v>1</v>
      </c>
    </row>
    <row r="692" spans="1:8" x14ac:dyDescent="0.2">
      <c r="A692" t="s">
        <v>1058</v>
      </c>
      <c r="B692" t="s">
        <v>21</v>
      </c>
      <c r="C692" t="s">
        <v>26</v>
      </c>
      <c r="D692">
        <v>2</v>
      </c>
      <c r="E692">
        <v>20000</v>
      </c>
      <c r="F692" t="s">
        <v>649</v>
      </c>
      <c r="G692" s="2">
        <v>46096</v>
      </c>
      <c r="H692">
        <v>0</v>
      </c>
    </row>
    <row r="693" spans="1:8" x14ac:dyDescent="0.2">
      <c r="A693" t="s">
        <v>1059</v>
      </c>
      <c r="B693" t="s">
        <v>25</v>
      </c>
      <c r="C693" t="s">
        <v>22</v>
      </c>
      <c r="D693">
        <v>16</v>
      </c>
      <c r="E693">
        <v>35000</v>
      </c>
      <c r="F693" t="s">
        <v>460</v>
      </c>
      <c r="G693" s="2">
        <v>46124</v>
      </c>
      <c r="H693">
        <v>0</v>
      </c>
    </row>
    <row r="694" spans="1:8" x14ac:dyDescent="0.2">
      <c r="A694" t="s">
        <v>1060</v>
      </c>
      <c r="B694" t="s">
        <v>21</v>
      </c>
      <c r="C694" t="s">
        <v>45</v>
      </c>
      <c r="D694">
        <v>24</v>
      </c>
      <c r="E694">
        <v>20000</v>
      </c>
      <c r="G694" s="2">
        <v>46166</v>
      </c>
      <c r="H694">
        <v>0</v>
      </c>
    </row>
    <row r="695" spans="1:8" x14ac:dyDescent="0.2">
      <c r="A695" t="s">
        <v>1061</v>
      </c>
      <c r="B695" t="s">
        <v>21</v>
      </c>
      <c r="C695" t="s">
        <v>39</v>
      </c>
      <c r="D695">
        <v>15</v>
      </c>
      <c r="E695">
        <v>12000</v>
      </c>
      <c r="F695" t="s">
        <v>123</v>
      </c>
      <c r="G695" s="2">
        <v>46105</v>
      </c>
      <c r="H695">
        <v>4</v>
      </c>
    </row>
    <row r="696" spans="1:8" x14ac:dyDescent="0.2">
      <c r="A696" t="s">
        <v>1062</v>
      </c>
      <c r="B696" t="s">
        <v>9</v>
      </c>
      <c r="C696" t="s">
        <v>32</v>
      </c>
      <c r="D696">
        <v>8</v>
      </c>
      <c r="E696">
        <v>8000</v>
      </c>
      <c r="F696" t="s">
        <v>848</v>
      </c>
      <c r="G696" s="2">
        <v>46089</v>
      </c>
      <c r="H696">
        <v>0</v>
      </c>
    </row>
    <row r="697" spans="1:8" x14ac:dyDescent="0.2">
      <c r="A697" t="s">
        <v>1063</v>
      </c>
      <c r="B697" t="s">
        <v>21</v>
      </c>
      <c r="C697" t="s">
        <v>10</v>
      </c>
      <c r="D697">
        <v>14</v>
      </c>
      <c r="E697">
        <v>15000</v>
      </c>
      <c r="F697" t="s">
        <v>1064</v>
      </c>
      <c r="G697" s="2">
        <v>46037</v>
      </c>
      <c r="H697">
        <v>0</v>
      </c>
    </row>
    <row r="698" spans="1:8" x14ac:dyDescent="0.2">
      <c r="A698" t="s">
        <v>1065</v>
      </c>
      <c r="B698" t="s">
        <v>21</v>
      </c>
      <c r="C698" t="s">
        <v>32</v>
      </c>
      <c r="D698">
        <v>19</v>
      </c>
      <c r="E698">
        <v>8000</v>
      </c>
      <c r="F698" t="s">
        <v>220</v>
      </c>
      <c r="G698" s="2">
        <v>46126</v>
      </c>
      <c r="H698">
        <v>0</v>
      </c>
    </row>
    <row r="699" spans="1:8" x14ac:dyDescent="0.2">
      <c r="A699" t="s">
        <v>1066</v>
      </c>
      <c r="B699" t="s">
        <v>9</v>
      </c>
      <c r="C699" t="s">
        <v>607</v>
      </c>
      <c r="D699">
        <v>20</v>
      </c>
      <c r="E699">
        <v>20000</v>
      </c>
      <c r="F699" t="s">
        <v>565</v>
      </c>
      <c r="G699" s="2">
        <v>46116</v>
      </c>
      <c r="H699">
        <v>0</v>
      </c>
    </row>
    <row r="700" spans="1:8" x14ac:dyDescent="0.2">
      <c r="A700" t="s">
        <v>1067</v>
      </c>
      <c r="B700" t="s">
        <v>14</v>
      </c>
      <c r="C700" t="s">
        <v>418</v>
      </c>
      <c r="D700">
        <v>12</v>
      </c>
      <c r="E700">
        <v>20000</v>
      </c>
      <c r="F700" t="s">
        <v>412</v>
      </c>
      <c r="G700" s="2">
        <v>46077</v>
      </c>
      <c r="H700">
        <v>0</v>
      </c>
    </row>
    <row r="701" spans="1:8" x14ac:dyDescent="0.2">
      <c r="A701" t="s">
        <v>1068</v>
      </c>
      <c r="B701" t="s">
        <v>25</v>
      </c>
      <c r="C701" t="s">
        <v>70</v>
      </c>
      <c r="D701">
        <v>21</v>
      </c>
      <c r="E701">
        <v>28000</v>
      </c>
      <c r="F701" t="s">
        <v>591</v>
      </c>
      <c r="G701" s="2">
        <v>46069</v>
      </c>
      <c r="H701">
        <v>0</v>
      </c>
    </row>
    <row r="702" spans="1:8" x14ac:dyDescent="0.2">
      <c r="A702" t="s">
        <v>1069</v>
      </c>
      <c r="B702" t="s">
        <v>9</v>
      </c>
      <c r="C702" t="s">
        <v>26</v>
      </c>
      <c r="D702">
        <v>21</v>
      </c>
      <c r="E702">
        <v>20000</v>
      </c>
      <c r="F702" t="s">
        <v>579</v>
      </c>
      <c r="G702" s="2">
        <v>46132</v>
      </c>
      <c r="H702">
        <v>2</v>
      </c>
    </row>
    <row r="703" spans="1:8" x14ac:dyDescent="0.2">
      <c r="A703" t="s">
        <v>1070</v>
      </c>
      <c r="B703" t="s">
        <v>21</v>
      </c>
      <c r="C703" t="s">
        <v>32</v>
      </c>
      <c r="D703">
        <v>13</v>
      </c>
      <c r="E703">
        <v>8000</v>
      </c>
      <c r="F703" t="s">
        <v>193</v>
      </c>
      <c r="G703" s="2">
        <v>46059</v>
      </c>
      <c r="H703">
        <v>5</v>
      </c>
    </row>
    <row r="704" spans="1:8" x14ac:dyDescent="0.2">
      <c r="A704" t="s">
        <v>1071</v>
      </c>
      <c r="B704" t="s">
        <v>9</v>
      </c>
      <c r="C704" t="s">
        <v>18</v>
      </c>
      <c r="D704">
        <v>-2</v>
      </c>
      <c r="E704">
        <v>100000</v>
      </c>
      <c r="F704" t="s">
        <v>1072</v>
      </c>
      <c r="G704" s="2">
        <v>46144</v>
      </c>
      <c r="H704">
        <v>2</v>
      </c>
    </row>
    <row r="705" spans="1:8" x14ac:dyDescent="0.2">
      <c r="A705" t="s">
        <v>1073</v>
      </c>
      <c r="B705" t="s">
        <v>25</v>
      </c>
      <c r="C705" t="s">
        <v>39</v>
      </c>
      <c r="D705">
        <v>21</v>
      </c>
      <c r="E705">
        <v>12000</v>
      </c>
      <c r="F705" t="s">
        <v>117</v>
      </c>
      <c r="G705" s="2">
        <v>46160</v>
      </c>
      <c r="H705">
        <v>0</v>
      </c>
    </row>
    <row r="706" spans="1:8" x14ac:dyDescent="0.2">
      <c r="A706" t="s">
        <v>1074</v>
      </c>
      <c r="B706" t="s">
        <v>14</v>
      </c>
      <c r="C706" t="s">
        <v>22</v>
      </c>
      <c r="D706">
        <v>14</v>
      </c>
      <c r="E706">
        <v>35000</v>
      </c>
      <c r="F706" t="s">
        <v>997</v>
      </c>
      <c r="G706" s="2">
        <v>46060</v>
      </c>
      <c r="H706">
        <v>0</v>
      </c>
    </row>
    <row r="707" spans="1:8" x14ac:dyDescent="0.2">
      <c r="A707" t="s">
        <v>1075</v>
      </c>
      <c r="B707" t="s">
        <v>14</v>
      </c>
      <c r="C707" t="s">
        <v>32</v>
      </c>
      <c r="D707">
        <v>2</v>
      </c>
      <c r="E707">
        <v>8000</v>
      </c>
      <c r="F707" t="s">
        <v>975</v>
      </c>
      <c r="G707" s="2">
        <v>46151</v>
      </c>
      <c r="H707">
        <v>1</v>
      </c>
    </row>
    <row r="708" spans="1:8" x14ac:dyDescent="0.2">
      <c r="A708" t="s">
        <v>1076</v>
      </c>
      <c r="B708" t="s">
        <v>9</v>
      </c>
      <c r="C708" t="s">
        <v>10</v>
      </c>
      <c r="D708" t="s">
        <v>11</v>
      </c>
      <c r="E708">
        <v>15000</v>
      </c>
      <c r="F708" t="s">
        <v>272</v>
      </c>
      <c r="G708" s="2">
        <v>46117</v>
      </c>
      <c r="H708">
        <v>0</v>
      </c>
    </row>
    <row r="709" spans="1:8" x14ac:dyDescent="0.2">
      <c r="A709" t="s">
        <v>1077</v>
      </c>
      <c r="B709" t="s">
        <v>14</v>
      </c>
      <c r="C709" t="s">
        <v>45</v>
      </c>
      <c r="D709" t="s">
        <v>513</v>
      </c>
      <c r="E709" t="s">
        <v>77</v>
      </c>
      <c r="F709" t="s">
        <v>179</v>
      </c>
      <c r="G709" s="2">
        <v>46118</v>
      </c>
      <c r="H709">
        <v>0</v>
      </c>
    </row>
    <row r="710" spans="1:8" x14ac:dyDescent="0.2">
      <c r="A710" t="s">
        <v>1078</v>
      </c>
      <c r="B710" t="s">
        <v>25</v>
      </c>
      <c r="C710" t="s">
        <v>22</v>
      </c>
      <c r="D710">
        <v>12</v>
      </c>
      <c r="E710">
        <v>35000</v>
      </c>
      <c r="F710" t="s">
        <v>1079</v>
      </c>
      <c r="G710" s="2">
        <v>46039</v>
      </c>
      <c r="H710">
        <v>0</v>
      </c>
    </row>
    <row r="711" spans="1:8" x14ac:dyDescent="0.2">
      <c r="A711" t="s">
        <v>1080</v>
      </c>
      <c r="B711" t="s">
        <v>25</v>
      </c>
      <c r="C711" t="s">
        <v>39</v>
      </c>
      <c r="D711">
        <v>4</v>
      </c>
      <c r="E711">
        <v>12000</v>
      </c>
      <c r="F711" t="s">
        <v>789</v>
      </c>
      <c r="G711" s="2">
        <v>46079</v>
      </c>
      <c r="H711">
        <v>0</v>
      </c>
    </row>
    <row r="712" spans="1:8" x14ac:dyDescent="0.2">
      <c r="A712" t="s">
        <v>1081</v>
      </c>
      <c r="B712" t="s">
        <v>25</v>
      </c>
      <c r="C712" t="s">
        <v>18</v>
      </c>
      <c r="D712">
        <v>24</v>
      </c>
      <c r="E712" t="s">
        <v>625</v>
      </c>
      <c r="F712" t="s">
        <v>193</v>
      </c>
      <c r="G712" s="2">
        <v>46160</v>
      </c>
      <c r="H712">
        <v>0</v>
      </c>
    </row>
    <row r="713" spans="1:8" x14ac:dyDescent="0.2">
      <c r="A713" t="s">
        <v>1082</v>
      </c>
      <c r="B713" t="s">
        <v>581</v>
      </c>
      <c r="C713" t="s">
        <v>26</v>
      </c>
      <c r="D713">
        <v>17</v>
      </c>
      <c r="E713">
        <v>20000</v>
      </c>
      <c r="F713" t="s">
        <v>75</v>
      </c>
      <c r="G713" s="2">
        <v>46061</v>
      </c>
      <c r="H713">
        <v>0</v>
      </c>
    </row>
    <row r="714" spans="1:8" x14ac:dyDescent="0.2">
      <c r="A714" t="s">
        <v>1083</v>
      </c>
      <c r="B714" t="s">
        <v>25</v>
      </c>
      <c r="C714" t="s">
        <v>676</v>
      </c>
      <c r="D714">
        <v>20</v>
      </c>
      <c r="E714">
        <v>28000</v>
      </c>
      <c r="F714" t="s">
        <v>437</v>
      </c>
      <c r="G714" s="2">
        <v>46171</v>
      </c>
      <c r="H714">
        <v>0</v>
      </c>
    </row>
    <row r="715" spans="1:8" x14ac:dyDescent="0.2">
      <c r="A715" t="s">
        <v>1084</v>
      </c>
      <c r="B715" t="s">
        <v>21</v>
      </c>
      <c r="C715" t="s">
        <v>10</v>
      </c>
      <c r="D715">
        <v>1</v>
      </c>
      <c r="E715">
        <v>15000</v>
      </c>
      <c r="F715" t="s">
        <v>82</v>
      </c>
      <c r="G715" s="2">
        <v>46140</v>
      </c>
      <c r="H715">
        <v>0</v>
      </c>
    </row>
    <row r="716" spans="1:8" x14ac:dyDescent="0.2">
      <c r="A716" t="s">
        <v>1085</v>
      </c>
      <c r="B716" t="s">
        <v>21</v>
      </c>
      <c r="C716" t="s">
        <v>45</v>
      </c>
      <c r="D716" t="s">
        <v>11</v>
      </c>
      <c r="E716">
        <v>20000</v>
      </c>
      <c r="F716" t="s">
        <v>1086</v>
      </c>
      <c r="G716" s="2">
        <v>46032</v>
      </c>
      <c r="H716">
        <v>0</v>
      </c>
    </row>
    <row r="717" spans="1:8" x14ac:dyDescent="0.2">
      <c r="A717" t="s">
        <v>1087</v>
      </c>
      <c r="B717" t="s">
        <v>14</v>
      </c>
      <c r="C717" t="s">
        <v>32</v>
      </c>
      <c r="D717" t="s">
        <v>1088</v>
      </c>
      <c r="E717">
        <v>8000</v>
      </c>
      <c r="F717" t="s">
        <v>115</v>
      </c>
      <c r="G717" s="2">
        <v>46043</v>
      </c>
      <c r="H717">
        <v>3</v>
      </c>
    </row>
    <row r="718" spans="1:8" x14ac:dyDescent="0.2">
      <c r="A718" t="s">
        <v>1089</v>
      </c>
      <c r="B718" t="s">
        <v>25</v>
      </c>
      <c r="C718" t="s">
        <v>18</v>
      </c>
      <c r="D718">
        <v>24</v>
      </c>
      <c r="E718">
        <v>50000</v>
      </c>
      <c r="F718" t="s">
        <v>1086</v>
      </c>
      <c r="G718" s="2">
        <v>46040</v>
      </c>
      <c r="H718">
        <v>0</v>
      </c>
    </row>
    <row r="719" spans="1:8" x14ac:dyDescent="0.2">
      <c r="A719" t="s">
        <v>1090</v>
      </c>
      <c r="B719" t="s">
        <v>25</v>
      </c>
      <c r="C719" t="s">
        <v>45</v>
      </c>
      <c r="D719">
        <v>10</v>
      </c>
      <c r="E719">
        <v>20000</v>
      </c>
      <c r="F719" t="s">
        <v>1091</v>
      </c>
      <c r="G719" s="2">
        <v>46187</v>
      </c>
      <c r="H719">
        <v>0</v>
      </c>
    </row>
    <row r="720" spans="1:8" x14ac:dyDescent="0.2">
      <c r="A720" t="s">
        <v>1092</v>
      </c>
      <c r="B720" t="s">
        <v>14</v>
      </c>
      <c r="C720" t="s">
        <v>70</v>
      </c>
      <c r="D720">
        <v>17</v>
      </c>
      <c r="E720">
        <v>28000</v>
      </c>
      <c r="F720" t="s">
        <v>579</v>
      </c>
      <c r="G720" s="2">
        <v>46101</v>
      </c>
      <c r="H720">
        <v>0</v>
      </c>
    </row>
    <row r="721" spans="1:8" x14ac:dyDescent="0.2">
      <c r="A721" t="s">
        <v>1093</v>
      </c>
      <c r="B721" t="s">
        <v>14</v>
      </c>
      <c r="C721" t="s">
        <v>39</v>
      </c>
      <c r="D721">
        <v>1</v>
      </c>
      <c r="E721">
        <v>12000</v>
      </c>
      <c r="F721" t="s">
        <v>460</v>
      </c>
      <c r="G721" s="2">
        <v>46038</v>
      </c>
      <c r="H721" t="s">
        <v>55</v>
      </c>
    </row>
    <row r="722" spans="1:8" x14ac:dyDescent="0.2">
      <c r="A722" t="s">
        <v>1094</v>
      </c>
      <c r="B722" t="s">
        <v>14</v>
      </c>
      <c r="C722" t="s">
        <v>22</v>
      </c>
      <c r="D722">
        <v>23</v>
      </c>
      <c r="E722">
        <v>35000</v>
      </c>
      <c r="F722" t="s">
        <v>195</v>
      </c>
      <c r="G722" s="2">
        <v>46189</v>
      </c>
      <c r="H722" t="s">
        <v>112</v>
      </c>
    </row>
    <row r="723" spans="1:8" x14ac:dyDescent="0.2">
      <c r="A723" t="s">
        <v>1095</v>
      </c>
      <c r="B723" t="s">
        <v>21</v>
      </c>
      <c r="C723" t="s">
        <v>10</v>
      </c>
      <c r="D723">
        <v>7</v>
      </c>
      <c r="E723">
        <v>15000</v>
      </c>
      <c r="F723" t="s">
        <v>374</v>
      </c>
      <c r="G723" s="2">
        <v>46138</v>
      </c>
      <c r="H723">
        <v>14</v>
      </c>
    </row>
    <row r="724" spans="1:8" x14ac:dyDescent="0.2">
      <c r="A724" t="s">
        <v>1096</v>
      </c>
      <c r="B724" t="s">
        <v>25</v>
      </c>
      <c r="C724" t="s">
        <v>39</v>
      </c>
      <c r="D724">
        <v>8</v>
      </c>
      <c r="E724">
        <v>12000</v>
      </c>
      <c r="F724" t="s">
        <v>964</v>
      </c>
      <c r="G724" s="2">
        <v>46150</v>
      </c>
      <c r="H724">
        <v>0</v>
      </c>
    </row>
    <row r="725" spans="1:8" x14ac:dyDescent="0.2">
      <c r="A725" t="s">
        <v>1097</v>
      </c>
      <c r="B725" t="s">
        <v>9</v>
      </c>
      <c r="C725" t="s">
        <v>687</v>
      </c>
      <c r="D725">
        <v>8</v>
      </c>
      <c r="E725">
        <v>20000</v>
      </c>
      <c r="G725" s="2">
        <v>46102</v>
      </c>
      <c r="H725">
        <v>1</v>
      </c>
    </row>
    <row r="726" spans="1:8" x14ac:dyDescent="0.2">
      <c r="A726" t="s">
        <v>1098</v>
      </c>
      <c r="B726" t="s">
        <v>21</v>
      </c>
      <c r="C726" t="s">
        <v>26</v>
      </c>
      <c r="D726">
        <v>10</v>
      </c>
      <c r="E726">
        <v>20000</v>
      </c>
      <c r="F726" t="s">
        <v>306</v>
      </c>
      <c r="G726" s="2">
        <v>46028</v>
      </c>
      <c r="H726">
        <v>0</v>
      </c>
    </row>
    <row r="727" spans="1:8" x14ac:dyDescent="0.2">
      <c r="A727" t="s">
        <v>1099</v>
      </c>
      <c r="B727" t="s">
        <v>9</v>
      </c>
      <c r="C727" t="s">
        <v>26</v>
      </c>
      <c r="D727">
        <v>6</v>
      </c>
      <c r="E727">
        <v>20000</v>
      </c>
      <c r="F727" t="s">
        <v>203</v>
      </c>
      <c r="G727" s="2">
        <v>46033</v>
      </c>
      <c r="H727">
        <v>0</v>
      </c>
    </row>
    <row r="728" spans="1:8" x14ac:dyDescent="0.2">
      <c r="A728" t="s">
        <v>1100</v>
      </c>
      <c r="B728" t="s">
        <v>9</v>
      </c>
      <c r="C728" t="s">
        <v>70</v>
      </c>
      <c r="D728">
        <v>3</v>
      </c>
      <c r="E728">
        <v>28000</v>
      </c>
      <c r="F728" t="s">
        <v>447</v>
      </c>
      <c r="G728" s="2">
        <v>46160</v>
      </c>
      <c r="H728">
        <v>0</v>
      </c>
    </row>
    <row r="729" spans="1:8" x14ac:dyDescent="0.2">
      <c r="A729" t="s">
        <v>1101</v>
      </c>
      <c r="B729" t="s">
        <v>25</v>
      </c>
      <c r="C729" t="s">
        <v>26</v>
      </c>
      <c r="D729">
        <v>-9</v>
      </c>
      <c r="E729">
        <v>20000</v>
      </c>
      <c r="F729" t="s">
        <v>35</v>
      </c>
      <c r="G729" s="2">
        <v>46030</v>
      </c>
      <c r="H729">
        <v>0</v>
      </c>
    </row>
    <row r="730" spans="1:8" x14ac:dyDescent="0.2">
      <c r="A730" t="s">
        <v>1102</v>
      </c>
      <c r="B730" t="s">
        <v>25</v>
      </c>
      <c r="C730" t="s">
        <v>70</v>
      </c>
      <c r="D730">
        <v>17</v>
      </c>
      <c r="E730">
        <v>28000</v>
      </c>
      <c r="F730" t="s">
        <v>50</v>
      </c>
      <c r="G730" s="2">
        <v>46054</v>
      </c>
      <c r="H730">
        <v>0</v>
      </c>
    </row>
    <row r="731" spans="1:8" x14ac:dyDescent="0.2">
      <c r="A731" t="s">
        <v>1103</v>
      </c>
      <c r="B731" t="s">
        <v>21</v>
      </c>
      <c r="C731" t="s">
        <v>32</v>
      </c>
      <c r="D731" t="s">
        <v>11</v>
      </c>
      <c r="E731" t="s">
        <v>11</v>
      </c>
      <c r="F731" t="s">
        <v>683</v>
      </c>
      <c r="G731" s="2">
        <v>46098</v>
      </c>
      <c r="H731">
        <v>2</v>
      </c>
    </row>
    <row r="732" spans="1:8" x14ac:dyDescent="0.2">
      <c r="A732" t="s">
        <v>1104</v>
      </c>
      <c r="B732" t="s">
        <v>9</v>
      </c>
      <c r="C732" t="s">
        <v>22</v>
      </c>
      <c r="D732">
        <v>4</v>
      </c>
      <c r="E732">
        <v>35000</v>
      </c>
      <c r="G732" s="2">
        <v>46090</v>
      </c>
      <c r="H732">
        <v>4</v>
      </c>
    </row>
    <row r="733" spans="1:8" x14ac:dyDescent="0.2">
      <c r="A733" t="s">
        <v>1105</v>
      </c>
      <c r="B733" t="s">
        <v>25</v>
      </c>
      <c r="C733" t="s">
        <v>39</v>
      </c>
      <c r="D733">
        <v>21</v>
      </c>
      <c r="E733">
        <v>12000</v>
      </c>
      <c r="F733" t="s">
        <v>95</v>
      </c>
      <c r="G733" s="2">
        <v>46202</v>
      </c>
      <c r="H733">
        <v>0</v>
      </c>
    </row>
    <row r="734" spans="1:8" x14ac:dyDescent="0.2">
      <c r="A734" t="s">
        <v>1106</v>
      </c>
      <c r="B734" t="s">
        <v>21</v>
      </c>
      <c r="C734" t="s">
        <v>22</v>
      </c>
      <c r="D734">
        <v>16</v>
      </c>
      <c r="E734">
        <v>35000</v>
      </c>
      <c r="F734" t="s">
        <v>244</v>
      </c>
      <c r="G734" s="2">
        <v>46169</v>
      </c>
      <c r="H734">
        <v>0</v>
      </c>
    </row>
    <row r="735" spans="1:8" x14ac:dyDescent="0.2">
      <c r="A735" t="s">
        <v>1107</v>
      </c>
      <c r="B735" t="s">
        <v>25</v>
      </c>
      <c r="C735" t="s">
        <v>18</v>
      </c>
      <c r="D735">
        <v>9</v>
      </c>
      <c r="E735">
        <v>50000</v>
      </c>
      <c r="F735" t="s">
        <v>364</v>
      </c>
      <c r="G735" s="2">
        <v>46113</v>
      </c>
      <c r="H735">
        <v>0</v>
      </c>
    </row>
    <row r="736" spans="1:8" x14ac:dyDescent="0.2">
      <c r="A736" t="s">
        <v>1108</v>
      </c>
      <c r="B736" t="s">
        <v>25</v>
      </c>
      <c r="C736" t="s">
        <v>18</v>
      </c>
      <c r="D736">
        <v>15</v>
      </c>
      <c r="E736">
        <v>50000</v>
      </c>
      <c r="F736" t="s">
        <v>480</v>
      </c>
      <c r="G736" s="2">
        <v>46052</v>
      </c>
      <c r="H736">
        <v>17</v>
      </c>
    </row>
    <row r="737" spans="1:8" x14ac:dyDescent="0.2">
      <c r="A737" t="s">
        <v>1109</v>
      </c>
      <c r="B737" t="s">
        <v>21</v>
      </c>
      <c r="C737" t="s">
        <v>70</v>
      </c>
      <c r="D737">
        <v>21</v>
      </c>
      <c r="E737">
        <v>28000</v>
      </c>
      <c r="F737" t="s">
        <v>809</v>
      </c>
      <c r="G737" s="2">
        <v>46187</v>
      </c>
      <c r="H737">
        <v>0</v>
      </c>
    </row>
    <row r="738" spans="1:8" x14ac:dyDescent="0.2">
      <c r="A738" t="s">
        <v>1110</v>
      </c>
      <c r="B738" t="s">
        <v>25</v>
      </c>
      <c r="C738" t="s">
        <v>45</v>
      </c>
      <c r="D738">
        <v>1</v>
      </c>
      <c r="E738" t="s">
        <v>77</v>
      </c>
      <c r="F738" t="s">
        <v>940</v>
      </c>
      <c r="G738" s="2">
        <v>46137</v>
      </c>
      <c r="H738">
        <v>0</v>
      </c>
    </row>
    <row r="739" spans="1:8" x14ac:dyDescent="0.2">
      <c r="A739" t="s">
        <v>1111</v>
      </c>
      <c r="B739" t="s">
        <v>25</v>
      </c>
      <c r="C739" t="s">
        <v>26</v>
      </c>
      <c r="D739">
        <v>8</v>
      </c>
      <c r="E739">
        <v>20000</v>
      </c>
      <c r="F739" t="s">
        <v>770</v>
      </c>
      <c r="G739" s="2">
        <v>46137</v>
      </c>
      <c r="H739">
        <v>0</v>
      </c>
    </row>
    <row r="740" spans="1:8" x14ac:dyDescent="0.2">
      <c r="A740" t="s">
        <v>1112</v>
      </c>
      <c r="B740" t="s">
        <v>9</v>
      </c>
      <c r="C740" t="s">
        <v>70</v>
      </c>
      <c r="D740">
        <v>24</v>
      </c>
      <c r="E740">
        <v>28000</v>
      </c>
      <c r="G740" s="2">
        <v>46026</v>
      </c>
      <c r="H740">
        <v>0</v>
      </c>
    </row>
    <row r="741" spans="1:8" x14ac:dyDescent="0.2">
      <c r="A741" t="s">
        <v>1113</v>
      </c>
      <c r="B741" t="s">
        <v>25</v>
      </c>
      <c r="C741" t="s">
        <v>18</v>
      </c>
      <c r="D741">
        <v>3</v>
      </c>
      <c r="E741">
        <v>50000</v>
      </c>
      <c r="F741" t="s">
        <v>54</v>
      </c>
      <c r="G741" s="2">
        <v>46144</v>
      </c>
      <c r="H741">
        <v>0</v>
      </c>
    </row>
    <row r="742" spans="1:8" x14ac:dyDescent="0.2">
      <c r="A742" t="s">
        <v>1114</v>
      </c>
      <c r="B742" t="s">
        <v>1406</v>
      </c>
      <c r="C742" t="s">
        <v>45</v>
      </c>
      <c r="D742">
        <v>16</v>
      </c>
      <c r="E742">
        <v>20000</v>
      </c>
      <c r="F742" t="s">
        <v>88</v>
      </c>
      <c r="G742" s="2">
        <v>46068</v>
      </c>
      <c r="H742">
        <v>0</v>
      </c>
    </row>
    <row r="743" spans="1:8" x14ac:dyDescent="0.2">
      <c r="A743" t="s">
        <v>1115</v>
      </c>
      <c r="B743" t="s">
        <v>21</v>
      </c>
      <c r="C743" t="s">
        <v>22</v>
      </c>
      <c r="D743">
        <v>2</v>
      </c>
      <c r="E743">
        <v>35000</v>
      </c>
      <c r="F743" t="s">
        <v>443</v>
      </c>
      <c r="G743" s="2">
        <v>46175</v>
      </c>
      <c r="H743">
        <v>0</v>
      </c>
    </row>
    <row r="744" spans="1:8" x14ac:dyDescent="0.2">
      <c r="A744" t="s">
        <v>1116</v>
      </c>
      <c r="B744" t="s">
        <v>9</v>
      </c>
      <c r="C744" t="s">
        <v>32</v>
      </c>
      <c r="D744">
        <v>16</v>
      </c>
      <c r="E744">
        <v>8000</v>
      </c>
      <c r="F744" t="s">
        <v>1091</v>
      </c>
      <c r="G744" s="2">
        <v>46042</v>
      </c>
      <c r="H744">
        <v>3</v>
      </c>
    </row>
    <row r="745" spans="1:8" x14ac:dyDescent="0.2">
      <c r="A745" t="s">
        <v>1117</v>
      </c>
      <c r="B745" t="s">
        <v>25</v>
      </c>
      <c r="C745" t="s">
        <v>105</v>
      </c>
      <c r="D745">
        <v>1</v>
      </c>
      <c r="E745">
        <v>8000</v>
      </c>
      <c r="F745" t="s">
        <v>276</v>
      </c>
      <c r="G745" s="2">
        <v>46061</v>
      </c>
      <c r="H745">
        <v>0</v>
      </c>
    </row>
    <row r="746" spans="1:8" x14ac:dyDescent="0.2">
      <c r="A746" t="s">
        <v>1118</v>
      </c>
      <c r="B746" t="s">
        <v>25</v>
      </c>
      <c r="C746" t="s">
        <v>26</v>
      </c>
      <c r="D746">
        <v>9</v>
      </c>
      <c r="E746">
        <v>20000</v>
      </c>
      <c r="F746" t="s">
        <v>381</v>
      </c>
      <c r="G746" s="2">
        <v>46125</v>
      </c>
      <c r="H746">
        <v>1</v>
      </c>
    </row>
    <row r="747" spans="1:8" x14ac:dyDescent="0.2">
      <c r="A747" t="s">
        <v>1119</v>
      </c>
      <c r="B747" t="s">
        <v>14</v>
      </c>
      <c r="C747" t="s">
        <v>70</v>
      </c>
      <c r="D747">
        <v>15</v>
      </c>
      <c r="E747">
        <v>28000</v>
      </c>
      <c r="F747" t="s">
        <v>1120</v>
      </c>
      <c r="G747" s="2">
        <v>46067</v>
      </c>
      <c r="H747">
        <v>0</v>
      </c>
    </row>
    <row r="748" spans="1:8" x14ac:dyDescent="0.2">
      <c r="A748" t="s">
        <v>1121</v>
      </c>
      <c r="B748" t="s">
        <v>25</v>
      </c>
      <c r="C748" t="s">
        <v>45</v>
      </c>
      <c r="D748">
        <v>24</v>
      </c>
      <c r="E748">
        <v>20000</v>
      </c>
      <c r="F748" t="s">
        <v>391</v>
      </c>
      <c r="G748" s="2">
        <v>46137</v>
      </c>
      <c r="H748">
        <v>0</v>
      </c>
    </row>
    <row r="749" spans="1:8" x14ac:dyDescent="0.2">
      <c r="A749" t="s">
        <v>1122</v>
      </c>
      <c r="B749" t="s">
        <v>9</v>
      </c>
      <c r="C749" t="s">
        <v>26</v>
      </c>
      <c r="D749">
        <v>21</v>
      </c>
      <c r="E749">
        <v>20000</v>
      </c>
      <c r="F749" t="s">
        <v>142</v>
      </c>
      <c r="G749" s="2">
        <v>46190</v>
      </c>
      <c r="H749">
        <v>3</v>
      </c>
    </row>
    <row r="750" spans="1:8" x14ac:dyDescent="0.2">
      <c r="A750" t="s">
        <v>1123</v>
      </c>
      <c r="B750" t="s">
        <v>21</v>
      </c>
      <c r="C750" t="s">
        <v>18</v>
      </c>
      <c r="D750">
        <v>2</v>
      </c>
      <c r="E750">
        <v>50000</v>
      </c>
      <c r="F750" t="s">
        <v>82</v>
      </c>
      <c r="G750" s="2">
        <v>46144</v>
      </c>
      <c r="H750">
        <v>0</v>
      </c>
    </row>
    <row r="751" spans="1:8" x14ac:dyDescent="0.2">
      <c r="A751" t="s">
        <v>1124</v>
      </c>
      <c r="B751" t="s">
        <v>14</v>
      </c>
      <c r="C751" t="s">
        <v>32</v>
      </c>
      <c r="D751">
        <v>18</v>
      </c>
      <c r="E751">
        <v>8000</v>
      </c>
      <c r="F751" t="s">
        <v>1125</v>
      </c>
      <c r="G751" s="2">
        <v>46074</v>
      </c>
      <c r="H751">
        <v>0</v>
      </c>
    </row>
    <row r="752" spans="1:8" x14ac:dyDescent="0.2">
      <c r="A752" t="s">
        <v>1126</v>
      </c>
      <c r="B752" t="s">
        <v>9</v>
      </c>
      <c r="C752" t="s">
        <v>22</v>
      </c>
      <c r="D752">
        <v>14</v>
      </c>
      <c r="E752">
        <v>35000</v>
      </c>
      <c r="F752" t="s">
        <v>73</v>
      </c>
      <c r="G752" s="2">
        <v>46190</v>
      </c>
      <c r="H752">
        <v>0</v>
      </c>
    </row>
    <row r="753" spans="1:8" x14ac:dyDescent="0.2">
      <c r="A753" t="s">
        <v>1127</v>
      </c>
      <c r="B753" t="s">
        <v>25</v>
      </c>
      <c r="C753" t="s">
        <v>32</v>
      </c>
      <c r="D753">
        <v>9</v>
      </c>
      <c r="E753">
        <v>8000</v>
      </c>
      <c r="F753" t="s">
        <v>456</v>
      </c>
      <c r="G753" s="2">
        <v>46162</v>
      </c>
      <c r="H753">
        <v>0</v>
      </c>
    </row>
    <row r="754" spans="1:8" x14ac:dyDescent="0.2">
      <c r="A754" t="s">
        <v>1128</v>
      </c>
      <c r="B754" t="s">
        <v>14</v>
      </c>
      <c r="C754" t="s">
        <v>10</v>
      </c>
      <c r="D754">
        <v>3</v>
      </c>
      <c r="E754">
        <v>15000</v>
      </c>
      <c r="F754" t="s">
        <v>352</v>
      </c>
      <c r="G754" s="2">
        <v>46130</v>
      </c>
      <c r="H754" t="s">
        <v>55</v>
      </c>
    </row>
    <row r="755" spans="1:8" x14ac:dyDescent="0.2">
      <c r="A755" t="s">
        <v>1129</v>
      </c>
      <c r="B755" t="s">
        <v>14</v>
      </c>
      <c r="C755" t="s">
        <v>18</v>
      </c>
      <c r="D755">
        <v>-4</v>
      </c>
      <c r="E755">
        <v>50000</v>
      </c>
      <c r="F755" t="s">
        <v>477</v>
      </c>
      <c r="G755" s="2">
        <v>46100</v>
      </c>
      <c r="H755">
        <v>4</v>
      </c>
    </row>
    <row r="756" spans="1:8" x14ac:dyDescent="0.2">
      <c r="A756" t="s">
        <v>1130</v>
      </c>
      <c r="B756" t="s">
        <v>14</v>
      </c>
      <c r="C756" t="s">
        <v>10</v>
      </c>
      <c r="D756">
        <v>2</v>
      </c>
      <c r="E756">
        <v>15000</v>
      </c>
      <c r="F756" t="s">
        <v>1091</v>
      </c>
      <c r="G756" s="2">
        <v>46056</v>
      </c>
      <c r="H756">
        <v>2</v>
      </c>
    </row>
    <row r="757" spans="1:8" x14ac:dyDescent="0.2">
      <c r="A757" t="s">
        <v>1131</v>
      </c>
      <c r="B757" t="s">
        <v>14</v>
      </c>
      <c r="C757" t="s">
        <v>22</v>
      </c>
      <c r="D757">
        <v>22</v>
      </c>
      <c r="E757">
        <v>35000</v>
      </c>
      <c r="G757" s="2">
        <v>46063</v>
      </c>
      <c r="H757">
        <v>0</v>
      </c>
    </row>
    <row r="758" spans="1:8" x14ac:dyDescent="0.2">
      <c r="A758" t="s">
        <v>1132</v>
      </c>
      <c r="B758" t="s">
        <v>25</v>
      </c>
      <c r="C758" t="s">
        <v>26</v>
      </c>
      <c r="D758">
        <v>20</v>
      </c>
      <c r="E758">
        <v>20000</v>
      </c>
      <c r="G758" s="2">
        <v>46091</v>
      </c>
      <c r="H758">
        <v>4</v>
      </c>
    </row>
    <row r="759" spans="1:8" x14ac:dyDescent="0.2">
      <c r="A759" t="s">
        <v>1133</v>
      </c>
      <c r="B759" t="s">
        <v>9</v>
      </c>
      <c r="C759" t="s">
        <v>32</v>
      </c>
      <c r="D759">
        <v>13</v>
      </c>
      <c r="E759">
        <v>8000</v>
      </c>
      <c r="F759" t="s">
        <v>829</v>
      </c>
      <c r="G759" s="2">
        <v>46185</v>
      </c>
      <c r="H759">
        <v>0</v>
      </c>
    </row>
    <row r="760" spans="1:8" x14ac:dyDescent="0.2">
      <c r="A760" t="s">
        <v>1134</v>
      </c>
      <c r="B760" t="s">
        <v>25</v>
      </c>
      <c r="C760" t="s">
        <v>10</v>
      </c>
      <c r="D760" t="s">
        <v>29</v>
      </c>
      <c r="E760">
        <v>15000</v>
      </c>
      <c r="F760" t="s">
        <v>646</v>
      </c>
      <c r="G760" s="2">
        <v>46085</v>
      </c>
      <c r="H760">
        <v>0</v>
      </c>
    </row>
    <row r="761" spans="1:8" x14ac:dyDescent="0.2">
      <c r="A761" t="s">
        <v>1135</v>
      </c>
      <c r="B761" t="s">
        <v>21</v>
      </c>
      <c r="C761" t="s">
        <v>45</v>
      </c>
      <c r="D761">
        <v>17</v>
      </c>
      <c r="E761">
        <v>20000</v>
      </c>
      <c r="F761" t="s">
        <v>748</v>
      </c>
      <c r="G761" s="2">
        <v>46165</v>
      </c>
      <c r="H761">
        <v>0</v>
      </c>
    </row>
    <row r="762" spans="1:8" x14ac:dyDescent="0.2">
      <c r="A762" t="s">
        <v>1136</v>
      </c>
      <c r="B762" t="s">
        <v>21</v>
      </c>
      <c r="C762" t="s">
        <v>32</v>
      </c>
      <c r="D762">
        <v>10</v>
      </c>
      <c r="E762">
        <v>8000</v>
      </c>
      <c r="F762" t="s">
        <v>1039</v>
      </c>
      <c r="G762" s="2">
        <v>46107</v>
      </c>
      <c r="H762">
        <v>0</v>
      </c>
    </row>
    <row r="763" spans="1:8" x14ac:dyDescent="0.2">
      <c r="A763" t="s">
        <v>1137</v>
      </c>
      <c r="B763" t="s">
        <v>9</v>
      </c>
      <c r="C763" t="s">
        <v>10</v>
      </c>
      <c r="D763">
        <v>5</v>
      </c>
      <c r="E763">
        <v>15000</v>
      </c>
      <c r="F763" t="s">
        <v>595</v>
      </c>
      <c r="G763" s="2">
        <v>46138</v>
      </c>
      <c r="H763">
        <v>5</v>
      </c>
    </row>
    <row r="764" spans="1:8" x14ac:dyDescent="0.2">
      <c r="A764" t="s">
        <v>1138</v>
      </c>
      <c r="B764" t="s">
        <v>25</v>
      </c>
      <c r="C764" t="s">
        <v>10</v>
      </c>
      <c r="D764">
        <v>22</v>
      </c>
      <c r="E764">
        <v>15000</v>
      </c>
      <c r="F764" t="s">
        <v>642</v>
      </c>
      <c r="H764">
        <v>0</v>
      </c>
    </row>
    <row r="765" spans="1:8" x14ac:dyDescent="0.2">
      <c r="A765" t="s">
        <v>1139</v>
      </c>
      <c r="B765" t="s">
        <v>9</v>
      </c>
      <c r="C765" t="s">
        <v>39</v>
      </c>
      <c r="D765">
        <v>10</v>
      </c>
      <c r="E765">
        <v>12000</v>
      </c>
      <c r="F765" t="s">
        <v>324</v>
      </c>
      <c r="G765" s="2">
        <v>46150</v>
      </c>
      <c r="H765">
        <v>0</v>
      </c>
    </row>
    <row r="766" spans="1:8" x14ac:dyDescent="0.2">
      <c r="A766" t="s">
        <v>1140</v>
      </c>
      <c r="B766" t="s">
        <v>9</v>
      </c>
      <c r="C766" t="s">
        <v>45</v>
      </c>
      <c r="D766" t="s">
        <v>11</v>
      </c>
      <c r="E766" t="s">
        <v>77</v>
      </c>
      <c r="F766" t="s">
        <v>216</v>
      </c>
      <c r="G766" s="2">
        <v>46092</v>
      </c>
      <c r="H766">
        <v>0</v>
      </c>
    </row>
    <row r="767" spans="1:8" x14ac:dyDescent="0.2">
      <c r="A767" t="s">
        <v>1141</v>
      </c>
      <c r="B767" t="s">
        <v>21</v>
      </c>
      <c r="C767" t="s">
        <v>32</v>
      </c>
      <c r="D767">
        <v>16</v>
      </c>
      <c r="E767">
        <v>8000</v>
      </c>
      <c r="F767" t="s">
        <v>507</v>
      </c>
      <c r="G767" s="2">
        <v>46065</v>
      </c>
      <c r="H767">
        <v>3</v>
      </c>
    </row>
    <row r="768" spans="1:8" x14ac:dyDescent="0.2">
      <c r="A768" t="s">
        <v>1142</v>
      </c>
      <c r="B768" t="s">
        <v>9</v>
      </c>
      <c r="C768" t="s">
        <v>32</v>
      </c>
      <c r="D768">
        <v>23</v>
      </c>
      <c r="E768">
        <v>8000</v>
      </c>
      <c r="F768" t="s">
        <v>337</v>
      </c>
      <c r="G768" s="2">
        <v>46165</v>
      </c>
      <c r="H768">
        <v>0</v>
      </c>
    </row>
    <row r="769" spans="1:8" x14ac:dyDescent="0.2">
      <c r="A769" t="s">
        <v>1143</v>
      </c>
      <c r="B769" t="s">
        <v>21</v>
      </c>
      <c r="C769" t="s">
        <v>39</v>
      </c>
      <c r="D769">
        <v>23</v>
      </c>
      <c r="E769">
        <v>12000</v>
      </c>
      <c r="F769" t="s">
        <v>296</v>
      </c>
      <c r="G769" s="2">
        <v>46063</v>
      </c>
      <c r="H769">
        <v>0</v>
      </c>
    </row>
    <row r="770" spans="1:8" x14ac:dyDescent="0.2">
      <c r="A770" t="s">
        <v>1144</v>
      </c>
      <c r="B770" t="s">
        <v>9</v>
      </c>
      <c r="C770" t="s">
        <v>70</v>
      </c>
      <c r="D770">
        <v>14</v>
      </c>
      <c r="E770">
        <v>28000</v>
      </c>
      <c r="F770" t="s">
        <v>456</v>
      </c>
      <c r="G770" s="2">
        <v>46123</v>
      </c>
      <c r="H770">
        <v>0</v>
      </c>
    </row>
    <row r="771" spans="1:8" x14ac:dyDescent="0.2">
      <c r="A771" t="s">
        <v>1145</v>
      </c>
      <c r="B771" t="s">
        <v>21</v>
      </c>
      <c r="C771" t="s">
        <v>22</v>
      </c>
      <c r="D771">
        <v>5</v>
      </c>
      <c r="E771">
        <v>35000</v>
      </c>
      <c r="G771" s="2">
        <v>46037</v>
      </c>
      <c r="H771">
        <v>0</v>
      </c>
    </row>
    <row r="772" spans="1:8" x14ac:dyDescent="0.2">
      <c r="A772" t="s">
        <v>1146</v>
      </c>
      <c r="B772" t="s">
        <v>9</v>
      </c>
      <c r="C772" t="s">
        <v>70</v>
      </c>
      <c r="D772">
        <v>24</v>
      </c>
      <c r="E772">
        <v>28000</v>
      </c>
      <c r="F772" t="s">
        <v>190</v>
      </c>
      <c r="G772" s="2">
        <v>46202</v>
      </c>
      <c r="H772">
        <v>0</v>
      </c>
    </row>
    <row r="773" spans="1:8" x14ac:dyDescent="0.2">
      <c r="A773" t="s">
        <v>1147</v>
      </c>
      <c r="B773" t="s">
        <v>9</v>
      </c>
      <c r="C773" t="s">
        <v>10</v>
      </c>
      <c r="D773">
        <v>-8</v>
      </c>
      <c r="E773">
        <v>15000</v>
      </c>
      <c r="F773" t="s">
        <v>1072</v>
      </c>
      <c r="G773" s="2">
        <v>46107</v>
      </c>
      <c r="H773">
        <v>0</v>
      </c>
    </row>
    <row r="774" spans="1:8" x14ac:dyDescent="0.2">
      <c r="A774" t="s">
        <v>1148</v>
      </c>
      <c r="B774" t="s">
        <v>25</v>
      </c>
      <c r="C774" t="s">
        <v>22</v>
      </c>
      <c r="D774">
        <v>20</v>
      </c>
      <c r="E774">
        <v>35000</v>
      </c>
      <c r="F774" t="s">
        <v>820</v>
      </c>
      <c r="G774" s="2">
        <v>46024</v>
      </c>
      <c r="H774">
        <v>0</v>
      </c>
    </row>
    <row r="775" spans="1:8" x14ac:dyDescent="0.2">
      <c r="A775" t="s">
        <v>1149</v>
      </c>
      <c r="B775" t="s">
        <v>25</v>
      </c>
      <c r="C775" t="s">
        <v>39</v>
      </c>
      <c r="D775">
        <v>13</v>
      </c>
      <c r="E775">
        <v>12000</v>
      </c>
      <c r="F775" t="s">
        <v>646</v>
      </c>
      <c r="G775" s="2">
        <v>46067</v>
      </c>
      <c r="H775">
        <v>0</v>
      </c>
    </row>
    <row r="776" spans="1:8" x14ac:dyDescent="0.2">
      <c r="A776" t="s">
        <v>1150</v>
      </c>
      <c r="B776" t="s">
        <v>21</v>
      </c>
      <c r="C776" t="s">
        <v>26</v>
      </c>
      <c r="D776">
        <v>18</v>
      </c>
      <c r="E776">
        <v>20000</v>
      </c>
      <c r="F776" t="s">
        <v>211</v>
      </c>
      <c r="G776" s="2">
        <v>46114</v>
      </c>
      <c r="H776">
        <v>0</v>
      </c>
    </row>
    <row r="777" spans="1:8" x14ac:dyDescent="0.2">
      <c r="A777" t="s">
        <v>1151</v>
      </c>
      <c r="B777" t="s">
        <v>14</v>
      </c>
      <c r="C777" t="s">
        <v>39</v>
      </c>
      <c r="D777">
        <v>19</v>
      </c>
      <c r="E777">
        <v>12000</v>
      </c>
      <c r="F777" t="s">
        <v>848</v>
      </c>
      <c r="G777" s="2">
        <v>46067</v>
      </c>
      <c r="H777">
        <v>0</v>
      </c>
    </row>
    <row r="778" spans="1:8" x14ac:dyDescent="0.2">
      <c r="A778" t="s">
        <v>1152</v>
      </c>
      <c r="B778" t="s">
        <v>14</v>
      </c>
      <c r="C778" t="s">
        <v>70</v>
      </c>
      <c r="D778">
        <v>1</v>
      </c>
      <c r="E778">
        <v>28000</v>
      </c>
      <c r="F778" t="s">
        <v>207</v>
      </c>
      <c r="G778" s="2">
        <v>46159</v>
      </c>
      <c r="H778">
        <v>0</v>
      </c>
    </row>
    <row r="779" spans="1:8" x14ac:dyDescent="0.2">
      <c r="A779" t="s">
        <v>1153</v>
      </c>
      <c r="B779" t="s">
        <v>25</v>
      </c>
      <c r="C779" t="s">
        <v>26</v>
      </c>
      <c r="D779">
        <v>3</v>
      </c>
      <c r="E779">
        <v>20000</v>
      </c>
      <c r="F779" t="s">
        <v>308</v>
      </c>
      <c r="G779" s="2">
        <v>46156</v>
      </c>
      <c r="H779">
        <v>0</v>
      </c>
    </row>
    <row r="780" spans="1:8" x14ac:dyDescent="0.2">
      <c r="A780" t="s">
        <v>1154</v>
      </c>
      <c r="B780" t="s">
        <v>25</v>
      </c>
      <c r="C780" t="s">
        <v>18</v>
      </c>
      <c r="D780">
        <v>15</v>
      </c>
      <c r="E780">
        <v>50000</v>
      </c>
      <c r="F780" t="s">
        <v>320</v>
      </c>
      <c r="G780" s="2">
        <v>46026</v>
      </c>
      <c r="H780">
        <v>0</v>
      </c>
    </row>
    <row r="781" spans="1:8" x14ac:dyDescent="0.2">
      <c r="A781" t="s">
        <v>1155</v>
      </c>
      <c r="B781" t="s">
        <v>25</v>
      </c>
      <c r="C781" t="s">
        <v>26</v>
      </c>
      <c r="D781">
        <v>5</v>
      </c>
      <c r="E781">
        <v>20000</v>
      </c>
      <c r="F781" t="s">
        <v>599</v>
      </c>
      <c r="G781" s="2">
        <v>46186</v>
      </c>
      <c r="H781">
        <v>3</v>
      </c>
    </row>
    <row r="782" spans="1:8" x14ac:dyDescent="0.2">
      <c r="A782" t="s">
        <v>1156</v>
      </c>
      <c r="B782" t="s">
        <v>21</v>
      </c>
      <c r="C782" t="s">
        <v>26</v>
      </c>
      <c r="D782">
        <v>7</v>
      </c>
      <c r="E782">
        <v>20000</v>
      </c>
      <c r="F782" t="s">
        <v>752</v>
      </c>
      <c r="G782" s="2">
        <v>46135</v>
      </c>
      <c r="H782">
        <v>0</v>
      </c>
    </row>
    <row r="783" spans="1:8" x14ac:dyDescent="0.2">
      <c r="A783" t="s">
        <v>1157</v>
      </c>
      <c r="B783" t="s">
        <v>21</v>
      </c>
      <c r="C783" t="s">
        <v>70</v>
      </c>
      <c r="D783">
        <v>18</v>
      </c>
      <c r="E783">
        <v>28000</v>
      </c>
      <c r="F783" t="s">
        <v>1158</v>
      </c>
      <c r="G783" s="2">
        <v>46028</v>
      </c>
      <c r="H783">
        <v>0</v>
      </c>
    </row>
    <row r="784" spans="1:8" x14ac:dyDescent="0.2">
      <c r="A784" t="s">
        <v>1159</v>
      </c>
      <c r="B784" t="s">
        <v>9</v>
      </c>
      <c r="C784" t="s">
        <v>10</v>
      </c>
      <c r="D784">
        <v>22</v>
      </c>
      <c r="E784">
        <v>15000</v>
      </c>
      <c r="F784" t="s">
        <v>539</v>
      </c>
      <c r="G784" s="2">
        <v>46173</v>
      </c>
      <c r="H784">
        <v>0</v>
      </c>
    </row>
    <row r="785" spans="1:8" x14ac:dyDescent="0.2">
      <c r="A785" t="s">
        <v>1160</v>
      </c>
      <c r="B785" t="s">
        <v>9</v>
      </c>
      <c r="C785" t="s">
        <v>10</v>
      </c>
      <c r="D785">
        <v>10</v>
      </c>
      <c r="E785">
        <v>15000</v>
      </c>
      <c r="F785" t="s">
        <v>543</v>
      </c>
      <c r="G785" s="2">
        <v>46108</v>
      </c>
      <c r="H785">
        <v>0</v>
      </c>
    </row>
    <row r="786" spans="1:8" x14ac:dyDescent="0.2">
      <c r="A786" t="s">
        <v>1161</v>
      </c>
      <c r="B786" t="s">
        <v>14</v>
      </c>
      <c r="C786" t="s">
        <v>26</v>
      </c>
      <c r="D786" t="s">
        <v>834</v>
      </c>
      <c r="E786">
        <v>20000</v>
      </c>
      <c r="F786" t="s">
        <v>352</v>
      </c>
      <c r="G786" s="2">
        <v>46027</v>
      </c>
      <c r="H786">
        <v>1</v>
      </c>
    </row>
    <row r="787" spans="1:8" x14ac:dyDescent="0.2">
      <c r="A787" t="s">
        <v>1162</v>
      </c>
      <c r="B787" t="s">
        <v>21</v>
      </c>
      <c r="C787" t="s">
        <v>26</v>
      </c>
      <c r="D787">
        <v>25</v>
      </c>
      <c r="E787">
        <v>20000</v>
      </c>
      <c r="F787" t="s">
        <v>946</v>
      </c>
      <c r="G787" s="2">
        <v>46198</v>
      </c>
      <c r="H787">
        <v>0</v>
      </c>
    </row>
    <row r="788" spans="1:8" x14ac:dyDescent="0.2">
      <c r="A788" t="s">
        <v>1163</v>
      </c>
      <c r="B788" t="s">
        <v>25</v>
      </c>
      <c r="C788" t="s">
        <v>18</v>
      </c>
      <c r="D788">
        <v>8</v>
      </c>
      <c r="E788">
        <v>50000</v>
      </c>
      <c r="F788" t="s">
        <v>539</v>
      </c>
      <c r="G788" s="2">
        <v>46130</v>
      </c>
      <c r="H788">
        <v>0</v>
      </c>
    </row>
    <row r="789" spans="1:8" x14ac:dyDescent="0.2">
      <c r="A789" t="s">
        <v>1164</v>
      </c>
      <c r="B789" t="s">
        <v>9</v>
      </c>
      <c r="C789" t="s">
        <v>39</v>
      </c>
      <c r="D789">
        <v>12</v>
      </c>
      <c r="E789" t="s">
        <v>348</v>
      </c>
      <c r="F789" t="s">
        <v>377</v>
      </c>
      <c r="G789" s="2">
        <v>46052</v>
      </c>
      <c r="H789">
        <v>2</v>
      </c>
    </row>
    <row r="790" spans="1:8" x14ac:dyDescent="0.2">
      <c r="A790" t="s">
        <v>1165</v>
      </c>
      <c r="B790" t="s">
        <v>21</v>
      </c>
      <c r="C790" t="s">
        <v>67</v>
      </c>
      <c r="D790">
        <v>15</v>
      </c>
      <c r="E790">
        <v>15000</v>
      </c>
      <c r="F790" t="s">
        <v>153</v>
      </c>
      <c r="G790" s="2">
        <v>46140</v>
      </c>
      <c r="H790">
        <v>0</v>
      </c>
    </row>
    <row r="791" spans="1:8" x14ac:dyDescent="0.2">
      <c r="A791" t="s">
        <v>1166</v>
      </c>
      <c r="B791" t="s">
        <v>21</v>
      </c>
      <c r="C791" t="s">
        <v>26</v>
      </c>
      <c r="D791">
        <v>4</v>
      </c>
      <c r="E791">
        <v>20000</v>
      </c>
      <c r="F791" t="s">
        <v>218</v>
      </c>
      <c r="H791">
        <v>0</v>
      </c>
    </row>
    <row r="792" spans="1:8" x14ac:dyDescent="0.2">
      <c r="A792" t="s">
        <v>1167</v>
      </c>
      <c r="B792" t="s">
        <v>14</v>
      </c>
      <c r="C792" t="s">
        <v>22</v>
      </c>
      <c r="D792">
        <v>-9</v>
      </c>
      <c r="E792">
        <v>35000</v>
      </c>
      <c r="F792" t="s">
        <v>997</v>
      </c>
      <c r="G792" s="2">
        <v>46146</v>
      </c>
      <c r="H792">
        <v>0</v>
      </c>
    </row>
    <row r="793" spans="1:8" x14ac:dyDescent="0.2">
      <c r="A793" t="s">
        <v>1168</v>
      </c>
      <c r="B793" t="s">
        <v>14</v>
      </c>
      <c r="C793" t="s">
        <v>39</v>
      </c>
      <c r="D793">
        <v>4</v>
      </c>
      <c r="E793">
        <v>12000</v>
      </c>
      <c r="F793" t="s">
        <v>1169</v>
      </c>
      <c r="G793" s="2">
        <v>46109</v>
      </c>
      <c r="H793">
        <v>7</v>
      </c>
    </row>
    <row r="794" spans="1:8" x14ac:dyDescent="0.2">
      <c r="A794" t="s">
        <v>1170</v>
      </c>
      <c r="B794" t="s">
        <v>9</v>
      </c>
      <c r="C794" t="s">
        <v>26</v>
      </c>
      <c r="D794">
        <v>6</v>
      </c>
      <c r="E794">
        <v>20000</v>
      </c>
      <c r="F794" t="s">
        <v>42</v>
      </c>
      <c r="G794" s="2">
        <v>46176</v>
      </c>
      <c r="H794">
        <v>0</v>
      </c>
    </row>
    <row r="795" spans="1:8" x14ac:dyDescent="0.2">
      <c r="A795" t="s">
        <v>1171</v>
      </c>
      <c r="B795" t="s">
        <v>14</v>
      </c>
      <c r="C795" t="s">
        <v>1172</v>
      </c>
      <c r="D795">
        <v>1</v>
      </c>
      <c r="E795" t="s">
        <v>625</v>
      </c>
      <c r="F795" t="s">
        <v>499</v>
      </c>
      <c r="G795" s="2">
        <v>46067</v>
      </c>
      <c r="H795">
        <v>0</v>
      </c>
    </row>
    <row r="796" spans="1:8" x14ac:dyDescent="0.2">
      <c r="A796" t="s">
        <v>1173</v>
      </c>
      <c r="B796" t="s">
        <v>9</v>
      </c>
      <c r="C796" t="s">
        <v>22</v>
      </c>
      <c r="D796">
        <v>19</v>
      </c>
      <c r="E796">
        <v>35000</v>
      </c>
      <c r="F796" t="s">
        <v>895</v>
      </c>
      <c r="G796" s="2">
        <v>46075</v>
      </c>
      <c r="H796">
        <v>5</v>
      </c>
    </row>
    <row r="797" spans="1:8" x14ac:dyDescent="0.2">
      <c r="A797" t="s">
        <v>1174</v>
      </c>
      <c r="B797" t="s">
        <v>679</v>
      </c>
      <c r="C797" t="s">
        <v>32</v>
      </c>
      <c r="D797">
        <v>11</v>
      </c>
      <c r="E797">
        <v>8000</v>
      </c>
      <c r="F797" t="s">
        <v>346</v>
      </c>
      <c r="G797" s="2">
        <v>46113</v>
      </c>
      <c r="H797">
        <v>0</v>
      </c>
    </row>
    <row r="798" spans="1:8" x14ac:dyDescent="0.2">
      <c r="A798" t="s">
        <v>1175</v>
      </c>
      <c r="B798" t="s">
        <v>25</v>
      </c>
      <c r="C798" t="s">
        <v>26</v>
      </c>
      <c r="D798">
        <v>6</v>
      </c>
      <c r="E798">
        <v>20000</v>
      </c>
      <c r="F798" t="s">
        <v>276</v>
      </c>
      <c r="G798" s="2">
        <v>46041</v>
      </c>
      <c r="H798">
        <v>0</v>
      </c>
    </row>
    <row r="799" spans="1:8" x14ac:dyDescent="0.2">
      <c r="A799" t="s">
        <v>1176</v>
      </c>
      <c r="B799" t="s">
        <v>25</v>
      </c>
      <c r="C799" t="s">
        <v>26</v>
      </c>
      <c r="D799">
        <v>19</v>
      </c>
      <c r="E799">
        <v>20000</v>
      </c>
      <c r="F799" t="s">
        <v>1177</v>
      </c>
      <c r="G799" s="2">
        <v>46184</v>
      </c>
      <c r="H799">
        <v>4</v>
      </c>
    </row>
    <row r="800" spans="1:8" x14ac:dyDescent="0.2">
      <c r="A800" t="s">
        <v>1178</v>
      </c>
      <c r="B800" t="s">
        <v>25</v>
      </c>
      <c r="C800" t="s">
        <v>70</v>
      </c>
      <c r="D800">
        <v>5</v>
      </c>
      <c r="E800">
        <v>28000</v>
      </c>
      <c r="F800" t="s">
        <v>1179</v>
      </c>
      <c r="G800" s="2">
        <v>46063</v>
      </c>
      <c r="H800">
        <v>0</v>
      </c>
    </row>
    <row r="801" spans="1:8" x14ac:dyDescent="0.2">
      <c r="A801" t="s">
        <v>1180</v>
      </c>
      <c r="B801" t="s">
        <v>14</v>
      </c>
      <c r="C801" t="s">
        <v>22</v>
      </c>
      <c r="D801">
        <v>23</v>
      </c>
      <c r="E801">
        <v>35000</v>
      </c>
      <c r="F801" t="s">
        <v>482</v>
      </c>
      <c r="G801" s="2">
        <v>46085</v>
      </c>
      <c r="H801">
        <v>0</v>
      </c>
    </row>
    <row r="802" spans="1:8" x14ac:dyDescent="0.2">
      <c r="A802" t="s">
        <v>1181</v>
      </c>
      <c r="B802" t="s">
        <v>21</v>
      </c>
      <c r="C802" t="s">
        <v>32</v>
      </c>
      <c r="D802">
        <v>11</v>
      </c>
      <c r="E802">
        <v>8000</v>
      </c>
      <c r="F802" t="s">
        <v>230</v>
      </c>
      <c r="G802" s="2">
        <v>46200</v>
      </c>
      <c r="H802">
        <v>4</v>
      </c>
    </row>
    <row r="803" spans="1:8" x14ac:dyDescent="0.2">
      <c r="A803" t="s">
        <v>1182</v>
      </c>
      <c r="B803" t="s">
        <v>21</v>
      </c>
      <c r="C803" t="s">
        <v>18</v>
      </c>
      <c r="D803">
        <v>15</v>
      </c>
      <c r="E803">
        <v>50000</v>
      </c>
      <c r="F803" t="s">
        <v>368</v>
      </c>
      <c r="G803" s="2">
        <v>46105</v>
      </c>
      <c r="H803">
        <v>0</v>
      </c>
    </row>
    <row r="804" spans="1:8" x14ac:dyDescent="0.2">
      <c r="A804" t="s">
        <v>1183</v>
      </c>
      <c r="B804" t="s">
        <v>9</v>
      </c>
      <c r="C804" t="s">
        <v>22</v>
      </c>
      <c r="D804">
        <v>16</v>
      </c>
      <c r="E804">
        <v>35000</v>
      </c>
      <c r="F804" t="s">
        <v>712</v>
      </c>
      <c r="G804" s="2">
        <v>46157</v>
      </c>
      <c r="H804">
        <v>0</v>
      </c>
    </row>
    <row r="805" spans="1:8" x14ac:dyDescent="0.2">
      <c r="A805" t="s">
        <v>1184</v>
      </c>
      <c r="B805" t="s">
        <v>14</v>
      </c>
      <c r="C805" t="s">
        <v>70</v>
      </c>
      <c r="D805">
        <v>300</v>
      </c>
      <c r="E805">
        <v>28000</v>
      </c>
      <c r="F805" t="s">
        <v>266</v>
      </c>
      <c r="G805" s="2">
        <v>46151</v>
      </c>
      <c r="H805">
        <v>0</v>
      </c>
    </row>
    <row r="806" spans="1:8" x14ac:dyDescent="0.2">
      <c r="A806" t="s">
        <v>1185</v>
      </c>
      <c r="B806" t="s">
        <v>9</v>
      </c>
      <c r="C806" t="s">
        <v>39</v>
      </c>
      <c r="D806">
        <v>21</v>
      </c>
      <c r="E806">
        <v>12000</v>
      </c>
      <c r="F806" t="s">
        <v>838</v>
      </c>
      <c r="G806" s="2">
        <v>46135</v>
      </c>
      <c r="H806">
        <v>0</v>
      </c>
    </row>
    <row r="807" spans="1:8" x14ac:dyDescent="0.2">
      <c r="A807" t="s">
        <v>1186</v>
      </c>
      <c r="B807" t="s">
        <v>21</v>
      </c>
      <c r="C807" t="s">
        <v>26</v>
      </c>
      <c r="D807" t="s">
        <v>1187</v>
      </c>
      <c r="E807">
        <v>20000</v>
      </c>
      <c r="F807" t="s">
        <v>848</v>
      </c>
      <c r="G807" s="2">
        <v>46116</v>
      </c>
      <c r="H807">
        <v>0</v>
      </c>
    </row>
    <row r="808" spans="1:8" x14ac:dyDescent="0.2">
      <c r="A808" t="s">
        <v>1188</v>
      </c>
      <c r="B808" t="s">
        <v>9</v>
      </c>
      <c r="C808" t="s">
        <v>130</v>
      </c>
      <c r="D808" t="s">
        <v>11</v>
      </c>
      <c r="E808">
        <v>20000</v>
      </c>
      <c r="F808" t="s">
        <v>412</v>
      </c>
      <c r="G808" s="2">
        <v>46128</v>
      </c>
      <c r="H808">
        <v>0</v>
      </c>
    </row>
    <row r="809" spans="1:8" x14ac:dyDescent="0.2">
      <c r="A809" t="s">
        <v>1189</v>
      </c>
      <c r="B809" t="s">
        <v>25</v>
      </c>
      <c r="C809" t="s">
        <v>26</v>
      </c>
      <c r="D809">
        <v>25</v>
      </c>
      <c r="E809">
        <v>20000</v>
      </c>
      <c r="F809" t="s">
        <v>484</v>
      </c>
      <c r="H809">
        <v>0</v>
      </c>
    </row>
    <row r="810" spans="1:8" x14ac:dyDescent="0.2">
      <c r="A810" t="s">
        <v>1190</v>
      </c>
      <c r="B810" t="s">
        <v>14</v>
      </c>
      <c r="C810" t="s">
        <v>32</v>
      </c>
      <c r="D810">
        <v>10</v>
      </c>
      <c r="E810">
        <v>8000</v>
      </c>
      <c r="F810" t="s">
        <v>412</v>
      </c>
      <c r="G810" s="2">
        <v>46192</v>
      </c>
      <c r="H810">
        <v>0</v>
      </c>
    </row>
    <row r="811" spans="1:8" x14ac:dyDescent="0.2">
      <c r="A811" t="s">
        <v>1191</v>
      </c>
      <c r="B811" t="s">
        <v>25</v>
      </c>
      <c r="C811" t="s">
        <v>70</v>
      </c>
      <c r="D811">
        <v>1</v>
      </c>
      <c r="E811">
        <v>28000</v>
      </c>
      <c r="F811" t="s">
        <v>261</v>
      </c>
      <c r="G811" s="2">
        <v>46162</v>
      </c>
      <c r="H811">
        <v>0</v>
      </c>
    </row>
    <row r="812" spans="1:8" x14ac:dyDescent="0.2">
      <c r="A812" t="s">
        <v>1192</v>
      </c>
      <c r="B812" t="s">
        <v>25</v>
      </c>
      <c r="C812" t="s">
        <v>39</v>
      </c>
      <c r="D812">
        <v>17</v>
      </c>
      <c r="E812">
        <v>12000</v>
      </c>
      <c r="F812" t="s">
        <v>355</v>
      </c>
      <c r="G812" s="2">
        <v>46061</v>
      </c>
      <c r="H812">
        <v>0</v>
      </c>
    </row>
    <row r="813" spans="1:8" x14ac:dyDescent="0.2">
      <c r="A813" t="s">
        <v>1193</v>
      </c>
      <c r="B813" t="s">
        <v>25</v>
      </c>
      <c r="C813" t="s">
        <v>1194</v>
      </c>
      <c r="D813">
        <v>1</v>
      </c>
      <c r="E813">
        <v>12000</v>
      </c>
      <c r="F813" t="s">
        <v>86</v>
      </c>
      <c r="G813" s="2">
        <v>46039</v>
      </c>
      <c r="H813">
        <v>0</v>
      </c>
    </row>
    <row r="814" spans="1:8" x14ac:dyDescent="0.2">
      <c r="A814" t="s">
        <v>1195</v>
      </c>
      <c r="B814" t="s">
        <v>21</v>
      </c>
      <c r="C814" t="s">
        <v>26</v>
      </c>
      <c r="D814">
        <v>18</v>
      </c>
      <c r="E814">
        <v>20000</v>
      </c>
      <c r="F814" t="s">
        <v>121</v>
      </c>
      <c r="G814" s="2">
        <v>46130</v>
      </c>
      <c r="H814">
        <v>0</v>
      </c>
    </row>
    <row r="815" spans="1:8" x14ac:dyDescent="0.2">
      <c r="A815" t="s">
        <v>1196</v>
      </c>
      <c r="B815" t="s">
        <v>14</v>
      </c>
      <c r="C815" t="s">
        <v>18</v>
      </c>
      <c r="D815">
        <v>17</v>
      </c>
      <c r="E815">
        <v>50000</v>
      </c>
      <c r="F815" t="s">
        <v>101</v>
      </c>
      <c r="G815" s="2">
        <v>46185</v>
      </c>
      <c r="H815">
        <v>0</v>
      </c>
    </row>
    <row r="816" spans="1:8" x14ac:dyDescent="0.2">
      <c r="A816" t="s">
        <v>1197</v>
      </c>
      <c r="B816" t="s">
        <v>21</v>
      </c>
      <c r="C816" t="s">
        <v>22</v>
      </c>
      <c r="D816">
        <v>9</v>
      </c>
      <c r="E816">
        <v>35000</v>
      </c>
      <c r="F816" t="s">
        <v>366</v>
      </c>
      <c r="G816" s="2">
        <v>46043</v>
      </c>
      <c r="H816">
        <v>3</v>
      </c>
    </row>
    <row r="817" spans="1:8" x14ac:dyDescent="0.2">
      <c r="A817" t="s">
        <v>1198</v>
      </c>
      <c r="B817" t="s">
        <v>14</v>
      </c>
      <c r="C817" t="s">
        <v>70</v>
      </c>
      <c r="D817">
        <v>20</v>
      </c>
      <c r="E817">
        <v>28000</v>
      </c>
      <c r="F817" t="s">
        <v>35</v>
      </c>
      <c r="G817" s="2">
        <v>46130</v>
      </c>
      <c r="H817">
        <v>2</v>
      </c>
    </row>
    <row r="818" spans="1:8" x14ac:dyDescent="0.2">
      <c r="A818" t="s">
        <v>1199</v>
      </c>
      <c r="B818" t="s">
        <v>21</v>
      </c>
      <c r="C818" t="s">
        <v>22</v>
      </c>
      <c r="D818">
        <v>7</v>
      </c>
      <c r="E818">
        <v>35000</v>
      </c>
      <c r="F818" t="s">
        <v>630</v>
      </c>
      <c r="G818" s="2">
        <v>46190</v>
      </c>
      <c r="H818">
        <v>3</v>
      </c>
    </row>
    <row r="819" spans="1:8" x14ac:dyDescent="0.2">
      <c r="A819" t="s">
        <v>1200</v>
      </c>
      <c r="B819" t="s">
        <v>9</v>
      </c>
      <c r="C819" t="s">
        <v>32</v>
      </c>
      <c r="D819">
        <v>25</v>
      </c>
      <c r="E819">
        <v>8000</v>
      </c>
      <c r="F819" t="s">
        <v>287</v>
      </c>
      <c r="G819" s="2">
        <v>46079</v>
      </c>
      <c r="H819">
        <v>4</v>
      </c>
    </row>
    <row r="820" spans="1:8" x14ac:dyDescent="0.2">
      <c r="A820" t="s">
        <v>1201</v>
      </c>
      <c r="B820" t="s">
        <v>14</v>
      </c>
      <c r="C820" t="s">
        <v>45</v>
      </c>
      <c r="D820">
        <v>2</v>
      </c>
      <c r="E820">
        <v>20000</v>
      </c>
      <c r="F820" t="s">
        <v>379</v>
      </c>
      <c r="G820" s="2">
        <v>46120</v>
      </c>
      <c r="H820">
        <v>0</v>
      </c>
    </row>
    <row r="821" spans="1:8" x14ac:dyDescent="0.2">
      <c r="A821" t="s">
        <v>1202</v>
      </c>
      <c r="B821" t="s">
        <v>9</v>
      </c>
      <c r="C821" t="s">
        <v>39</v>
      </c>
      <c r="D821">
        <v>10</v>
      </c>
      <c r="E821">
        <v>24000</v>
      </c>
      <c r="F821" t="s">
        <v>1203</v>
      </c>
      <c r="G821" s="2">
        <v>46092</v>
      </c>
      <c r="H821">
        <v>2</v>
      </c>
    </row>
    <row r="822" spans="1:8" x14ac:dyDescent="0.2">
      <c r="A822" t="s">
        <v>1204</v>
      </c>
      <c r="B822" t="s">
        <v>14</v>
      </c>
      <c r="C822" t="s">
        <v>45</v>
      </c>
      <c r="D822">
        <v>8</v>
      </c>
      <c r="E822">
        <v>20000</v>
      </c>
      <c r="F822" t="s">
        <v>177</v>
      </c>
      <c r="G822" s="2">
        <v>46146</v>
      </c>
      <c r="H822">
        <v>0</v>
      </c>
    </row>
    <row r="823" spans="1:8" x14ac:dyDescent="0.2">
      <c r="A823" t="s">
        <v>1205</v>
      </c>
      <c r="B823" t="s">
        <v>14</v>
      </c>
      <c r="C823" t="s">
        <v>22</v>
      </c>
      <c r="D823">
        <v>18</v>
      </c>
      <c r="E823">
        <v>35000</v>
      </c>
      <c r="F823" t="s">
        <v>795</v>
      </c>
      <c r="G823" s="2">
        <v>46146</v>
      </c>
      <c r="H823">
        <v>0</v>
      </c>
    </row>
    <row r="824" spans="1:8" x14ac:dyDescent="0.2">
      <c r="A824" t="s">
        <v>1206</v>
      </c>
      <c r="B824" t="s">
        <v>25</v>
      </c>
      <c r="C824" t="s">
        <v>10</v>
      </c>
      <c r="D824">
        <v>1</v>
      </c>
      <c r="E824">
        <v>15000</v>
      </c>
      <c r="F824" t="s">
        <v>812</v>
      </c>
      <c r="G824" s="2">
        <v>46119</v>
      </c>
      <c r="H824">
        <v>0</v>
      </c>
    </row>
    <row r="825" spans="1:8" x14ac:dyDescent="0.2">
      <c r="A825" t="s">
        <v>1207</v>
      </c>
      <c r="B825" t="s">
        <v>9</v>
      </c>
      <c r="C825" t="s">
        <v>10</v>
      </c>
      <c r="D825">
        <v>20</v>
      </c>
      <c r="E825">
        <v>15000</v>
      </c>
      <c r="F825" t="s">
        <v>523</v>
      </c>
      <c r="G825" s="2">
        <v>46052</v>
      </c>
      <c r="H825">
        <v>4</v>
      </c>
    </row>
    <row r="826" spans="1:8" x14ac:dyDescent="0.2">
      <c r="A826" t="s">
        <v>1208</v>
      </c>
      <c r="B826" t="s">
        <v>21</v>
      </c>
      <c r="C826" t="s">
        <v>10</v>
      </c>
      <c r="D826" t="s">
        <v>529</v>
      </c>
      <c r="E826">
        <v>15000</v>
      </c>
      <c r="F826" t="s">
        <v>601</v>
      </c>
      <c r="G826" s="2">
        <v>46096</v>
      </c>
      <c r="H826">
        <v>0</v>
      </c>
    </row>
    <row r="827" spans="1:8" x14ac:dyDescent="0.2">
      <c r="A827" t="s">
        <v>1209</v>
      </c>
      <c r="B827" t="s">
        <v>25</v>
      </c>
      <c r="C827" t="s">
        <v>70</v>
      </c>
      <c r="D827">
        <v>4</v>
      </c>
      <c r="E827">
        <v>28000</v>
      </c>
      <c r="F827" t="s">
        <v>249</v>
      </c>
      <c r="G827" s="2">
        <v>46028</v>
      </c>
      <c r="H827">
        <v>0</v>
      </c>
    </row>
    <row r="828" spans="1:8" x14ac:dyDescent="0.2">
      <c r="A828" t="s">
        <v>1210</v>
      </c>
      <c r="B828" t="s">
        <v>14</v>
      </c>
      <c r="C828" t="s">
        <v>10</v>
      </c>
      <c r="D828">
        <v>15</v>
      </c>
      <c r="E828">
        <v>15000</v>
      </c>
      <c r="F828" t="s">
        <v>169</v>
      </c>
      <c r="G828" s="2">
        <v>46182</v>
      </c>
      <c r="H828">
        <v>0</v>
      </c>
    </row>
    <row r="829" spans="1:8" x14ac:dyDescent="0.2">
      <c r="A829" t="s">
        <v>1211</v>
      </c>
      <c r="B829" t="s">
        <v>14</v>
      </c>
      <c r="C829" t="s">
        <v>70</v>
      </c>
      <c r="D829">
        <v>-3</v>
      </c>
      <c r="E829">
        <v>28000</v>
      </c>
      <c r="F829" t="s">
        <v>507</v>
      </c>
      <c r="G829" s="2">
        <v>46108</v>
      </c>
      <c r="H829">
        <v>0</v>
      </c>
    </row>
    <row r="830" spans="1:8" x14ac:dyDescent="0.2">
      <c r="A830" t="s">
        <v>1212</v>
      </c>
      <c r="B830" t="s">
        <v>14</v>
      </c>
      <c r="C830" t="s">
        <v>26</v>
      </c>
      <c r="D830">
        <v>1</v>
      </c>
      <c r="E830">
        <v>20000</v>
      </c>
      <c r="F830" t="s">
        <v>416</v>
      </c>
      <c r="G830" s="2">
        <v>46191</v>
      </c>
      <c r="H830">
        <v>0</v>
      </c>
    </row>
    <row r="831" spans="1:8" x14ac:dyDescent="0.2">
      <c r="A831" t="s">
        <v>1213</v>
      </c>
      <c r="B831" t="s">
        <v>21</v>
      </c>
      <c r="C831" t="s">
        <v>70</v>
      </c>
      <c r="D831" t="s">
        <v>1214</v>
      </c>
      <c r="E831">
        <v>28000</v>
      </c>
      <c r="F831" t="s">
        <v>175</v>
      </c>
      <c r="G831" s="2">
        <v>46026</v>
      </c>
      <c r="H831">
        <v>0</v>
      </c>
    </row>
    <row r="832" spans="1:8" x14ac:dyDescent="0.2">
      <c r="A832" t="s">
        <v>1215</v>
      </c>
      <c r="B832" t="s">
        <v>14</v>
      </c>
      <c r="C832" t="s">
        <v>32</v>
      </c>
      <c r="D832">
        <v>4</v>
      </c>
      <c r="E832">
        <v>4000</v>
      </c>
      <c r="F832" t="s">
        <v>222</v>
      </c>
      <c r="G832" s="2">
        <v>46097</v>
      </c>
      <c r="H832">
        <v>0</v>
      </c>
    </row>
    <row r="833" spans="1:8" x14ac:dyDescent="0.2">
      <c r="A833" t="s">
        <v>1216</v>
      </c>
      <c r="B833" t="s">
        <v>14</v>
      </c>
      <c r="C833" t="s">
        <v>18</v>
      </c>
      <c r="D833">
        <v>19</v>
      </c>
      <c r="E833">
        <v>50000</v>
      </c>
      <c r="F833" t="s">
        <v>646</v>
      </c>
      <c r="G833" s="2">
        <v>46038</v>
      </c>
      <c r="H833">
        <v>0</v>
      </c>
    </row>
    <row r="834" spans="1:8" x14ac:dyDescent="0.2">
      <c r="A834" t="s">
        <v>1217</v>
      </c>
      <c r="B834" t="s">
        <v>9</v>
      </c>
      <c r="C834" t="s">
        <v>70</v>
      </c>
      <c r="D834">
        <v>9</v>
      </c>
      <c r="E834" t="s">
        <v>659</v>
      </c>
      <c r="F834" t="s">
        <v>230</v>
      </c>
      <c r="G834" s="2">
        <v>46107</v>
      </c>
      <c r="H834">
        <v>0</v>
      </c>
    </row>
    <row r="835" spans="1:8" x14ac:dyDescent="0.2">
      <c r="A835" t="s">
        <v>1218</v>
      </c>
      <c r="B835" t="s">
        <v>21</v>
      </c>
      <c r="C835" t="s">
        <v>26</v>
      </c>
      <c r="D835">
        <v>20</v>
      </c>
      <c r="E835">
        <v>20000</v>
      </c>
      <c r="F835" t="s">
        <v>92</v>
      </c>
      <c r="G835" s="2">
        <v>46073</v>
      </c>
      <c r="H835">
        <v>0</v>
      </c>
    </row>
    <row r="836" spans="1:8" x14ac:dyDescent="0.2">
      <c r="A836" t="s">
        <v>1219</v>
      </c>
      <c r="B836" t="s">
        <v>25</v>
      </c>
      <c r="C836" t="s">
        <v>10</v>
      </c>
      <c r="D836">
        <v>23</v>
      </c>
      <c r="E836">
        <v>15000</v>
      </c>
      <c r="F836" t="s">
        <v>142</v>
      </c>
      <c r="G836" s="2">
        <v>46197</v>
      </c>
      <c r="H836">
        <v>4</v>
      </c>
    </row>
    <row r="837" spans="1:8" x14ac:dyDescent="0.2">
      <c r="A837" t="s">
        <v>1220</v>
      </c>
      <c r="B837" t="s">
        <v>25</v>
      </c>
      <c r="C837" t="s">
        <v>10</v>
      </c>
      <c r="D837">
        <v>24</v>
      </c>
      <c r="E837">
        <v>15000</v>
      </c>
      <c r="F837" t="s">
        <v>285</v>
      </c>
      <c r="G837" s="2">
        <v>46027</v>
      </c>
      <c r="H837">
        <v>0</v>
      </c>
    </row>
    <row r="838" spans="1:8" x14ac:dyDescent="0.2">
      <c r="A838" t="s">
        <v>1221</v>
      </c>
      <c r="B838" t="s">
        <v>21</v>
      </c>
      <c r="C838" t="s">
        <v>22</v>
      </c>
      <c r="D838">
        <v>16</v>
      </c>
      <c r="E838">
        <v>35000</v>
      </c>
      <c r="F838" t="s">
        <v>535</v>
      </c>
      <c r="G838" s="2">
        <v>46082</v>
      </c>
      <c r="H838">
        <v>0</v>
      </c>
    </row>
    <row r="839" spans="1:8" x14ac:dyDescent="0.2">
      <c r="A839" t="s">
        <v>1222</v>
      </c>
      <c r="B839" t="s">
        <v>9</v>
      </c>
      <c r="C839" t="s">
        <v>70</v>
      </c>
      <c r="D839">
        <v>8</v>
      </c>
      <c r="E839">
        <v>28000</v>
      </c>
      <c r="F839" t="s">
        <v>255</v>
      </c>
      <c r="G839" s="2">
        <v>46190</v>
      </c>
      <c r="H839">
        <v>2</v>
      </c>
    </row>
    <row r="840" spans="1:8" x14ac:dyDescent="0.2">
      <c r="A840" t="s">
        <v>1223</v>
      </c>
      <c r="B840" t="s">
        <v>25</v>
      </c>
      <c r="C840" t="s">
        <v>433</v>
      </c>
      <c r="D840">
        <v>10</v>
      </c>
      <c r="E840">
        <v>12000</v>
      </c>
      <c r="F840" t="s">
        <v>748</v>
      </c>
      <c r="G840" s="2">
        <v>46066</v>
      </c>
      <c r="H840">
        <v>0</v>
      </c>
    </row>
    <row r="841" spans="1:8" x14ac:dyDescent="0.2">
      <c r="A841" t="s">
        <v>1224</v>
      </c>
      <c r="B841" t="s">
        <v>14</v>
      </c>
      <c r="C841" t="s">
        <v>32</v>
      </c>
      <c r="D841">
        <v>5</v>
      </c>
      <c r="E841">
        <v>8000</v>
      </c>
      <c r="F841" t="s">
        <v>937</v>
      </c>
      <c r="G841" s="2">
        <v>46200</v>
      </c>
      <c r="H841">
        <v>0</v>
      </c>
    </row>
    <row r="842" spans="1:8" x14ac:dyDescent="0.2">
      <c r="A842" t="s">
        <v>1225</v>
      </c>
      <c r="B842" t="s">
        <v>9</v>
      </c>
      <c r="C842" t="s">
        <v>39</v>
      </c>
      <c r="D842">
        <v>20</v>
      </c>
      <c r="E842">
        <v>12000</v>
      </c>
      <c r="F842" t="s">
        <v>169</v>
      </c>
      <c r="G842" s="2">
        <v>46129</v>
      </c>
      <c r="H842">
        <v>0</v>
      </c>
    </row>
    <row r="843" spans="1:8" x14ac:dyDescent="0.2">
      <c r="A843" t="s">
        <v>1226</v>
      </c>
      <c r="B843" t="s">
        <v>25</v>
      </c>
      <c r="C843" t="s">
        <v>22</v>
      </c>
      <c r="D843">
        <v>1</v>
      </c>
      <c r="E843">
        <v>35000</v>
      </c>
      <c r="F843" t="s">
        <v>155</v>
      </c>
      <c r="G843" s="2">
        <v>46143</v>
      </c>
      <c r="H843">
        <v>0</v>
      </c>
    </row>
    <row r="844" spans="1:8" x14ac:dyDescent="0.2">
      <c r="A844" t="s">
        <v>1227</v>
      </c>
      <c r="B844" t="s">
        <v>21</v>
      </c>
      <c r="C844" t="s">
        <v>26</v>
      </c>
      <c r="D844">
        <v>18</v>
      </c>
      <c r="E844">
        <v>20000</v>
      </c>
      <c r="F844" t="s">
        <v>477</v>
      </c>
      <c r="G844" s="2">
        <v>46117</v>
      </c>
      <c r="H844">
        <v>0</v>
      </c>
    </row>
    <row r="845" spans="1:8" x14ac:dyDescent="0.2">
      <c r="A845" t="s">
        <v>1228</v>
      </c>
      <c r="B845" t="s">
        <v>21</v>
      </c>
      <c r="C845" t="s">
        <v>18</v>
      </c>
      <c r="D845">
        <v>9</v>
      </c>
      <c r="E845">
        <v>50000</v>
      </c>
      <c r="F845" t="s">
        <v>416</v>
      </c>
      <c r="G845" s="2">
        <v>46126</v>
      </c>
      <c r="H845">
        <v>0</v>
      </c>
    </row>
    <row r="846" spans="1:8" x14ac:dyDescent="0.2">
      <c r="A846" t="s">
        <v>1229</v>
      </c>
      <c r="B846" t="s">
        <v>21</v>
      </c>
      <c r="C846" t="s">
        <v>45</v>
      </c>
      <c r="D846">
        <v>18</v>
      </c>
      <c r="E846">
        <v>20000</v>
      </c>
      <c r="F846" t="s">
        <v>253</v>
      </c>
      <c r="G846" s="2">
        <v>46047</v>
      </c>
      <c r="H846">
        <v>0</v>
      </c>
    </row>
    <row r="847" spans="1:8" x14ac:dyDescent="0.2">
      <c r="A847" t="s">
        <v>1230</v>
      </c>
      <c r="B847" t="s">
        <v>25</v>
      </c>
      <c r="C847" t="s">
        <v>70</v>
      </c>
      <c r="D847">
        <v>21</v>
      </c>
      <c r="E847">
        <v>28000</v>
      </c>
      <c r="F847" t="s">
        <v>88</v>
      </c>
      <c r="G847" s="2">
        <v>46088</v>
      </c>
      <c r="H847">
        <v>2</v>
      </c>
    </row>
    <row r="848" spans="1:8" x14ac:dyDescent="0.2">
      <c r="A848" t="s">
        <v>1231</v>
      </c>
      <c r="B848" t="s">
        <v>21</v>
      </c>
      <c r="C848" t="s">
        <v>32</v>
      </c>
      <c r="D848" t="s">
        <v>11</v>
      </c>
      <c r="E848">
        <v>8000</v>
      </c>
      <c r="F848" t="s">
        <v>280</v>
      </c>
      <c r="G848" s="2">
        <v>46139</v>
      </c>
      <c r="H848">
        <v>0</v>
      </c>
    </row>
    <row r="849" spans="1:8" x14ac:dyDescent="0.2">
      <c r="A849" t="s">
        <v>1232</v>
      </c>
      <c r="B849" t="s">
        <v>9</v>
      </c>
      <c r="C849" t="s">
        <v>26</v>
      </c>
      <c r="D849">
        <v>23</v>
      </c>
      <c r="E849">
        <v>20000</v>
      </c>
      <c r="F849" t="s">
        <v>181</v>
      </c>
      <c r="G849" s="2">
        <v>46065</v>
      </c>
      <c r="H849">
        <v>3</v>
      </c>
    </row>
    <row r="850" spans="1:8" x14ac:dyDescent="0.2">
      <c r="A850" t="s">
        <v>1233</v>
      </c>
      <c r="B850" t="s">
        <v>9</v>
      </c>
      <c r="C850" t="s">
        <v>39</v>
      </c>
      <c r="D850">
        <v>8</v>
      </c>
      <c r="E850" t="s">
        <v>348</v>
      </c>
      <c r="F850" t="s">
        <v>320</v>
      </c>
      <c r="G850" s="2">
        <v>46029</v>
      </c>
      <c r="H850">
        <v>0</v>
      </c>
    </row>
    <row r="851" spans="1:8" x14ac:dyDescent="0.2">
      <c r="A851" t="s">
        <v>1234</v>
      </c>
      <c r="B851" t="s">
        <v>14</v>
      </c>
      <c r="C851" t="s">
        <v>18</v>
      </c>
      <c r="D851">
        <v>23</v>
      </c>
      <c r="E851" t="s">
        <v>625</v>
      </c>
      <c r="F851" t="s">
        <v>48</v>
      </c>
      <c r="G851" s="2">
        <v>46061</v>
      </c>
      <c r="H851">
        <v>0</v>
      </c>
    </row>
    <row r="852" spans="1:8" x14ac:dyDescent="0.2">
      <c r="A852" t="s">
        <v>1235</v>
      </c>
      <c r="B852" t="s">
        <v>21</v>
      </c>
      <c r="C852" t="s">
        <v>32</v>
      </c>
      <c r="D852">
        <v>3</v>
      </c>
      <c r="E852">
        <v>8000</v>
      </c>
      <c r="F852" t="s">
        <v>541</v>
      </c>
      <c r="G852" s="2">
        <v>46035</v>
      </c>
      <c r="H852">
        <v>0</v>
      </c>
    </row>
    <row r="853" spans="1:8" x14ac:dyDescent="0.2">
      <c r="A853" t="s">
        <v>1236</v>
      </c>
      <c r="B853" t="s">
        <v>14</v>
      </c>
      <c r="C853" t="s">
        <v>10</v>
      </c>
      <c r="D853">
        <v>19</v>
      </c>
      <c r="E853">
        <v>15000</v>
      </c>
      <c r="F853" t="s">
        <v>1237</v>
      </c>
      <c r="G853" s="2">
        <v>46082</v>
      </c>
      <c r="H853">
        <v>0</v>
      </c>
    </row>
    <row r="854" spans="1:8" x14ac:dyDescent="0.2">
      <c r="A854" t="s">
        <v>1238</v>
      </c>
      <c r="B854" t="s">
        <v>9</v>
      </c>
      <c r="C854" t="s">
        <v>26</v>
      </c>
      <c r="D854">
        <v>17</v>
      </c>
      <c r="E854">
        <v>20000</v>
      </c>
      <c r="F854" t="s">
        <v>230</v>
      </c>
      <c r="G854" s="2">
        <v>46045</v>
      </c>
      <c r="H854">
        <v>0</v>
      </c>
    </row>
    <row r="855" spans="1:8" x14ac:dyDescent="0.2">
      <c r="A855" t="s">
        <v>1239</v>
      </c>
      <c r="B855" t="s">
        <v>14</v>
      </c>
      <c r="C855" t="s">
        <v>32</v>
      </c>
      <c r="D855">
        <v>16</v>
      </c>
      <c r="E855">
        <v>8000</v>
      </c>
      <c r="F855" t="s">
        <v>482</v>
      </c>
      <c r="G855" s="2">
        <v>46187</v>
      </c>
      <c r="H855">
        <v>0</v>
      </c>
    </row>
    <row r="856" spans="1:8" x14ac:dyDescent="0.2">
      <c r="A856" t="s">
        <v>1240</v>
      </c>
      <c r="B856" t="s">
        <v>14</v>
      </c>
      <c r="C856" t="s">
        <v>70</v>
      </c>
      <c r="D856">
        <v>23</v>
      </c>
      <c r="E856">
        <v>28000</v>
      </c>
      <c r="F856" t="s">
        <v>838</v>
      </c>
      <c r="G856" s="2">
        <v>46092</v>
      </c>
      <c r="H856">
        <v>0</v>
      </c>
    </row>
    <row r="857" spans="1:8" x14ac:dyDescent="0.2">
      <c r="A857" t="s">
        <v>1241</v>
      </c>
      <c r="B857" t="s">
        <v>14</v>
      </c>
      <c r="C857" t="s">
        <v>45</v>
      </c>
      <c r="D857" t="s">
        <v>490</v>
      </c>
      <c r="E857">
        <v>20000</v>
      </c>
      <c r="F857" t="s">
        <v>640</v>
      </c>
      <c r="G857" s="2">
        <v>46170</v>
      </c>
      <c r="H857">
        <v>0</v>
      </c>
    </row>
    <row r="858" spans="1:8" x14ac:dyDescent="0.2">
      <c r="A858" t="s">
        <v>1242</v>
      </c>
      <c r="B858" t="s">
        <v>9</v>
      </c>
      <c r="C858" t="s">
        <v>18</v>
      </c>
      <c r="D858">
        <v>19</v>
      </c>
      <c r="E858">
        <v>50000</v>
      </c>
      <c r="F858" t="s">
        <v>115</v>
      </c>
      <c r="G858" s="2">
        <v>46188</v>
      </c>
      <c r="H858">
        <v>0</v>
      </c>
    </row>
    <row r="859" spans="1:8" x14ac:dyDescent="0.2">
      <c r="A859" t="s">
        <v>1243</v>
      </c>
      <c r="B859" t="s">
        <v>21</v>
      </c>
      <c r="C859" t="s">
        <v>45</v>
      </c>
      <c r="D859">
        <v>9</v>
      </c>
      <c r="E859">
        <v>20000</v>
      </c>
      <c r="F859" t="s">
        <v>406</v>
      </c>
      <c r="G859" s="2">
        <v>46146</v>
      </c>
      <c r="H859">
        <v>0</v>
      </c>
    </row>
    <row r="860" spans="1:8" x14ac:dyDescent="0.2">
      <c r="A860" t="s">
        <v>1244</v>
      </c>
      <c r="B860" t="s">
        <v>25</v>
      </c>
      <c r="C860" t="s">
        <v>10</v>
      </c>
      <c r="D860">
        <v>16</v>
      </c>
      <c r="E860">
        <v>15000</v>
      </c>
      <c r="F860" t="s">
        <v>640</v>
      </c>
      <c r="G860" s="2">
        <v>46191</v>
      </c>
      <c r="H860">
        <v>0</v>
      </c>
    </row>
    <row r="861" spans="1:8" x14ac:dyDescent="0.2">
      <c r="A861" t="s">
        <v>1245</v>
      </c>
      <c r="B861" t="s">
        <v>25</v>
      </c>
      <c r="C861" t="s">
        <v>22</v>
      </c>
      <c r="D861">
        <v>4</v>
      </c>
      <c r="E861" t="s">
        <v>265</v>
      </c>
      <c r="F861" t="s">
        <v>563</v>
      </c>
      <c r="G861" s="2">
        <v>46042</v>
      </c>
      <c r="H861">
        <v>0</v>
      </c>
    </row>
    <row r="862" spans="1:8" x14ac:dyDescent="0.2">
      <c r="A862" t="s">
        <v>1246</v>
      </c>
      <c r="B862" t="s">
        <v>25</v>
      </c>
      <c r="C862" t="s">
        <v>70</v>
      </c>
      <c r="D862">
        <v>15</v>
      </c>
      <c r="E862">
        <v>28000</v>
      </c>
      <c r="F862" t="s">
        <v>789</v>
      </c>
      <c r="G862" s="2">
        <v>46129</v>
      </c>
      <c r="H862">
        <v>0</v>
      </c>
    </row>
    <row r="863" spans="1:8" x14ac:dyDescent="0.2">
      <c r="A863" t="s">
        <v>1247</v>
      </c>
      <c r="B863" t="s">
        <v>1406</v>
      </c>
      <c r="C863" t="s">
        <v>32</v>
      </c>
      <c r="D863">
        <v>5</v>
      </c>
      <c r="E863">
        <v>8000</v>
      </c>
      <c r="F863" t="s">
        <v>88</v>
      </c>
      <c r="G863" s="2">
        <v>46181</v>
      </c>
      <c r="H863">
        <v>0</v>
      </c>
    </row>
    <row r="864" spans="1:8" x14ac:dyDescent="0.2">
      <c r="A864" t="s">
        <v>1248</v>
      </c>
      <c r="B864" t="s">
        <v>21</v>
      </c>
      <c r="C864" t="s">
        <v>1249</v>
      </c>
      <c r="D864">
        <v>6</v>
      </c>
      <c r="E864">
        <v>15000</v>
      </c>
      <c r="F864" t="s">
        <v>677</v>
      </c>
      <c r="G864" s="2">
        <v>46125</v>
      </c>
      <c r="H864">
        <v>0</v>
      </c>
    </row>
    <row r="865" spans="1:8" x14ac:dyDescent="0.2">
      <c r="A865" t="s">
        <v>1250</v>
      </c>
      <c r="B865" t="s">
        <v>14</v>
      </c>
      <c r="C865" t="s">
        <v>45</v>
      </c>
      <c r="D865">
        <v>150</v>
      </c>
      <c r="E865">
        <v>20000</v>
      </c>
      <c r="F865" t="s">
        <v>46</v>
      </c>
      <c r="G865" s="2">
        <v>46060</v>
      </c>
      <c r="H865">
        <v>0</v>
      </c>
    </row>
    <row r="866" spans="1:8" x14ac:dyDescent="0.2">
      <c r="A866" t="s">
        <v>1251</v>
      </c>
      <c r="B866" t="s">
        <v>9</v>
      </c>
      <c r="C866" t="s">
        <v>26</v>
      </c>
      <c r="D866">
        <v>20</v>
      </c>
      <c r="E866">
        <v>20000</v>
      </c>
      <c r="F866" t="s">
        <v>199</v>
      </c>
      <c r="G866" s="2">
        <v>46105</v>
      </c>
      <c r="H866">
        <v>3</v>
      </c>
    </row>
    <row r="867" spans="1:8" x14ac:dyDescent="0.2">
      <c r="A867" t="s">
        <v>1252</v>
      </c>
      <c r="B867" t="s">
        <v>21</v>
      </c>
      <c r="C867" t="s">
        <v>26</v>
      </c>
      <c r="D867">
        <v>22</v>
      </c>
      <c r="E867">
        <v>20000</v>
      </c>
      <c r="F867" t="s">
        <v>306</v>
      </c>
      <c r="G867" s="2">
        <v>46023</v>
      </c>
      <c r="H867">
        <v>0</v>
      </c>
    </row>
    <row r="868" spans="1:8" x14ac:dyDescent="0.2">
      <c r="A868" t="s">
        <v>1253</v>
      </c>
      <c r="B868" t="s">
        <v>9</v>
      </c>
      <c r="C868" t="s">
        <v>18</v>
      </c>
      <c r="D868">
        <v>15</v>
      </c>
      <c r="E868">
        <v>50000</v>
      </c>
      <c r="F868" t="s">
        <v>255</v>
      </c>
      <c r="H868">
        <v>0</v>
      </c>
    </row>
    <row r="869" spans="1:8" x14ac:dyDescent="0.2">
      <c r="A869" t="s">
        <v>1254</v>
      </c>
      <c r="B869" t="s">
        <v>9</v>
      </c>
      <c r="C869" t="s">
        <v>22</v>
      </c>
      <c r="D869">
        <v>8</v>
      </c>
      <c r="E869">
        <v>35000</v>
      </c>
      <c r="F869" t="s">
        <v>193</v>
      </c>
      <c r="G869" s="2">
        <v>46145</v>
      </c>
      <c r="H869">
        <v>1</v>
      </c>
    </row>
    <row r="870" spans="1:8" x14ac:dyDescent="0.2">
      <c r="A870" t="s">
        <v>1255</v>
      </c>
      <c r="B870" t="s">
        <v>21</v>
      </c>
      <c r="C870" t="s">
        <v>22</v>
      </c>
      <c r="D870">
        <v>5</v>
      </c>
      <c r="E870">
        <v>35000</v>
      </c>
      <c r="F870" t="s">
        <v>1169</v>
      </c>
      <c r="G870" s="2">
        <v>46094</v>
      </c>
      <c r="H870" t="s">
        <v>55</v>
      </c>
    </row>
    <row r="871" spans="1:8" x14ac:dyDescent="0.2">
      <c r="A871" t="s">
        <v>1256</v>
      </c>
      <c r="B871" t="s">
        <v>25</v>
      </c>
      <c r="C871" t="s">
        <v>10</v>
      </c>
      <c r="D871">
        <v>15</v>
      </c>
      <c r="E871">
        <v>15000</v>
      </c>
      <c r="F871" t="s">
        <v>572</v>
      </c>
      <c r="G871" s="2">
        <v>46079</v>
      </c>
      <c r="H871">
        <v>0</v>
      </c>
    </row>
    <row r="872" spans="1:8" x14ac:dyDescent="0.2">
      <c r="A872" t="s">
        <v>1257</v>
      </c>
      <c r="B872" t="s">
        <v>14</v>
      </c>
      <c r="C872" t="s">
        <v>32</v>
      </c>
      <c r="D872" t="s">
        <v>1187</v>
      </c>
      <c r="E872">
        <v>8000</v>
      </c>
      <c r="F872" t="s">
        <v>320</v>
      </c>
      <c r="G872" s="2">
        <v>46132</v>
      </c>
      <c r="H872">
        <v>0</v>
      </c>
    </row>
    <row r="873" spans="1:8" x14ac:dyDescent="0.2">
      <c r="A873" t="s">
        <v>1258</v>
      </c>
      <c r="B873" t="s">
        <v>25</v>
      </c>
      <c r="C873" t="s">
        <v>32</v>
      </c>
      <c r="D873">
        <v>1</v>
      </c>
      <c r="E873">
        <v>12000</v>
      </c>
      <c r="F873" t="s">
        <v>391</v>
      </c>
      <c r="G873" s="2">
        <v>46153</v>
      </c>
      <c r="H873">
        <v>0</v>
      </c>
    </row>
    <row r="874" spans="1:8" x14ac:dyDescent="0.2">
      <c r="A874" t="s">
        <v>1259</v>
      </c>
      <c r="B874" t="s">
        <v>9</v>
      </c>
      <c r="C874" t="s">
        <v>45</v>
      </c>
      <c r="D874">
        <v>18</v>
      </c>
      <c r="E874">
        <v>20000</v>
      </c>
      <c r="F874" t="s">
        <v>812</v>
      </c>
      <c r="G874" s="2">
        <v>46077</v>
      </c>
      <c r="H874">
        <v>0</v>
      </c>
    </row>
    <row r="875" spans="1:8" x14ac:dyDescent="0.2">
      <c r="A875" t="s">
        <v>1260</v>
      </c>
      <c r="B875" t="s">
        <v>25</v>
      </c>
      <c r="C875" t="s">
        <v>45</v>
      </c>
      <c r="D875">
        <v>6</v>
      </c>
      <c r="E875">
        <v>20000</v>
      </c>
      <c r="F875" t="s">
        <v>474</v>
      </c>
      <c r="G875" s="2">
        <v>46194</v>
      </c>
      <c r="H875">
        <v>0</v>
      </c>
    </row>
    <row r="876" spans="1:8" x14ac:dyDescent="0.2">
      <c r="A876" t="s">
        <v>1261</v>
      </c>
      <c r="B876" t="s">
        <v>14</v>
      </c>
      <c r="C876" t="s">
        <v>32</v>
      </c>
      <c r="D876">
        <v>-9</v>
      </c>
      <c r="E876">
        <v>8000</v>
      </c>
      <c r="F876" t="s">
        <v>431</v>
      </c>
      <c r="G876" s="2">
        <v>46059</v>
      </c>
      <c r="H876">
        <v>2</v>
      </c>
    </row>
    <row r="877" spans="1:8" x14ac:dyDescent="0.2">
      <c r="A877" t="s">
        <v>1262</v>
      </c>
      <c r="B877" t="s">
        <v>21</v>
      </c>
      <c r="C877" t="s">
        <v>22</v>
      </c>
      <c r="D877">
        <v>10</v>
      </c>
      <c r="E877">
        <v>35000</v>
      </c>
      <c r="F877" t="s">
        <v>437</v>
      </c>
      <c r="G877" s="2">
        <v>46081</v>
      </c>
      <c r="H877">
        <v>0</v>
      </c>
    </row>
    <row r="878" spans="1:8" x14ac:dyDescent="0.2">
      <c r="A878" t="s">
        <v>1263</v>
      </c>
      <c r="B878" t="s">
        <v>25</v>
      </c>
      <c r="C878" t="s">
        <v>22</v>
      </c>
      <c r="D878">
        <v>23</v>
      </c>
      <c r="E878">
        <v>35000</v>
      </c>
      <c r="F878" t="s">
        <v>12</v>
      </c>
      <c r="G878" s="2">
        <v>46149</v>
      </c>
      <c r="H878">
        <v>0</v>
      </c>
    </row>
    <row r="879" spans="1:8" x14ac:dyDescent="0.2">
      <c r="A879" t="s">
        <v>1264</v>
      </c>
      <c r="B879" t="s">
        <v>14</v>
      </c>
      <c r="C879" t="s">
        <v>26</v>
      </c>
      <c r="D879">
        <v>5</v>
      </c>
      <c r="E879">
        <v>20000</v>
      </c>
      <c r="F879" t="s">
        <v>296</v>
      </c>
      <c r="G879" s="2">
        <v>46024</v>
      </c>
      <c r="H879">
        <v>2</v>
      </c>
    </row>
    <row r="880" spans="1:8" x14ac:dyDescent="0.2">
      <c r="A880" t="s">
        <v>1265</v>
      </c>
      <c r="B880" t="s">
        <v>9</v>
      </c>
      <c r="C880" t="s">
        <v>32</v>
      </c>
      <c r="D880">
        <v>18</v>
      </c>
      <c r="E880">
        <v>8000</v>
      </c>
      <c r="F880" t="s">
        <v>1266</v>
      </c>
      <c r="G880" s="2">
        <v>46177</v>
      </c>
      <c r="H880">
        <v>0</v>
      </c>
    </row>
    <row r="881" spans="1:8" x14ac:dyDescent="0.2">
      <c r="A881" t="s">
        <v>1267</v>
      </c>
      <c r="B881" t="s">
        <v>21</v>
      </c>
      <c r="C881" t="s">
        <v>18</v>
      </c>
      <c r="D881">
        <v>18</v>
      </c>
      <c r="E881">
        <v>50000</v>
      </c>
      <c r="F881" t="s">
        <v>282</v>
      </c>
      <c r="G881" s="2">
        <v>46163</v>
      </c>
      <c r="H881">
        <v>0</v>
      </c>
    </row>
    <row r="882" spans="1:8" x14ac:dyDescent="0.2">
      <c r="A882" t="s">
        <v>1268</v>
      </c>
      <c r="B882" t="s">
        <v>21</v>
      </c>
      <c r="C882" t="s">
        <v>10</v>
      </c>
      <c r="D882">
        <v>25</v>
      </c>
      <c r="E882">
        <v>15000</v>
      </c>
      <c r="F882" t="s">
        <v>1269</v>
      </c>
      <c r="H882">
        <v>0</v>
      </c>
    </row>
    <row r="883" spans="1:8" x14ac:dyDescent="0.2">
      <c r="A883" t="s">
        <v>1270</v>
      </c>
      <c r="B883" t="s">
        <v>25</v>
      </c>
      <c r="C883" t="s">
        <v>45</v>
      </c>
      <c r="D883">
        <v>10</v>
      </c>
      <c r="E883">
        <v>20000</v>
      </c>
      <c r="F883" t="s">
        <v>82</v>
      </c>
      <c r="G883" s="2">
        <v>46142</v>
      </c>
      <c r="H883">
        <v>2</v>
      </c>
    </row>
    <row r="884" spans="1:8" x14ac:dyDescent="0.2">
      <c r="A884" t="s">
        <v>1271</v>
      </c>
      <c r="B884" t="s">
        <v>9</v>
      </c>
      <c r="C884" t="s">
        <v>70</v>
      </c>
      <c r="D884">
        <v>7</v>
      </c>
      <c r="E884">
        <v>28000</v>
      </c>
      <c r="F884" t="s">
        <v>389</v>
      </c>
      <c r="G884" s="2">
        <v>46138</v>
      </c>
      <c r="H884">
        <v>0</v>
      </c>
    </row>
    <row r="885" spans="1:8" x14ac:dyDescent="0.2">
      <c r="A885" t="s">
        <v>1272</v>
      </c>
      <c r="B885" t="s">
        <v>25</v>
      </c>
      <c r="C885" t="s">
        <v>1273</v>
      </c>
      <c r="D885">
        <v>3</v>
      </c>
      <c r="E885">
        <v>15000</v>
      </c>
      <c r="F885" t="s">
        <v>1274</v>
      </c>
      <c r="G885" s="2">
        <v>46093</v>
      </c>
      <c r="H885">
        <v>0</v>
      </c>
    </row>
    <row r="886" spans="1:8" x14ac:dyDescent="0.2">
      <c r="A886" t="s">
        <v>1275</v>
      </c>
      <c r="B886" t="s">
        <v>9</v>
      </c>
      <c r="C886" t="s">
        <v>18</v>
      </c>
      <c r="D886">
        <v>15</v>
      </c>
      <c r="E886">
        <v>50000</v>
      </c>
      <c r="F886" t="s">
        <v>740</v>
      </c>
      <c r="G886" s="2">
        <v>46037</v>
      </c>
      <c r="H886">
        <v>0</v>
      </c>
    </row>
    <row r="887" spans="1:8" x14ac:dyDescent="0.2">
      <c r="A887" t="s">
        <v>1276</v>
      </c>
      <c r="B887" t="s">
        <v>25</v>
      </c>
      <c r="C887" t="s">
        <v>18</v>
      </c>
      <c r="D887" t="s">
        <v>354</v>
      </c>
      <c r="E887">
        <v>50000</v>
      </c>
      <c r="F887" t="s">
        <v>482</v>
      </c>
      <c r="G887" s="2">
        <v>46045</v>
      </c>
      <c r="H887">
        <v>0</v>
      </c>
    </row>
    <row r="888" spans="1:8" x14ac:dyDescent="0.2">
      <c r="A888" t="s">
        <v>1277</v>
      </c>
      <c r="B888" t="s">
        <v>21</v>
      </c>
      <c r="C888" t="s">
        <v>26</v>
      </c>
      <c r="D888">
        <v>5</v>
      </c>
      <c r="E888">
        <v>20000</v>
      </c>
      <c r="F888" t="s">
        <v>352</v>
      </c>
      <c r="G888" s="2">
        <v>46143</v>
      </c>
      <c r="H888">
        <v>0</v>
      </c>
    </row>
    <row r="889" spans="1:8" x14ac:dyDescent="0.2">
      <c r="A889" t="s">
        <v>1278</v>
      </c>
      <c r="B889" t="s">
        <v>9</v>
      </c>
      <c r="C889" t="s">
        <v>18</v>
      </c>
      <c r="D889">
        <v>21</v>
      </c>
      <c r="E889">
        <v>50000</v>
      </c>
      <c r="F889" t="s">
        <v>1279</v>
      </c>
      <c r="G889" s="2">
        <v>46055</v>
      </c>
      <c r="H889">
        <v>0</v>
      </c>
    </row>
    <row r="890" spans="1:8" x14ac:dyDescent="0.2">
      <c r="A890" t="s">
        <v>1280</v>
      </c>
      <c r="B890" t="s">
        <v>9</v>
      </c>
      <c r="C890" t="s">
        <v>39</v>
      </c>
      <c r="D890">
        <v>13</v>
      </c>
      <c r="E890" t="s">
        <v>348</v>
      </c>
      <c r="F890" t="s">
        <v>1279</v>
      </c>
      <c r="G890" s="2">
        <v>46125</v>
      </c>
      <c r="H890">
        <v>0</v>
      </c>
    </row>
    <row r="891" spans="1:8" x14ac:dyDescent="0.2">
      <c r="A891" t="s">
        <v>1281</v>
      </c>
      <c r="B891" t="s">
        <v>25</v>
      </c>
      <c r="C891" t="s">
        <v>18</v>
      </c>
      <c r="D891">
        <v>16</v>
      </c>
      <c r="E891">
        <v>50000</v>
      </c>
      <c r="F891" t="s">
        <v>92</v>
      </c>
      <c r="G891" s="2">
        <v>46136</v>
      </c>
      <c r="H891">
        <v>0</v>
      </c>
    </row>
    <row r="892" spans="1:8" x14ac:dyDescent="0.2">
      <c r="A892" t="s">
        <v>1282</v>
      </c>
      <c r="B892" t="s">
        <v>21</v>
      </c>
      <c r="C892" t="s">
        <v>45</v>
      </c>
      <c r="D892">
        <v>8</v>
      </c>
      <c r="E892">
        <v>20000</v>
      </c>
      <c r="F892" t="s">
        <v>975</v>
      </c>
      <c r="G892" s="2">
        <v>46039</v>
      </c>
      <c r="H892">
        <v>0</v>
      </c>
    </row>
    <row r="893" spans="1:8" x14ac:dyDescent="0.2">
      <c r="A893" t="s">
        <v>1283</v>
      </c>
      <c r="B893" t="s">
        <v>14</v>
      </c>
      <c r="C893" t="s">
        <v>22</v>
      </c>
      <c r="D893">
        <v>18</v>
      </c>
      <c r="E893">
        <v>35000</v>
      </c>
      <c r="G893" s="2">
        <v>46198</v>
      </c>
      <c r="H893" t="s">
        <v>29</v>
      </c>
    </row>
    <row r="894" spans="1:8" x14ac:dyDescent="0.2">
      <c r="A894" t="s">
        <v>1284</v>
      </c>
      <c r="B894" t="s">
        <v>25</v>
      </c>
      <c r="C894" t="s">
        <v>45</v>
      </c>
      <c r="D894">
        <v>-8</v>
      </c>
      <c r="E894">
        <v>20000</v>
      </c>
      <c r="F894" t="s">
        <v>230</v>
      </c>
      <c r="G894" s="2">
        <v>46092</v>
      </c>
      <c r="H894">
        <v>0</v>
      </c>
    </row>
    <row r="895" spans="1:8" x14ac:dyDescent="0.2">
      <c r="A895" t="s">
        <v>1285</v>
      </c>
      <c r="B895" t="s">
        <v>25</v>
      </c>
      <c r="C895" t="s">
        <v>10</v>
      </c>
      <c r="D895">
        <v>13</v>
      </c>
      <c r="E895">
        <v>15000</v>
      </c>
      <c r="F895" t="s">
        <v>214</v>
      </c>
      <c r="G895" s="2">
        <v>46195</v>
      </c>
      <c r="H895">
        <v>4</v>
      </c>
    </row>
    <row r="896" spans="1:8" x14ac:dyDescent="0.2">
      <c r="A896" t="s">
        <v>1286</v>
      </c>
      <c r="B896" t="s">
        <v>25</v>
      </c>
      <c r="C896" t="s">
        <v>39</v>
      </c>
      <c r="D896">
        <v>3</v>
      </c>
      <c r="E896">
        <v>12000</v>
      </c>
      <c r="F896" t="s">
        <v>477</v>
      </c>
      <c r="G896" s="2">
        <v>46024</v>
      </c>
      <c r="H896">
        <v>0</v>
      </c>
    </row>
    <row r="897" spans="1:8" x14ac:dyDescent="0.2">
      <c r="A897" t="s">
        <v>1287</v>
      </c>
      <c r="B897" t="s">
        <v>9</v>
      </c>
      <c r="C897" t="s">
        <v>10</v>
      </c>
      <c r="D897">
        <v>16</v>
      </c>
      <c r="E897">
        <v>15000</v>
      </c>
      <c r="G897" s="2">
        <v>46055</v>
      </c>
      <c r="H897">
        <v>0</v>
      </c>
    </row>
    <row r="898" spans="1:8" x14ac:dyDescent="0.2">
      <c r="A898" t="s">
        <v>1288</v>
      </c>
      <c r="B898" t="s">
        <v>9</v>
      </c>
      <c r="C898" t="s">
        <v>45</v>
      </c>
      <c r="D898">
        <v>13</v>
      </c>
      <c r="E898">
        <v>20000</v>
      </c>
      <c r="F898" t="s">
        <v>719</v>
      </c>
      <c r="G898" s="2">
        <v>46127</v>
      </c>
      <c r="H898">
        <v>0</v>
      </c>
    </row>
    <row r="899" spans="1:8" x14ac:dyDescent="0.2">
      <c r="A899" t="s">
        <v>1289</v>
      </c>
      <c r="B899" t="s">
        <v>25</v>
      </c>
      <c r="C899" t="s">
        <v>10</v>
      </c>
      <c r="D899">
        <v>25</v>
      </c>
      <c r="E899">
        <v>15000</v>
      </c>
      <c r="F899" t="s">
        <v>92</v>
      </c>
      <c r="G899" s="2">
        <v>46149</v>
      </c>
      <c r="H899">
        <v>0</v>
      </c>
    </row>
    <row r="900" spans="1:8" x14ac:dyDescent="0.2">
      <c r="A900" t="s">
        <v>1290</v>
      </c>
      <c r="B900" t="s">
        <v>25</v>
      </c>
      <c r="C900" t="s">
        <v>10</v>
      </c>
      <c r="D900">
        <v>24</v>
      </c>
      <c r="E900">
        <v>15000</v>
      </c>
      <c r="F900" t="s">
        <v>572</v>
      </c>
      <c r="G900" s="2">
        <v>46038</v>
      </c>
      <c r="H900">
        <v>0</v>
      </c>
    </row>
    <row r="901" spans="1:8" x14ac:dyDescent="0.2">
      <c r="A901" t="s">
        <v>1291</v>
      </c>
      <c r="B901" t="s">
        <v>14</v>
      </c>
      <c r="C901" t="s">
        <v>32</v>
      </c>
      <c r="D901">
        <v>18</v>
      </c>
      <c r="E901">
        <v>8000</v>
      </c>
      <c r="F901" t="s">
        <v>595</v>
      </c>
      <c r="G901" s="2">
        <v>46156</v>
      </c>
      <c r="H901">
        <v>0</v>
      </c>
    </row>
    <row r="902" spans="1:8" x14ac:dyDescent="0.2">
      <c r="A902" t="s">
        <v>1292</v>
      </c>
      <c r="B902" t="s">
        <v>9</v>
      </c>
      <c r="C902" t="s">
        <v>70</v>
      </c>
      <c r="D902">
        <v>13</v>
      </c>
      <c r="E902">
        <v>28000</v>
      </c>
      <c r="F902" t="s">
        <v>480</v>
      </c>
      <c r="G902" s="2">
        <v>46058</v>
      </c>
      <c r="H902">
        <v>0</v>
      </c>
    </row>
    <row r="903" spans="1:8" x14ac:dyDescent="0.2">
      <c r="A903" t="s">
        <v>1293</v>
      </c>
      <c r="B903" t="s">
        <v>14</v>
      </c>
      <c r="C903" t="s">
        <v>39</v>
      </c>
      <c r="D903">
        <v>8</v>
      </c>
      <c r="E903">
        <v>12000</v>
      </c>
      <c r="F903" t="s">
        <v>667</v>
      </c>
      <c r="G903" s="2">
        <v>46046</v>
      </c>
      <c r="H903">
        <v>0</v>
      </c>
    </row>
    <row r="904" spans="1:8" x14ac:dyDescent="0.2">
      <c r="A904" t="s">
        <v>1294</v>
      </c>
      <c r="B904" t="s">
        <v>25</v>
      </c>
      <c r="C904" t="s">
        <v>39</v>
      </c>
      <c r="D904">
        <v>2</v>
      </c>
      <c r="E904">
        <v>36000</v>
      </c>
      <c r="F904" t="s">
        <v>795</v>
      </c>
      <c r="G904" s="2">
        <v>46138</v>
      </c>
      <c r="H904">
        <v>0</v>
      </c>
    </row>
    <row r="905" spans="1:8" x14ac:dyDescent="0.2">
      <c r="A905" t="s">
        <v>1295</v>
      </c>
      <c r="B905" t="s">
        <v>9</v>
      </c>
      <c r="C905" t="s">
        <v>22</v>
      </c>
      <c r="D905">
        <v>11</v>
      </c>
      <c r="E905">
        <v>35000</v>
      </c>
      <c r="F905" t="s">
        <v>937</v>
      </c>
      <c r="G905" s="2">
        <v>46171</v>
      </c>
      <c r="H905">
        <v>0</v>
      </c>
    </row>
    <row r="906" spans="1:8" x14ac:dyDescent="0.2">
      <c r="A906" t="s">
        <v>1296</v>
      </c>
      <c r="B906" t="s">
        <v>25</v>
      </c>
      <c r="C906" t="s">
        <v>45</v>
      </c>
      <c r="D906">
        <v>7</v>
      </c>
      <c r="E906">
        <v>20000</v>
      </c>
      <c r="F906" t="s">
        <v>337</v>
      </c>
      <c r="G906" s="2">
        <v>46145</v>
      </c>
      <c r="H906">
        <v>0</v>
      </c>
    </row>
    <row r="907" spans="1:8" x14ac:dyDescent="0.2">
      <c r="A907" t="s">
        <v>1297</v>
      </c>
      <c r="B907" t="s">
        <v>9</v>
      </c>
      <c r="C907" t="s">
        <v>18</v>
      </c>
      <c r="D907">
        <v>15</v>
      </c>
      <c r="E907">
        <v>50000</v>
      </c>
      <c r="F907" t="s">
        <v>456</v>
      </c>
      <c r="G907" s="2">
        <v>46054</v>
      </c>
      <c r="H907">
        <v>0</v>
      </c>
    </row>
    <row r="908" spans="1:8" x14ac:dyDescent="0.2">
      <c r="A908" t="s">
        <v>1298</v>
      </c>
      <c r="B908" t="s">
        <v>21</v>
      </c>
      <c r="C908" t="s">
        <v>26</v>
      </c>
      <c r="D908">
        <v>12</v>
      </c>
      <c r="E908">
        <v>20000</v>
      </c>
      <c r="F908" t="s">
        <v>449</v>
      </c>
      <c r="G908" s="2">
        <v>46078</v>
      </c>
      <c r="H908">
        <v>0</v>
      </c>
    </row>
    <row r="909" spans="1:8" x14ac:dyDescent="0.2">
      <c r="A909" t="s">
        <v>1299</v>
      </c>
      <c r="B909" t="s">
        <v>9</v>
      </c>
      <c r="C909" t="s">
        <v>18</v>
      </c>
      <c r="D909">
        <v>11</v>
      </c>
      <c r="E909">
        <v>50000</v>
      </c>
      <c r="F909" t="s">
        <v>324</v>
      </c>
      <c r="G909" s="2">
        <v>46120</v>
      </c>
      <c r="H909">
        <v>5</v>
      </c>
    </row>
    <row r="910" spans="1:8" x14ac:dyDescent="0.2">
      <c r="A910" t="s">
        <v>1300</v>
      </c>
      <c r="B910" t="s">
        <v>14</v>
      </c>
      <c r="C910" t="s">
        <v>32</v>
      </c>
      <c r="D910">
        <v>10</v>
      </c>
      <c r="E910">
        <v>8000</v>
      </c>
      <c r="F910" t="s">
        <v>710</v>
      </c>
      <c r="G910" s="2">
        <v>46118</v>
      </c>
      <c r="H910">
        <v>0</v>
      </c>
    </row>
    <row r="911" spans="1:8" x14ac:dyDescent="0.2">
      <c r="A911" t="s">
        <v>1301</v>
      </c>
      <c r="B911" t="s">
        <v>9</v>
      </c>
      <c r="C911" t="s">
        <v>70</v>
      </c>
      <c r="D911">
        <v>15</v>
      </c>
      <c r="E911">
        <v>56000</v>
      </c>
      <c r="F911" t="s">
        <v>730</v>
      </c>
      <c r="G911" s="2">
        <v>46028</v>
      </c>
      <c r="H911">
        <v>0</v>
      </c>
    </row>
    <row r="912" spans="1:8" x14ac:dyDescent="0.2">
      <c r="A912" t="s">
        <v>1302</v>
      </c>
      <c r="B912" t="s">
        <v>25</v>
      </c>
      <c r="C912" t="s">
        <v>18</v>
      </c>
      <c r="D912" t="s">
        <v>11</v>
      </c>
      <c r="E912">
        <v>50000</v>
      </c>
      <c r="F912" t="s">
        <v>983</v>
      </c>
      <c r="G912" s="2">
        <v>46111</v>
      </c>
      <c r="H912">
        <v>4</v>
      </c>
    </row>
    <row r="913" spans="1:8" x14ac:dyDescent="0.2">
      <c r="A913" t="s">
        <v>1303</v>
      </c>
      <c r="B913" t="s">
        <v>21</v>
      </c>
      <c r="C913" t="s">
        <v>70</v>
      </c>
      <c r="D913">
        <v>22</v>
      </c>
      <c r="E913">
        <v>28000</v>
      </c>
      <c r="F913" t="s">
        <v>27</v>
      </c>
      <c r="G913" s="2">
        <v>46048</v>
      </c>
      <c r="H913">
        <v>0</v>
      </c>
    </row>
    <row r="914" spans="1:8" x14ac:dyDescent="0.2">
      <c r="A914" t="s">
        <v>1304</v>
      </c>
      <c r="B914" t="s">
        <v>21</v>
      </c>
      <c r="C914" t="s">
        <v>18</v>
      </c>
      <c r="D914">
        <v>21</v>
      </c>
      <c r="E914">
        <v>50000</v>
      </c>
      <c r="F914" t="s">
        <v>241</v>
      </c>
      <c r="G914" s="2">
        <v>46055</v>
      </c>
      <c r="H914">
        <v>0</v>
      </c>
    </row>
    <row r="915" spans="1:8" x14ac:dyDescent="0.2">
      <c r="A915" t="s">
        <v>1305</v>
      </c>
      <c r="B915" t="s">
        <v>14</v>
      </c>
      <c r="C915" t="s">
        <v>26</v>
      </c>
      <c r="D915">
        <v>18</v>
      </c>
      <c r="E915">
        <v>20000</v>
      </c>
      <c r="F915" t="s">
        <v>431</v>
      </c>
      <c r="G915" s="2">
        <v>46161</v>
      </c>
      <c r="H915">
        <v>0</v>
      </c>
    </row>
    <row r="916" spans="1:8" x14ac:dyDescent="0.2">
      <c r="A916" t="s">
        <v>1306</v>
      </c>
      <c r="B916" t="s">
        <v>14</v>
      </c>
      <c r="C916" t="s">
        <v>10</v>
      </c>
      <c r="D916">
        <v>4</v>
      </c>
      <c r="E916">
        <v>15000</v>
      </c>
      <c r="F916" t="s">
        <v>416</v>
      </c>
      <c r="G916" s="2">
        <v>46138</v>
      </c>
      <c r="H916">
        <v>0</v>
      </c>
    </row>
    <row r="917" spans="1:8" x14ac:dyDescent="0.2">
      <c r="A917" t="s">
        <v>1307</v>
      </c>
      <c r="B917" t="s">
        <v>9</v>
      </c>
      <c r="C917" t="s">
        <v>39</v>
      </c>
      <c r="D917">
        <v>7</v>
      </c>
      <c r="E917">
        <v>12000</v>
      </c>
      <c r="F917" t="s">
        <v>306</v>
      </c>
      <c r="G917" s="2">
        <v>46115</v>
      </c>
      <c r="H917">
        <v>0</v>
      </c>
    </row>
    <row r="918" spans="1:8" x14ac:dyDescent="0.2">
      <c r="A918" t="s">
        <v>1308</v>
      </c>
      <c r="B918" t="s">
        <v>14</v>
      </c>
      <c r="C918" t="s">
        <v>45</v>
      </c>
      <c r="D918">
        <v>2</v>
      </c>
      <c r="E918">
        <v>20000</v>
      </c>
      <c r="F918" t="s">
        <v>964</v>
      </c>
      <c r="G918" s="2">
        <v>46189</v>
      </c>
      <c r="H918">
        <v>1</v>
      </c>
    </row>
    <row r="919" spans="1:8" x14ac:dyDescent="0.2">
      <c r="A919" t="s">
        <v>1309</v>
      </c>
      <c r="B919" t="s">
        <v>14</v>
      </c>
      <c r="C919" t="s">
        <v>26</v>
      </c>
      <c r="D919">
        <v>17</v>
      </c>
      <c r="E919">
        <v>20000</v>
      </c>
      <c r="F919" t="s">
        <v>646</v>
      </c>
      <c r="G919" s="2">
        <v>46138</v>
      </c>
      <c r="H919">
        <v>0</v>
      </c>
    </row>
    <row r="920" spans="1:8" x14ac:dyDescent="0.2">
      <c r="A920" t="s">
        <v>1310</v>
      </c>
      <c r="B920" t="s">
        <v>25</v>
      </c>
      <c r="C920" t="s">
        <v>18</v>
      </c>
      <c r="D920">
        <v>18</v>
      </c>
      <c r="E920">
        <v>50000</v>
      </c>
      <c r="F920" t="s">
        <v>730</v>
      </c>
      <c r="G920" s="2">
        <v>46071</v>
      </c>
      <c r="H920">
        <v>0</v>
      </c>
    </row>
    <row r="921" spans="1:8" x14ac:dyDescent="0.2">
      <c r="A921" t="s">
        <v>1311</v>
      </c>
      <c r="B921" t="s">
        <v>25</v>
      </c>
      <c r="C921" t="s">
        <v>1172</v>
      </c>
      <c r="D921" t="s">
        <v>953</v>
      </c>
      <c r="E921">
        <v>50000</v>
      </c>
      <c r="F921" t="s">
        <v>201</v>
      </c>
      <c r="G921" s="2">
        <v>46083</v>
      </c>
      <c r="H921">
        <v>5</v>
      </c>
    </row>
    <row r="922" spans="1:8" x14ac:dyDescent="0.2">
      <c r="A922" t="s">
        <v>1312</v>
      </c>
      <c r="B922" t="s">
        <v>14</v>
      </c>
      <c r="C922" t="s">
        <v>22</v>
      </c>
      <c r="D922">
        <v>18</v>
      </c>
      <c r="E922">
        <v>35000</v>
      </c>
      <c r="F922" t="s">
        <v>1054</v>
      </c>
      <c r="G922" s="2">
        <v>46065</v>
      </c>
      <c r="H922">
        <v>0</v>
      </c>
    </row>
    <row r="923" spans="1:8" x14ac:dyDescent="0.2">
      <c r="A923" t="s">
        <v>1313</v>
      </c>
      <c r="B923" t="s">
        <v>25</v>
      </c>
      <c r="C923" t="s">
        <v>39</v>
      </c>
      <c r="D923">
        <v>24</v>
      </c>
      <c r="E923">
        <v>12000</v>
      </c>
      <c r="F923" t="s">
        <v>845</v>
      </c>
      <c r="G923" s="2">
        <v>46064</v>
      </c>
      <c r="H923">
        <v>3</v>
      </c>
    </row>
    <row r="924" spans="1:8" x14ac:dyDescent="0.2">
      <c r="A924" t="s">
        <v>1314</v>
      </c>
      <c r="B924" t="s">
        <v>14</v>
      </c>
      <c r="C924" t="s">
        <v>10</v>
      </c>
      <c r="D924">
        <v>11</v>
      </c>
      <c r="E924">
        <v>15000</v>
      </c>
      <c r="F924" t="s">
        <v>760</v>
      </c>
      <c r="G924" s="2">
        <v>46023</v>
      </c>
      <c r="H924">
        <v>0</v>
      </c>
    </row>
    <row r="925" spans="1:8" x14ac:dyDescent="0.2">
      <c r="A925" t="s">
        <v>1315</v>
      </c>
      <c r="B925" t="s">
        <v>21</v>
      </c>
      <c r="C925" t="s">
        <v>39</v>
      </c>
      <c r="D925">
        <v>3</v>
      </c>
      <c r="E925">
        <v>12000</v>
      </c>
      <c r="F925" t="s">
        <v>712</v>
      </c>
      <c r="G925" s="2">
        <v>46105</v>
      </c>
      <c r="H925">
        <v>0</v>
      </c>
    </row>
    <row r="926" spans="1:8" x14ac:dyDescent="0.2">
      <c r="A926" t="s">
        <v>1316</v>
      </c>
      <c r="B926" t="s">
        <v>9</v>
      </c>
      <c r="C926" t="s">
        <v>39</v>
      </c>
      <c r="D926">
        <v>10</v>
      </c>
      <c r="E926">
        <v>6000</v>
      </c>
      <c r="F926" t="s">
        <v>431</v>
      </c>
      <c r="G926" s="2">
        <v>46084</v>
      </c>
      <c r="H926">
        <v>1</v>
      </c>
    </row>
    <row r="927" spans="1:8" x14ac:dyDescent="0.2">
      <c r="A927" t="s">
        <v>1317</v>
      </c>
      <c r="B927" t="s">
        <v>9</v>
      </c>
      <c r="C927" t="s">
        <v>26</v>
      </c>
      <c r="D927">
        <v>11</v>
      </c>
      <c r="E927">
        <v>20000</v>
      </c>
      <c r="G927" s="2">
        <v>46157</v>
      </c>
      <c r="H927">
        <v>0</v>
      </c>
    </row>
    <row r="928" spans="1:8" x14ac:dyDescent="0.2">
      <c r="A928" t="s">
        <v>1318</v>
      </c>
      <c r="B928" t="s">
        <v>21</v>
      </c>
      <c r="C928" t="s">
        <v>39</v>
      </c>
      <c r="D928">
        <v>2</v>
      </c>
      <c r="E928">
        <v>12000</v>
      </c>
      <c r="F928" t="s">
        <v>155</v>
      </c>
      <c r="G928" s="2">
        <v>46095</v>
      </c>
      <c r="H928">
        <v>0</v>
      </c>
    </row>
    <row r="929" spans="1:8" x14ac:dyDescent="0.2">
      <c r="A929" t="s">
        <v>1319</v>
      </c>
      <c r="B929" t="s">
        <v>14</v>
      </c>
      <c r="C929" t="s">
        <v>45</v>
      </c>
      <c r="D929">
        <v>10</v>
      </c>
      <c r="E929">
        <v>20000</v>
      </c>
      <c r="F929" t="s">
        <v>551</v>
      </c>
      <c r="G929" s="2">
        <v>46178</v>
      </c>
      <c r="H929">
        <v>0</v>
      </c>
    </row>
    <row r="930" spans="1:8" x14ac:dyDescent="0.2">
      <c r="A930" t="s">
        <v>1320</v>
      </c>
      <c r="B930" t="s">
        <v>25</v>
      </c>
      <c r="C930" t="s">
        <v>22</v>
      </c>
      <c r="D930">
        <v>14</v>
      </c>
      <c r="E930">
        <v>35000</v>
      </c>
      <c r="F930" t="s">
        <v>42</v>
      </c>
      <c r="G930" s="2">
        <v>46197</v>
      </c>
      <c r="H930">
        <v>0</v>
      </c>
    </row>
    <row r="931" spans="1:8" x14ac:dyDescent="0.2">
      <c r="A931" t="s">
        <v>1321</v>
      </c>
      <c r="B931" t="s">
        <v>9</v>
      </c>
      <c r="C931" t="s">
        <v>10</v>
      </c>
      <c r="D931">
        <v>3</v>
      </c>
      <c r="E931">
        <v>15000</v>
      </c>
      <c r="F931" t="s">
        <v>333</v>
      </c>
      <c r="G931" s="2">
        <v>46195</v>
      </c>
      <c r="H931">
        <v>0</v>
      </c>
    </row>
    <row r="932" spans="1:8" x14ac:dyDescent="0.2">
      <c r="A932" t="s">
        <v>1322</v>
      </c>
      <c r="B932" t="s">
        <v>9</v>
      </c>
      <c r="C932" t="s">
        <v>10</v>
      </c>
      <c r="D932">
        <v>25</v>
      </c>
      <c r="E932">
        <v>15000</v>
      </c>
      <c r="F932" t="s">
        <v>583</v>
      </c>
      <c r="G932" s="2">
        <v>46104</v>
      </c>
      <c r="H932">
        <v>0</v>
      </c>
    </row>
    <row r="933" spans="1:8" x14ac:dyDescent="0.2">
      <c r="A933" t="s">
        <v>1323</v>
      </c>
      <c r="B933" t="s">
        <v>21</v>
      </c>
      <c r="C933" t="s">
        <v>32</v>
      </c>
      <c r="D933">
        <v>17</v>
      </c>
      <c r="E933">
        <v>8000</v>
      </c>
      <c r="F933" t="s">
        <v>113</v>
      </c>
      <c r="G933" s="2">
        <v>46036</v>
      </c>
      <c r="H933">
        <v>0</v>
      </c>
    </row>
    <row r="934" spans="1:8" x14ac:dyDescent="0.2">
      <c r="A934" t="s">
        <v>1324</v>
      </c>
      <c r="B934" t="s">
        <v>25</v>
      </c>
      <c r="C934" t="s">
        <v>26</v>
      </c>
      <c r="D934" t="s">
        <v>399</v>
      </c>
      <c r="E934">
        <v>20000</v>
      </c>
      <c r="F934" t="s">
        <v>42</v>
      </c>
      <c r="G934" s="2">
        <v>46134</v>
      </c>
      <c r="H934">
        <v>0</v>
      </c>
    </row>
    <row r="935" spans="1:8" x14ac:dyDescent="0.2">
      <c r="A935" t="s">
        <v>1325</v>
      </c>
      <c r="B935" t="s">
        <v>9</v>
      </c>
      <c r="C935" t="s">
        <v>45</v>
      </c>
      <c r="D935">
        <v>22</v>
      </c>
      <c r="E935">
        <v>20000</v>
      </c>
      <c r="F935" t="s">
        <v>137</v>
      </c>
      <c r="G935" s="2">
        <v>46065</v>
      </c>
      <c r="H935">
        <v>0</v>
      </c>
    </row>
    <row r="936" spans="1:8" x14ac:dyDescent="0.2">
      <c r="A936" t="s">
        <v>1326</v>
      </c>
      <c r="B936" t="s">
        <v>9</v>
      </c>
      <c r="C936" t="s">
        <v>18</v>
      </c>
      <c r="D936">
        <v>19</v>
      </c>
      <c r="E936">
        <v>50000</v>
      </c>
      <c r="F936" t="s">
        <v>82</v>
      </c>
      <c r="G936" s="2">
        <v>46093</v>
      </c>
      <c r="H936">
        <v>0</v>
      </c>
    </row>
    <row r="937" spans="1:8" x14ac:dyDescent="0.2">
      <c r="A937" t="s">
        <v>1327</v>
      </c>
      <c r="B937" t="s">
        <v>14</v>
      </c>
      <c r="C937" t="s">
        <v>18</v>
      </c>
      <c r="D937">
        <v>3</v>
      </c>
      <c r="E937">
        <v>50000</v>
      </c>
      <c r="F937" t="s">
        <v>125</v>
      </c>
      <c r="G937" s="2">
        <v>46153</v>
      </c>
      <c r="H937">
        <v>0</v>
      </c>
    </row>
    <row r="938" spans="1:8" x14ac:dyDescent="0.2">
      <c r="A938" t="s">
        <v>1328</v>
      </c>
      <c r="B938" t="s">
        <v>21</v>
      </c>
      <c r="C938" t="s">
        <v>18</v>
      </c>
      <c r="D938">
        <v>6</v>
      </c>
      <c r="E938">
        <v>50000</v>
      </c>
      <c r="F938" t="s">
        <v>220</v>
      </c>
      <c r="G938" s="2">
        <v>46134</v>
      </c>
      <c r="H938">
        <v>4</v>
      </c>
    </row>
    <row r="939" spans="1:8" x14ac:dyDescent="0.2">
      <c r="A939" t="s">
        <v>1329</v>
      </c>
      <c r="B939" t="s">
        <v>14</v>
      </c>
      <c r="C939" t="s">
        <v>22</v>
      </c>
      <c r="D939">
        <v>7</v>
      </c>
      <c r="E939">
        <v>35000</v>
      </c>
      <c r="F939" t="s">
        <v>588</v>
      </c>
      <c r="G939" s="2">
        <v>46073</v>
      </c>
      <c r="H939">
        <v>0</v>
      </c>
    </row>
    <row r="940" spans="1:8" x14ac:dyDescent="0.2">
      <c r="A940" t="s">
        <v>1330</v>
      </c>
      <c r="B940" t="s">
        <v>9</v>
      </c>
      <c r="C940" t="s">
        <v>70</v>
      </c>
      <c r="D940">
        <v>17</v>
      </c>
      <c r="E940">
        <v>14000</v>
      </c>
      <c r="F940" t="s">
        <v>428</v>
      </c>
      <c r="G940" s="2">
        <v>46045</v>
      </c>
      <c r="H940">
        <v>0</v>
      </c>
    </row>
    <row r="941" spans="1:8" x14ac:dyDescent="0.2">
      <c r="A941" t="s">
        <v>1331</v>
      </c>
      <c r="B941" t="s">
        <v>25</v>
      </c>
      <c r="C941" t="s">
        <v>70</v>
      </c>
      <c r="D941">
        <v>21</v>
      </c>
      <c r="E941" t="s">
        <v>11</v>
      </c>
      <c r="F941" t="s">
        <v>499</v>
      </c>
      <c r="G941" s="2">
        <v>46116</v>
      </c>
      <c r="H941">
        <v>0</v>
      </c>
    </row>
    <row r="942" spans="1:8" x14ac:dyDescent="0.2">
      <c r="A942" t="s">
        <v>1332</v>
      </c>
      <c r="B942" t="s">
        <v>25</v>
      </c>
      <c r="C942" t="s">
        <v>22</v>
      </c>
      <c r="D942">
        <v>23</v>
      </c>
      <c r="E942">
        <v>35000</v>
      </c>
      <c r="F942" t="s">
        <v>175</v>
      </c>
      <c r="G942" s="2">
        <v>46056</v>
      </c>
      <c r="H942">
        <v>0</v>
      </c>
    </row>
    <row r="943" spans="1:8" x14ac:dyDescent="0.2">
      <c r="A943" t="s">
        <v>1333</v>
      </c>
      <c r="B943" t="s">
        <v>14</v>
      </c>
      <c r="C943" t="s">
        <v>18</v>
      </c>
      <c r="D943">
        <v>17</v>
      </c>
      <c r="E943">
        <v>50000</v>
      </c>
      <c r="F943" t="s">
        <v>891</v>
      </c>
      <c r="H943">
        <v>0</v>
      </c>
    </row>
    <row r="944" spans="1:8" x14ac:dyDescent="0.2">
      <c r="A944" t="s">
        <v>1334</v>
      </c>
      <c r="B944" t="s">
        <v>25</v>
      </c>
      <c r="C944" t="s">
        <v>70</v>
      </c>
      <c r="D944">
        <v>-2</v>
      </c>
      <c r="E944" t="s">
        <v>659</v>
      </c>
      <c r="F944" t="s">
        <v>246</v>
      </c>
      <c r="G944" s="2">
        <v>46031</v>
      </c>
      <c r="H944">
        <v>2</v>
      </c>
    </row>
    <row r="945" spans="1:8" x14ac:dyDescent="0.2">
      <c r="A945" t="s">
        <v>1335</v>
      </c>
      <c r="B945" t="s">
        <v>14</v>
      </c>
      <c r="C945" t="s">
        <v>18</v>
      </c>
      <c r="D945">
        <v>24</v>
      </c>
      <c r="E945">
        <v>50000</v>
      </c>
      <c r="F945" t="s">
        <v>805</v>
      </c>
      <c r="G945" s="2">
        <v>46048</v>
      </c>
      <c r="H945">
        <v>0</v>
      </c>
    </row>
    <row r="946" spans="1:8" x14ac:dyDescent="0.2">
      <c r="A946" t="s">
        <v>1336</v>
      </c>
      <c r="B946" t="s">
        <v>9</v>
      </c>
      <c r="C946" t="s">
        <v>39</v>
      </c>
      <c r="D946">
        <v>7</v>
      </c>
      <c r="E946">
        <v>12000</v>
      </c>
      <c r="G946" s="2">
        <v>46032</v>
      </c>
      <c r="H946">
        <v>0</v>
      </c>
    </row>
    <row r="947" spans="1:8" x14ac:dyDescent="0.2">
      <c r="A947" t="s">
        <v>1337</v>
      </c>
      <c r="B947" t="s">
        <v>9</v>
      </c>
      <c r="C947" t="s">
        <v>18</v>
      </c>
      <c r="D947" t="s">
        <v>1338</v>
      </c>
      <c r="E947" t="s">
        <v>625</v>
      </c>
      <c r="F947" t="s">
        <v>1339</v>
      </c>
      <c r="G947" s="2">
        <v>46056</v>
      </c>
      <c r="H947">
        <v>3</v>
      </c>
    </row>
    <row r="948" spans="1:8" x14ac:dyDescent="0.2">
      <c r="A948" t="s">
        <v>1340</v>
      </c>
      <c r="B948" t="s">
        <v>14</v>
      </c>
      <c r="C948" t="s">
        <v>10</v>
      </c>
      <c r="D948">
        <v>21</v>
      </c>
      <c r="E948">
        <v>15000</v>
      </c>
      <c r="F948" t="s">
        <v>1177</v>
      </c>
      <c r="G948" s="2">
        <v>46035</v>
      </c>
      <c r="H948">
        <v>0</v>
      </c>
    </row>
    <row r="949" spans="1:8" x14ac:dyDescent="0.2">
      <c r="A949" t="s">
        <v>1341</v>
      </c>
      <c r="B949" t="s">
        <v>9</v>
      </c>
      <c r="C949" t="s">
        <v>39</v>
      </c>
      <c r="D949">
        <v>8</v>
      </c>
      <c r="E949">
        <v>12000</v>
      </c>
      <c r="F949" t="s">
        <v>95</v>
      </c>
      <c r="G949" s="2">
        <v>46193</v>
      </c>
      <c r="H949">
        <v>0</v>
      </c>
    </row>
    <row r="950" spans="1:8" x14ac:dyDescent="0.2">
      <c r="A950" t="s">
        <v>1342</v>
      </c>
      <c r="B950" t="s">
        <v>14</v>
      </c>
      <c r="C950" t="s">
        <v>10</v>
      </c>
      <c r="D950">
        <v>-7</v>
      </c>
      <c r="E950">
        <v>15000</v>
      </c>
      <c r="F950" t="s">
        <v>57</v>
      </c>
      <c r="G950" s="2">
        <v>46180</v>
      </c>
      <c r="H950">
        <v>0</v>
      </c>
    </row>
    <row r="951" spans="1:8" x14ac:dyDescent="0.2">
      <c r="A951" t="s">
        <v>1343</v>
      </c>
      <c r="B951" t="s">
        <v>25</v>
      </c>
      <c r="C951" t="s">
        <v>22</v>
      </c>
      <c r="D951">
        <v>23</v>
      </c>
      <c r="E951">
        <v>35000</v>
      </c>
      <c r="F951" t="s">
        <v>599</v>
      </c>
      <c r="G951" s="2">
        <v>46033</v>
      </c>
      <c r="H951">
        <v>0</v>
      </c>
    </row>
    <row r="952" spans="1:8" x14ac:dyDescent="0.2">
      <c r="A952" t="s">
        <v>1344</v>
      </c>
      <c r="B952" t="s">
        <v>21</v>
      </c>
      <c r="C952" t="s">
        <v>22</v>
      </c>
      <c r="D952">
        <v>25</v>
      </c>
      <c r="E952">
        <v>35000</v>
      </c>
      <c r="F952" t="s">
        <v>199</v>
      </c>
      <c r="G952" s="2">
        <v>46086</v>
      </c>
      <c r="H952">
        <v>0</v>
      </c>
    </row>
    <row r="953" spans="1:8" x14ac:dyDescent="0.2">
      <c r="A953" t="s">
        <v>1345</v>
      </c>
      <c r="B953" t="s">
        <v>21</v>
      </c>
      <c r="C953" t="s">
        <v>18</v>
      </c>
      <c r="D953">
        <v>11</v>
      </c>
      <c r="E953">
        <v>50000</v>
      </c>
      <c r="F953" t="s">
        <v>35</v>
      </c>
      <c r="G953" s="2">
        <v>46192</v>
      </c>
      <c r="H953">
        <v>5</v>
      </c>
    </row>
    <row r="954" spans="1:8" x14ac:dyDescent="0.2">
      <c r="A954" t="s">
        <v>1346</v>
      </c>
      <c r="B954" t="s">
        <v>25</v>
      </c>
      <c r="C954" t="s">
        <v>10</v>
      </c>
      <c r="D954">
        <v>10</v>
      </c>
      <c r="E954">
        <v>15000</v>
      </c>
      <c r="F954" t="s">
        <v>1203</v>
      </c>
      <c r="G954" s="2">
        <v>46087</v>
      </c>
      <c r="H954">
        <v>16</v>
      </c>
    </row>
    <row r="955" spans="1:8" x14ac:dyDescent="0.2">
      <c r="A955" t="s">
        <v>1347</v>
      </c>
      <c r="B955" t="s">
        <v>9</v>
      </c>
      <c r="C955" t="s">
        <v>10</v>
      </c>
      <c r="D955">
        <v>1</v>
      </c>
      <c r="E955">
        <v>15000</v>
      </c>
      <c r="F955" t="s">
        <v>253</v>
      </c>
      <c r="G955" s="2">
        <v>46110</v>
      </c>
      <c r="H955">
        <v>0</v>
      </c>
    </row>
    <row r="956" spans="1:8" x14ac:dyDescent="0.2">
      <c r="A956" t="s">
        <v>1348</v>
      </c>
      <c r="B956" t="s">
        <v>14</v>
      </c>
      <c r="C956" t="s">
        <v>70</v>
      </c>
      <c r="D956">
        <v>11</v>
      </c>
      <c r="E956">
        <v>28000</v>
      </c>
      <c r="F956" t="s">
        <v>71</v>
      </c>
      <c r="G956" s="2">
        <v>46176</v>
      </c>
      <c r="H956">
        <v>0</v>
      </c>
    </row>
    <row r="957" spans="1:8" x14ac:dyDescent="0.2">
      <c r="A957" t="s">
        <v>1349</v>
      </c>
      <c r="B957" t="s">
        <v>21</v>
      </c>
      <c r="C957" t="s">
        <v>1012</v>
      </c>
      <c r="D957">
        <v>10</v>
      </c>
      <c r="E957">
        <v>8000</v>
      </c>
      <c r="F957" t="s">
        <v>280</v>
      </c>
      <c r="G957" s="2">
        <v>46117</v>
      </c>
      <c r="H957">
        <v>0</v>
      </c>
    </row>
    <row r="958" spans="1:8" x14ac:dyDescent="0.2">
      <c r="A958" t="s">
        <v>1350</v>
      </c>
      <c r="B958" t="s">
        <v>25</v>
      </c>
      <c r="C958" t="s">
        <v>18</v>
      </c>
      <c r="D958">
        <v>2</v>
      </c>
      <c r="E958">
        <v>50000</v>
      </c>
      <c r="F958" t="s">
        <v>377</v>
      </c>
      <c r="G958" s="2">
        <v>46172</v>
      </c>
      <c r="H958">
        <v>0</v>
      </c>
    </row>
    <row r="959" spans="1:8" x14ac:dyDescent="0.2">
      <c r="A959" t="s">
        <v>1351</v>
      </c>
      <c r="B959" t="s">
        <v>14</v>
      </c>
      <c r="C959" t="s">
        <v>45</v>
      </c>
      <c r="D959">
        <v>-3</v>
      </c>
      <c r="E959">
        <v>20000</v>
      </c>
      <c r="F959" t="s">
        <v>898</v>
      </c>
      <c r="G959" s="2">
        <v>46099</v>
      </c>
      <c r="H959">
        <v>0</v>
      </c>
    </row>
    <row r="960" spans="1:8" x14ac:dyDescent="0.2">
      <c r="A960" t="s">
        <v>1352</v>
      </c>
      <c r="B960" t="s">
        <v>21</v>
      </c>
      <c r="C960" t="s">
        <v>39</v>
      </c>
      <c r="D960">
        <v>20</v>
      </c>
      <c r="E960">
        <v>12000</v>
      </c>
      <c r="F960" t="s">
        <v>103</v>
      </c>
      <c r="H960">
        <v>0</v>
      </c>
    </row>
    <row r="961" spans="1:8" x14ac:dyDescent="0.2">
      <c r="A961" t="s">
        <v>1353</v>
      </c>
      <c r="B961" t="s">
        <v>25</v>
      </c>
      <c r="C961" t="s">
        <v>18</v>
      </c>
      <c r="D961">
        <v>3</v>
      </c>
      <c r="E961">
        <v>50000</v>
      </c>
      <c r="F961" t="s">
        <v>477</v>
      </c>
      <c r="G961" s="2">
        <v>46121</v>
      </c>
      <c r="H961">
        <v>0</v>
      </c>
    </row>
    <row r="962" spans="1:8" x14ac:dyDescent="0.2">
      <c r="A962" t="s">
        <v>1354</v>
      </c>
      <c r="B962" t="s">
        <v>21</v>
      </c>
      <c r="C962" t="s">
        <v>26</v>
      </c>
      <c r="D962">
        <v>-2</v>
      </c>
      <c r="E962">
        <v>20000</v>
      </c>
      <c r="F962" t="s">
        <v>572</v>
      </c>
      <c r="G962" s="2">
        <v>46067</v>
      </c>
      <c r="H962">
        <v>0</v>
      </c>
    </row>
    <row r="963" spans="1:8" x14ac:dyDescent="0.2">
      <c r="A963" t="s">
        <v>1355</v>
      </c>
      <c r="B963" t="s">
        <v>21</v>
      </c>
      <c r="C963" t="s">
        <v>32</v>
      </c>
      <c r="D963">
        <v>24</v>
      </c>
      <c r="E963">
        <v>8000</v>
      </c>
      <c r="F963" t="s">
        <v>656</v>
      </c>
      <c r="G963" s="2">
        <v>46141</v>
      </c>
      <c r="H963">
        <v>0</v>
      </c>
    </row>
    <row r="964" spans="1:8" x14ac:dyDescent="0.2">
      <c r="A964" t="s">
        <v>1356</v>
      </c>
      <c r="B964" t="s">
        <v>14</v>
      </c>
      <c r="C964" t="s">
        <v>22</v>
      </c>
      <c r="D964">
        <v>23</v>
      </c>
      <c r="E964">
        <v>35000</v>
      </c>
      <c r="F964" t="s">
        <v>12</v>
      </c>
      <c r="G964" s="2">
        <v>46130</v>
      </c>
      <c r="H964">
        <v>0</v>
      </c>
    </row>
    <row r="965" spans="1:8" x14ac:dyDescent="0.2">
      <c r="A965" t="s">
        <v>1357</v>
      </c>
      <c r="B965" t="s">
        <v>14</v>
      </c>
      <c r="C965" t="s">
        <v>32</v>
      </c>
      <c r="D965">
        <v>24</v>
      </c>
      <c r="E965">
        <v>8000</v>
      </c>
      <c r="F965" t="s">
        <v>179</v>
      </c>
      <c r="G965" s="2">
        <v>46031</v>
      </c>
      <c r="H965">
        <v>4</v>
      </c>
    </row>
    <row r="966" spans="1:8" x14ac:dyDescent="0.2">
      <c r="A966" t="s">
        <v>1358</v>
      </c>
      <c r="B966" t="s">
        <v>25</v>
      </c>
      <c r="C966" t="s">
        <v>26</v>
      </c>
      <c r="D966">
        <v>21</v>
      </c>
      <c r="E966">
        <v>20000</v>
      </c>
      <c r="F966" t="s">
        <v>1079</v>
      </c>
      <c r="G966" s="2">
        <v>46137</v>
      </c>
      <c r="H966">
        <v>0</v>
      </c>
    </row>
    <row r="967" spans="1:8" x14ac:dyDescent="0.2">
      <c r="A967" t="s">
        <v>1359</v>
      </c>
      <c r="B967" t="s">
        <v>21</v>
      </c>
      <c r="C967" t="s">
        <v>39</v>
      </c>
      <c r="D967">
        <v>5</v>
      </c>
      <c r="E967">
        <v>12000</v>
      </c>
      <c r="F967" t="s">
        <v>1054</v>
      </c>
      <c r="G967" s="2">
        <v>46047</v>
      </c>
      <c r="H967">
        <v>0</v>
      </c>
    </row>
    <row r="968" spans="1:8" x14ac:dyDescent="0.2">
      <c r="A968" t="s">
        <v>1360</v>
      </c>
      <c r="B968" t="s">
        <v>21</v>
      </c>
      <c r="C968" t="s">
        <v>26</v>
      </c>
      <c r="D968">
        <v>5</v>
      </c>
      <c r="E968">
        <v>20000</v>
      </c>
      <c r="F968" t="s">
        <v>712</v>
      </c>
      <c r="G968" s="2">
        <v>46125</v>
      </c>
      <c r="H968">
        <v>0</v>
      </c>
    </row>
    <row r="969" spans="1:8" x14ac:dyDescent="0.2">
      <c r="A969" t="s">
        <v>1361</v>
      </c>
      <c r="B969" t="s">
        <v>25</v>
      </c>
      <c r="C969" t="s">
        <v>22</v>
      </c>
      <c r="D969">
        <v>18</v>
      </c>
      <c r="E969" t="s">
        <v>265</v>
      </c>
      <c r="F969" t="s">
        <v>784</v>
      </c>
      <c r="G969" s="2">
        <v>46144</v>
      </c>
      <c r="H969">
        <v>5</v>
      </c>
    </row>
    <row r="970" spans="1:8" x14ac:dyDescent="0.2">
      <c r="A970" t="s">
        <v>1362</v>
      </c>
      <c r="B970" t="s">
        <v>21</v>
      </c>
      <c r="C970" t="s">
        <v>32</v>
      </c>
      <c r="D970">
        <v>14</v>
      </c>
      <c r="E970">
        <v>8000</v>
      </c>
      <c r="F970" t="s">
        <v>1169</v>
      </c>
      <c r="G970" s="2">
        <v>46162</v>
      </c>
      <c r="H970">
        <v>0</v>
      </c>
    </row>
    <row r="971" spans="1:8" x14ac:dyDescent="0.2">
      <c r="A971" t="s">
        <v>1363</v>
      </c>
      <c r="B971" t="s">
        <v>14</v>
      </c>
      <c r="C971" t="s">
        <v>39</v>
      </c>
      <c r="D971">
        <v>21</v>
      </c>
      <c r="E971">
        <v>12000</v>
      </c>
      <c r="F971" t="s">
        <v>75</v>
      </c>
      <c r="G971" s="2">
        <v>46151</v>
      </c>
      <c r="H971">
        <v>0</v>
      </c>
    </row>
    <row r="972" spans="1:8" x14ac:dyDescent="0.2">
      <c r="A972" t="s">
        <v>1364</v>
      </c>
      <c r="B972" t="s">
        <v>21</v>
      </c>
      <c r="C972" t="s">
        <v>18</v>
      </c>
      <c r="D972">
        <v>15</v>
      </c>
      <c r="E972">
        <v>50000</v>
      </c>
      <c r="F972" t="s">
        <v>472</v>
      </c>
      <c r="G972" s="2">
        <v>46117</v>
      </c>
      <c r="H972">
        <v>0</v>
      </c>
    </row>
    <row r="973" spans="1:8" x14ac:dyDescent="0.2">
      <c r="A973" t="s">
        <v>1365</v>
      </c>
      <c r="B973" t="s">
        <v>14</v>
      </c>
      <c r="C973" t="s">
        <v>22</v>
      </c>
      <c r="D973">
        <v>1</v>
      </c>
      <c r="E973">
        <v>35000</v>
      </c>
      <c r="F973" t="s">
        <v>1366</v>
      </c>
      <c r="G973" s="2">
        <v>46119</v>
      </c>
      <c r="H973">
        <v>0</v>
      </c>
    </row>
    <row r="974" spans="1:8" x14ac:dyDescent="0.2">
      <c r="A974" t="s">
        <v>1367</v>
      </c>
      <c r="B974" t="s">
        <v>25</v>
      </c>
      <c r="C974" t="s">
        <v>22</v>
      </c>
      <c r="D974">
        <v>14</v>
      </c>
      <c r="E974">
        <v>35000</v>
      </c>
      <c r="F974" t="s">
        <v>190</v>
      </c>
      <c r="G974" s="2">
        <v>46152</v>
      </c>
      <c r="H974">
        <v>0</v>
      </c>
    </row>
    <row r="975" spans="1:8" x14ac:dyDescent="0.2">
      <c r="A975" t="s">
        <v>1368</v>
      </c>
      <c r="B975" t="s">
        <v>25</v>
      </c>
      <c r="C975" t="s">
        <v>18</v>
      </c>
      <c r="D975">
        <v>16</v>
      </c>
      <c r="E975">
        <v>50000</v>
      </c>
      <c r="F975" t="s">
        <v>179</v>
      </c>
      <c r="G975" s="2">
        <v>46028</v>
      </c>
      <c r="H975">
        <v>0</v>
      </c>
    </row>
    <row r="976" spans="1:8" x14ac:dyDescent="0.2">
      <c r="A976" t="s">
        <v>1369</v>
      </c>
      <c r="B976" t="s">
        <v>21</v>
      </c>
      <c r="C976" t="s">
        <v>45</v>
      </c>
      <c r="D976">
        <v>10</v>
      </c>
      <c r="E976">
        <v>20000</v>
      </c>
      <c r="F976" t="s">
        <v>402</v>
      </c>
      <c r="G976" s="2">
        <v>46160</v>
      </c>
      <c r="H976" t="s">
        <v>1187</v>
      </c>
    </row>
    <row r="977" spans="1:8" x14ac:dyDescent="0.2">
      <c r="A977" t="s">
        <v>1370</v>
      </c>
      <c r="B977" t="s">
        <v>21</v>
      </c>
      <c r="C977" t="s">
        <v>18</v>
      </c>
      <c r="D977">
        <v>15</v>
      </c>
      <c r="E977">
        <v>50000</v>
      </c>
      <c r="F977" t="s">
        <v>355</v>
      </c>
      <c r="G977" s="2">
        <v>46190</v>
      </c>
      <c r="H977">
        <v>16</v>
      </c>
    </row>
    <row r="978" spans="1:8" x14ac:dyDescent="0.2">
      <c r="A978" t="s">
        <v>1371</v>
      </c>
      <c r="B978" t="s">
        <v>25</v>
      </c>
      <c r="C978" t="s">
        <v>26</v>
      </c>
      <c r="D978">
        <v>2</v>
      </c>
      <c r="E978">
        <v>20000</v>
      </c>
      <c r="F978" t="s">
        <v>280</v>
      </c>
      <c r="G978" s="2">
        <v>46136</v>
      </c>
      <c r="H978">
        <v>0</v>
      </c>
    </row>
    <row r="979" spans="1:8" x14ac:dyDescent="0.2">
      <c r="A979" t="s">
        <v>1372</v>
      </c>
      <c r="B979" t="s">
        <v>9</v>
      </c>
      <c r="C979" t="s">
        <v>10</v>
      </c>
      <c r="D979">
        <v>16</v>
      </c>
      <c r="E979">
        <v>15000</v>
      </c>
      <c r="F979" t="s">
        <v>630</v>
      </c>
      <c r="G979" s="2">
        <v>46175</v>
      </c>
      <c r="H979" t="s">
        <v>55</v>
      </c>
    </row>
    <row r="980" spans="1:8" x14ac:dyDescent="0.2">
      <c r="A980" t="s">
        <v>1373</v>
      </c>
      <c r="B980" t="s">
        <v>14</v>
      </c>
      <c r="C980" t="s">
        <v>70</v>
      </c>
      <c r="D980">
        <v>11</v>
      </c>
      <c r="E980">
        <v>28000</v>
      </c>
      <c r="F980" t="s">
        <v>530</v>
      </c>
      <c r="G980" s="2">
        <v>46177</v>
      </c>
      <c r="H980">
        <v>0</v>
      </c>
    </row>
    <row r="981" spans="1:8" x14ac:dyDescent="0.2">
      <c r="A981" t="s">
        <v>1374</v>
      </c>
      <c r="B981" t="s">
        <v>14</v>
      </c>
      <c r="C981" t="s">
        <v>18</v>
      </c>
      <c r="D981">
        <v>24</v>
      </c>
      <c r="E981">
        <v>50000</v>
      </c>
      <c r="F981" t="s">
        <v>406</v>
      </c>
      <c r="G981" s="2">
        <v>46076</v>
      </c>
      <c r="H981">
        <v>0</v>
      </c>
    </row>
    <row r="982" spans="1:8" x14ac:dyDescent="0.2">
      <c r="A982" t="s">
        <v>1375</v>
      </c>
      <c r="B982" t="s">
        <v>25</v>
      </c>
      <c r="C982" t="s">
        <v>39</v>
      </c>
      <c r="D982">
        <v>23</v>
      </c>
      <c r="E982">
        <v>12000</v>
      </c>
      <c r="F982" t="s">
        <v>626</v>
      </c>
      <c r="G982" s="2">
        <v>46099</v>
      </c>
      <c r="H982">
        <v>24</v>
      </c>
    </row>
    <row r="983" spans="1:8" x14ac:dyDescent="0.2">
      <c r="A983" t="s">
        <v>1376</v>
      </c>
      <c r="B983" t="s">
        <v>21</v>
      </c>
      <c r="C983" t="s">
        <v>793</v>
      </c>
      <c r="D983">
        <v>19</v>
      </c>
      <c r="E983">
        <v>8000</v>
      </c>
      <c r="F983" t="s">
        <v>159</v>
      </c>
      <c r="G983" s="2">
        <v>46041</v>
      </c>
      <c r="H983">
        <v>2</v>
      </c>
    </row>
    <row r="984" spans="1:8" x14ac:dyDescent="0.2">
      <c r="A984" t="s">
        <v>1377</v>
      </c>
      <c r="B984" t="s">
        <v>21</v>
      </c>
      <c r="C984" t="s">
        <v>22</v>
      </c>
      <c r="D984">
        <v>2</v>
      </c>
      <c r="E984">
        <v>35000</v>
      </c>
      <c r="F984" t="s">
        <v>866</v>
      </c>
      <c r="G984" s="2">
        <v>46041</v>
      </c>
      <c r="H984">
        <v>0</v>
      </c>
    </row>
    <row r="985" spans="1:8" x14ac:dyDescent="0.2">
      <c r="A985" t="s">
        <v>1378</v>
      </c>
      <c r="B985" t="s">
        <v>25</v>
      </c>
      <c r="C985" t="s">
        <v>10</v>
      </c>
      <c r="D985">
        <v>7</v>
      </c>
      <c r="E985">
        <v>15000</v>
      </c>
      <c r="F985" t="s">
        <v>61</v>
      </c>
      <c r="G985" s="2">
        <v>46099</v>
      </c>
      <c r="H985">
        <v>0</v>
      </c>
    </row>
    <row r="986" spans="1:8" x14ac:dyDescent="0.2">
      <c r="A986" t="s">
        <v>1379</v>
      </c>
      <c r="B986" t="s">
        <v>9</v>
      </c>
      <c r="C986" t="s">
        <v>32</v>
      </c>
      <c r="D986">
        <v>11</v>
      </c>
      <c r="E986">
        <v>8000</v>
      </c>
      <c r="F986" t="s">
        <v>618</v>
      </c>
      <c r="G986" s="2">
        <v>46200</v>
      </c>
      <c r="H986">
        <v>0</v>
      </c>
    </row>
    <row r="987" spans="1:8" x14ac:dyDescent="0.2">
      <c r="A987" t="s">
        <v>1380</v>
      </c>
      <c r="B987" t="s">
        <v>9</v>
      </c>
      <c r="C987" t="s">
        <v>22</v>
      </c>
      <c r="D987">
        <v>22</v>
      </c>
      <c r="E987" t="s">
        <v>265</v>
      </c>
      <c r="F987" t="s">
        <v>163</v>
      </c>
      <c r="G987" s="2">
        <v>46141</v>
      </c>
      <c r="H987">
        <v>27</v>
      </c>
    </row>
    <row r="988" spans="1:8" x14ac:dyDescent="0.2">
      <c r="A988" t="s">
        <v>1381</v>
      </c>
      <c r="B988" t="s">
        <v>21</v>
      </c>
      <c r="C988" t="s">
        <v>32</v>
      </c>
      <c r="D988">
        <v>12</v>
      </c>
      <c r="E988">
        <v>8000</v>
      </c>
      <c r="F988" t="s">
        <v>516</v>
      </c>
      <c r="G988" s="2">
        <v>46176</v>
      </c>
      <c r="H988">
        <v>0</v>
      </c>
    </row>
    <row r="989" spans="1:8" x14ac:dyDescent="0.2">
      <c r="A989" t="s">
        <v>1382</v>
      </c>
      <c r="B989" t="s">
        <v>25</v>
      </c>
      <c r="C989" t="s">
        <v>22</v>
      </c>
      <c r="D989">
        <v>17</v>
      </c>
      <c r="E989">
        <v>52500</v>
      </c>
      <c r="F989" t="s">
        <v>937</v>
      </c>
      <c r="G989" s="2">
        <v>46186</v>
      </c>
      <c r="H989">
        <v>0</v>
      </c>
    </row>
    <row r="990" spans="1:8" x14ac:dyDescent="0.2">
      <c r="A990" t="s">
        <v>1383</v>
      </c>
      <c r="B990" t="s">
        <v>21</v>
      </c>
      <c r="C990" t="s">
        <v>39</v>
      </c>
      <c r="D990">
        <v>300</v>
      </c>
      <c r="E990">
        <v>12000</v>
      </c>
      <c r="F990" t="s">
        <v>482</v>
      </c>
      <c r="G990" s="2">
        <v>46084</v>
      </c>
      <c r="H990">
        <v>0</v>
      </c>
    </row>
    <row r="991" spans="1:8" x14ac:dyDescent="0.2">
      <c r="A991" t="s">
        <v>1384</v>
      </c>
      <c r="B991" t="s">
        <v>21</v>
      </c>
      <c r="C991" t="s">
        <v>10</v>
      </c>
      <c r="D991">
        <v>16</v>
      </c>
      <c r="E991">
        <v>15000</v>
      </c>
      <c r="F991" t="s">
        <v>577</v>
      </c>
      <c r="G991" s="2">
        <v>46164</v>
      </c>
      <c r="H991">
        <v>0</v>
      </c>
    </row>
    <row r="992" spans="1:8" x14ac:dyDescent="0.2">
      <c r="A992" t="s">
        <v>1385</v>
      </c>
      <c r="B992" t="s">
        <v>21</v>
      </c>
      <c r="C992" t="s">
        <v>45</v>
      </c>
      <c r="D992">
        <v>9</v>
      </c>
      <c r="E992">
        <v>20000</v>
      </c>
      <c r="F992" t="s">
        <v>642</v>
      </c>
      <c r="G992" s="2">
        <v>46187</v>
      </c>
      <c r="H992">
        <v>11</v>
      </c>
    </row>
    <row r="993" spans="1:8" x14ac:dyDescent="0.2">
      <c r="A993" t="s">
        <v>1386</v>
      </c>
      <c r="B993" t="s">
        <v>14</v>
      </c>
      <c r="C993" t="s">
        <v>32</v>
      </c>
      <c r="D993">
        <v>8</v>
      </c>
      <c r="E993">
        <v>8000</v>
      </c>
      <c r="F993" t="s">
        <v>484</v>
      </c>
      <c r="G993" s="2">
        <v>46048</v>
      </c>
      <c r="H993" t="s">
        <v>55</v>
      </c>
    </row>
    <row r="994" spans="1:8" x14ac:dyDescent="0.2">
      <c r="A994" t="s">
        <v>1387</v>
      </c>
      <c r="B994" t="s">
        <v>21</v>
      </c>
      <c r="C994" t="s">
        <v>26</v>
      </c>
      <c r="D994">
        <v>3</v>
      </c>
      <c r="E994" t="s">
        <v>77</v>
      </c>
      <c r="F994" t="s">
        <v>153</v>
      </c>
      <c r="G994" s="2">
        <v>46127</v>
      </c>
      <c r="H994">
        <v>0</v>
      </c>
    </row>
    <row r="995" spans="1:8" x14ac:dyDescent="0.2">
      <c r="A995" t="s">
        <v>1388</v>
      </c>
      <c r="B995" t="s">
        <v>9</v>
      </c>
      <c r="C995" t="s">
        <v>32</v>
      </c>
      <c r="D995">
        <v>17</v>
      </c>
      <c r="E995">
        <v>8000</v>
      </c>
      <c r="F995" t="s">
        <v>335</v>
      </c>
      <c r="G995" s="2">
        <v>46063</v>
      </c>
      <c r="H995">
        <v>0</v>
      </c>
    </row>
    <row r="996" spans="1:8" x14ac:dyDescent="0.2">
      <c r="A996" t="s">
        <v>1389</v>
      </c>
      <c r="B996" t="s">
        <v>14</v>
      </c>
      <c r="C996" t="s">
        <v>45</v>
      </c>
      <c r="D996">
        <v>200</v>
      </c>
      <c r="E996">
        <v>20000</v>
      </c>
      <c r="F996" t="s">
        <v>614</v>
      </c>
      <c r="G996" s="2">
        <v>46097</v>
      </c>
      <c r="H996">
        <v>0</v>
      </c>
    </row>
    <row r="997" spans="1:8" x14ac:dyDescent="0.2">
      <c r="A997" t="s">
        <v>1390</v>
      </c>
      <c r="B997" t="s">
        <v>9</v>
      </c>
      <c r="C997" t="s">
        <v>10</v>
      </c>
      <c r="D997">
        <v>4</v>
      </c>
      <c r="E997" t="s">
        <v>188</v>
      </c>
      <c r="F997" t="s">
        <v>253</v>
      </c>
      <c r="G997" s="2">
        <v>46085</v>
      </c>
      <c r="H997">
        <v>0</v>
      </c>
    </row>
    <row r="998" spans="1:8" x14ac:dyDescent="0.2">
      <c r="A998" t="s">
        <v>1391</v>
      </c>
      <c r="B998" t="s">
        <v>14</v>
      </c>
      <c r="C998" t="s">
        <v>39</v>
      </c>
      <c r="D998">
        <v>12</v>
      </c>
      <c r="E998">
        <v>12000</v>
      </c>
      <c r="F998" t="s">
        <v>820</v>
      </c>
      <c r="G998" s="2">
        <v>46031</v>
      </c>
      <c r="H998">
        <v>0</v>
      </c>
    </row>
    <row r="999" spans="1:8" x14ac:dyDescent="0.2">
      <c r="A999" t="s">
        <v>1392</v>
      </c>
      <c r="B999" t="s">
        <v>14</v>
      </c>
      <c r="C999" t="s">
        <v>45</v>
      </c>
      <c r="D999">
        <v>3</v>
      </c>
      <c r="E999">
        <v>20000</v>
      </c>
      <c r="F999" t="s">
        <v>146</v>
      </c>
      <c r="G999" s="2">
        <v>46187</v>
      </c>
      <c r="H999">
        <v>1</v>
      </c>
    </row>
    <row r="1000" spans="1:8" x14ac:dyDescent="0.2">
      <c r="A1000" t="s">
        <v>1393</v>
      </c>
      <c r="B1000" t="s">
        <v>25</v>
      </c>
      <c r="C1000" t="s">
        <v>10</v>
      </c>
      <c r="D1000">
        <v>23</v>
      </c>
      <c r="E1000">
        <v>15000</v>
      </c>
      <c r="F1000" t="s">
        <v>311</v>
      </c>
      <c r="G1000" s="2">
        <v>46055</v>
      </c>
      <c r="H1000" t="s">
        <v>55</v>
      </c>
    </row>
    <row r="1001" spans="1:8" x14ac:dyDescent="0.2">
      <c r="A1001" t="s">
        <v>1394</v>
      </c>
      <c r="B1001" t="s">
        <v>25</v>
      </c>
      <c r="C1001" t="s">
        <v>676</v>
      </c>
      <c r="D1001">
        <v>5</v>
      </c>
      <c r="E1001">
        <v>28000</v>
      </c>
      <c r="F1001" t="s">
        <v>484</v>
      </c>
      <c r="G1001" s="2">
        <v>46111</v>
      </c>
      <c r="H1001">
        <v>0</v>
      </c>
    </row>
    <row r="1002" spans="1:8" x14ac:dyDescent="0.2">
      <c r="A1002" t="s">
        <v>264</v>
      </c>
      <c r="B1002" t="s">
        <v>21</v>
      </c>
      <c r="C1002" t="s">
        <v>22</v>
      </c>
      <c r="D1002">
        <v>16</v>
      </c>
      <c r="E1002" t="s">
        <v>265</v>
      </c>
      <c r="F1002" t="s">
        <v>266</v>
      </c>
      <c r="G1002" s="2">
        <v>46035</v>
      </c>
      <c r="H1002">
        <v>0</v>
      </c>
    </row>
    <row r="1003" spans="1:8" x14ac:dyDescent="0.2">
      <c r="A1003" t="s">
        <v>1395</v>
      </c>
      <c r="B1003" t="s">
        <v>9</v>
      </c>
      <c r="C1003" t="s">
        <v>26</v>
      </c>
      <c r="D1003">
        <v>17</v>
      </c>
      <c r="E1003">
        <v>20000</v>
      </c>
      <c r="F1003" t="s">
        <v>230</v>
      </c>
      <c r="G1003" s="2">
        <v>46045</v>
      </c>
      <c r="H1003">
        <v>0</v>
      </c>
    </row>
    <row r="1004" spans="1:8" x14ac:dyDescent="0.2">
      <c r="A1004" t="s">
        <v>1396</v>
      </c>
      <c r="B1004" t="s">
        <v>25</v>
      </c>
      <c r="C1004" t="s">
        <v>26</v>
      </c>
      <c r="D1004">
        <v>4</v>
      </c>
      <c r="E1004">
        <v>20000</v>
      </c>
      <c r="F1004" t="s">
        <v>134</v>
      </c>
      <c r="G1004" s="2">
        <v>46051</v>
      </c>
      <c r="H1004">
        <v>0</v>
      </c>
    </row>
    <row r="1005" spans="1:8" x14ac:dyDescent="0.2">
      <c r="A1005" t="s">
        <v>1397</v>
      </c>
      <c r="B1005" t="s">
        <v>14</v>
      </c>
      <c r="C1005" t="s">
        <v>26</v>
      </c>
      <c r="D1005">
        <v>24</v>
      </c>
      <c r="E1005">
        <v>20000</v>
      </c>
      <c r="F1005" t="s">
        <v>416</v>
      </c>
      <c r="G1005" s="2">
        <v>46148</v>
      </c>
      <c r="H1005">
        <v>4</v>
      </c>
    </row>
    <row r="1006" spans="1:8" x14ac:dyDescent="0.2">
      <c r="A1006" t="s">
        <v>1398</v>
      </c>
      <c r="B1006" t="s">
        <v>14</v>
      </c>
      <c r="C1006" t="s">
        <v>26</v>
      </c>
      <c r="D1006">
        <v>18</v>
      </c>
      <c r="E1006">
        <v>20000</v>
      </c>
      <c r="F1006" t="s">
        <v>431</v>
      </c>
      <c r="G1006" s="2">
        <v>46161</v>
      </c>
      <c r="H1006">
        <v>0</v>
      </c>
    </row>
    <row r="1007" spans="1:8" x14ac:dyDescent="0.2">
      <c r="A1007" t="s">
        <v>1399</v>
      </c>
      <c r="B1007" t="s">
        <v>25</v>
      </c>
      <c r="C1007" t="s">
        <v>18</v>
      </c>
      <c r="D1007">
        <v>19</v>
      </c>
      <c r="E1007" t="s">
        <v>625</v>
      </c>
      <c r="F1007" t="s">
        <v>626</v>
      </c>
      <c r="G1007" s="2">
        <v>46148</v>
      </c>
      <c r="H1007">
        <v>2</v>
      </c>
    </row>
    <row r="1008" spans="1:8" x14ac:dyDescent="0.2">
      <c r="A1008" t="s">
        <v>1400</v>
      </c>
      <c r="B1008" t="s">
        <v>9</v>
      </c>
      <c r="C1008" t="s">
        <v>39</v>
      </c>
      <c r="D1008">
        <v>10</v>
      </c>
      <c r="E1008">
        <v>12000</v>
      </c>
      <c r="F1008" t="s">
        <v>410</v>
      </c>
      <c r="G1008" s="2">
        <v>46086</v>
      </c>
      <c r="H1008">
        <v>0</v>
      </c>
    </row>
    <row r="1009" spans="1:8" x14ac:dyDescent="0.2">
      <c r="A1009" t="s">
        <v>1401</v>
      </c>
      <c r="B1009" t="s">
        <v>25</v>
      </c>
      <c r="C1009" t="s">
        <v>22</v>
      </c>
      <c r="D1009">
        <v>1</v>
      </c>
      <c r="E1009">
        <v>35000</v>
      </c>
      <c r="F1009" t="s">
        <v>46</v>
      </c>
      <c r="H1009">
        <v>0</v>
      </c>
    </row>
    <row r="1010" spans="1:8" x14ac:dyDescent="0.2">
      <c r="A1010" t="s">
        <v>1402</v>
      </c>
      <c r="B1010" t="s">
        <v>21</v>
      </c>
      <c r="C1010" t="s">
        <v>39</v>
      </c>
      <c r="D1010">
        <v>24</v>
      </c>
      <c r="E1010">
        <v>12000</v>
      </c>
      <c r="F1010" t="s">
        <v>891</v>
      </c>
      <c r="H1010">
        <v>0</v>
      </c>
    </row>
    <row r="1011" spans="1:8" x14ac:dyDescent="0.2">
      <c r="A1011" t="s">
        <v>1403</v>
      </c>
      <c r="B1011" t="s">
        <v>14</v>
      </c>
      <c r="C1011" t="s">
        <v>70</v>
      </c>
      <c r="D1011">
        <v>300</v>
      </c>
      <c r="E1011">
        <v>28000</v>
      </c>
      <c r="F1011" t="s">
        <v>266</v>
      </c>
      <c r="G1011" s="2">
        <v>46151</v>
      </c>
      <c r="H1011">
        <v>0</v>
      </c>
    </row>
    <row r="1012" spans="1:8" x14ac:dyDescent="0.2">
      <c r="A1012" t="s">
        <v>1404</v>
      </c>
      <c r="B1012" t="s">
        <v>25</v>
      </c>
      <c r="C1012" t="s">
        <v>10</v>
      </c>
      <c r="D1012">
        <v>7</v>
      </c>
      <c r="E1012">
        <v>15000</v>
      </c>
      <c r="F1012" t="s">
        <v>40</v>
      </c>
      <c r="G1012" s="2">
        <v>46076</v>
      </c>
      <c r="H1012">
        <v>4</v>
      </c>
    </row>
  </sheetData>
  <conditionalFormatting sqref="L2:L1011">
    <cfRule type="cellIs" dxfId="2" priority="1" operator="greaterThan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23"/>
  <sheetViews>
    <sheetView topLeftCell="P1" workbookViewId="0">
      <pane ySplit="1" topLeftCell="P14" activePane="bottomLeft" state="frozen"/>
      <selection activeCell="P1" sqref="P1"/>
      <selection pane="bottomLeft" activeCell="D13" sqref="D13"/>
    </sheetView>
  </sheetViews>
  <sheetFormatPr defaultRowHeight="15" x14ac:dyDescent="0.2"/>
  <cols>
    <col min="1" max="1" width="18.16015625" bestFit="1" customWidth="1"/>
    <col min="2" max="2" width="16.0078125" customWidth="1"/>
    <col min="3" max="3" width="20.04296875" customWidth="1"/>
    <col min="4" max="4" width="13.98828125" style="3" customWidth="1"/>
    <col min="5" max="5" width="16.0078125" style="5" customWidth="1"/>
    <col min="6" max="6" width="16.41015625" hidden="1" customWidth="1"/>
    <col min="7" max="7" width="17.21875" style="7" customWidth="1"/>
    <col min="8" max="8" width="15.19921875" style="4" bestFit="1" customWidth="1"/>
    <col min="9" max="10" width="22.59765625" hidden="1" customWidth="1"/>
    <col min="11" max="11" width="38.47265625" hidden="1" customWidth="1"/>
    <col min="12" max="13" width="20.984375" hidden="1" customWidth="1"/>
    <col min="14" max="14" width="26.23046875" bestFit="1" customWidth="1"/>
    <col min="15" max="15" width="26.23046875" customWidth="1"/>
    <col min="16" max="16" width="32.5546875" bestFit="1" customWidth="1"/>
    <col min="17" max="17" width="38.47265625" customWidth="1"/>
    <col min="18" max="18" width="17.890625" bestFit="1" customWidth="1"/>
    <col min="20" max="20" width="12.64453125" customWidth="1"/>
    <col min="26" max="26" width="11.97265625" bestFit="1" customWidth="1"/>
    <col min="28" max="28" width="13.5859375" bestFit="1" customWidth="1"/>
    <col min="29" max="29" width="6.9921875" customWidth="1"/>
    <col min="30" max="30" width="7.80078125" customWidth="1"/>
    <col min="31" max="31" width="8.7421875" customWidth="1"/>
    <col min="32" max="32" width="9.68359375" bestFit="1" customWidth="1"/>
    <col min="33" max="33" width="11.8359375" bestFit="1" customWidth="1"/>
    <col min="34" max="34" width="10.76171875" bestFit="1" customWidth="1"/>
    <col min="35" max="35" width="10.625" bestFit="1" customWidth="1"/>
  </cols>
  <sheetData>
    <row r="1" spans="1:17" x14ac:dyDescent="0.2">
      <c r="A1" s="21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1" t="s">
        <v>5</v>
      </c>
      <c r="G1" s="21" t="s">
        <v>6</v>
      </c>
      <c r="H1" s="23" t="s">
        <v>7</v>
      </c>
      <c r="I1" s="23" t="s">
        <v>1418</v>
      </c>
      <c r="J1" s="23" t="s">
        <v>1417</v>
      </c>
      <c r="K1" s="23" t="s">
        <v>1408</v>
      </c>
      <c r="L1" s="23" t="s">
        <v>1410</v>
      </c>
      <c r="M1" s="23" t="s">
        <v>1414</v>
      </c>
      <c r="N1" s="23" t="s">
        <v>1429</v>
      </c>
      <c r="O1" s="23" t="s">
        <v>1431</v>
      </c>
      <c r="P1" s="23" t="s">
        <v>1430</v>
      </c>
      <c r="Q1" s="23" t="s">
        <v>1405</v>
      </c>
    </row>
    <row r="2" spans="1:17" x14ac:dyDescent="0.2">
      <c r="A2" t="s">
        <v>8</v>
      </c>
      <c r="B2" t="s">
        <v>9</v>
      </c>
      <c r="C2" t="s">
        <v>10</v>
      </c>
      <c r="D2" s="8" t="s">
        <v>11</v>
      </c>
      <c r="E2" s="5">
        <v>15000</v>
      </c>
      <c r="F2" t="s">
        <v>12</v>
      </c>
      <c r="G2" s="7">
        <v>46125</v>
      </c>
      <c r="H2" s="5">
        <v>0</v>
      </c>
      <c r="I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" t="b">
        <f>((ISNUMBER(Table3[[#This Row],[Quantity]]) )* (Table3[[#This Row],[Quantity]]&gt;0))=1</f>
        <v>0</v>
      </c>
      <c r="K2" t="b">
        <f>((Table3[[#This Row],[Quantity]]&gt;=Table3[[#This Row],[Return Qty]])*(ISNUMBER(Table3[[#This Row],[Quantity]])))=1</f>
        <v>0</v>
      </c>
      <c r="L2" t="b">
        <f>ISNUMBER(Table3[[#This Row],[Unit Price]])</f>
        <v>1</v>
      </c>
      <c r="M2" t="b">
        <f>ISNUMBER(Table3[[#This Row],[Order Date]])</f>
        <v>1</v>
      </c>
      <c r="N2" t="str">
        <f>IFERROR(IF(Table3[[#This Row],[Quantity]]*Table3[[#This Row],[Unit Price]]&lt;0, "N/A", Table3[[#This Row],[Quantity]]*Table3[[#This Row],[Unit Price]]), "N/A")</f>
        <v>N/A</v>
      </c>
      <c r="O2">
        <f>IFERROR(Table3[[#This Row],[Unit Price]]*Table3[[#This Row],[Return Qty]], "N/A")</f>
        <v>0</v>
      </c>
      <c r="P2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3" spans="1:17" x14ac:dyDescent="0.2">
      <c r="A3" t="s">
        <v>13</v>
      </c>
      <c r="B3" t="s">
        <v>14</v>
      </c>
      <c r="C3" t="s">
        <v>18</v>
      </c>
      <c r="D3" s="6">
        <v>3</v>
      </c>
      <c r="E3" s="5">
        <v>50000</v>
      </c>
      <c r="F3" t="s">
        <v>16</v>
      </c>
      <c r="G3" s="7">
        <v>46046</v>
      </c>
      <c r="H3" s="5">
        <v>0</v>
      </c>
      <c r="I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" t="b">
        <f>((ISNUMBER(Table3[[#This Row],[Quantity]]) )* (Table3[[#This Row],[Quantity]]&gt;0))=1</f>
        <v>1</v>
      </c>
      <c r="K3" t="b">
        <f>((Table3[[#This Row],[Quantity]]&gt;=Table3[[#This Row],[Return Qty]])*(ISNUMBER(Table3[[#This Row],[Quantity]])))=1</f>
        <v>1</v>
      </c>
      <c r="L3" t="b">
        <f>ISNUMBER(Table3[[#This Row],[Unit Price]])</f>
        <v>1</v>
      </c>
      <c r="M3" t="b">
        <f>ISNUMBER(Table3[[#This Row],[Order Date]])</f>
        <v>1</v>
      </c>
      <c r="N3">
        <f>IFERROR(IF(Table3[[#This Row],[Quantity]]*Table3[[#This Row],[Unit Price]]&lt;0, "N/A", Table3[[#This Row],[Quantity]]*Table3[[#This Row],[Unit Price]]), "N/A")</f>
        <v>150000</v>
      </c>
      <c r="O3">
        <f>IFERROR(Table3[[#This Row],[Unit Price]]*Table3[[#This Row],[Return Qty]], "N/A")</f>
        <v>0</v>
      </c>
      <c r="P3">
        <f>IFERROR(IF((Table3[[#This Row],[Revenue before return]]-Table3[[#This Row],[Amount of order  returned]])&lt;0, "N/A", Table3[[#This Row],[Revenue before return]]-Table3[[#This Row],[Amount of order  returned]]), "N/A")</f>
        <v>150000</v>
      </c>
      <c r="Q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" spans="1:17" x14ac:dyDescent="0.2">
      <c r="A4" t="s">
        <v>17</v>
      </c>
      <c r="B4" t="s">
        <v>14</v>
      </c>
      <c r="C4" t="s">
        <v>18</v>
      </c>
      <c r="D4" s="6">
        <v>13</v>
      </c>
      <c r="E4" s="5">
        <v>50000</v>
      </c>
      <c r="F4" t="s">
        <v>19</v>
      </c>
      <c r="G4" s="7">
        <v>46032</v>
      </c>
      <c r="H4" s="5">
        <v>0</v>
      </c>
      <c r="I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" t="b">
        <f>((ISNUMBER(Table3[[#This Row],[Quantity]]) )* (Table3[[#This Row],[Quantity]]&gt;0))=1</f>
        <v>1</v>
      </c>
      <c r="K4" t="b">
        <f>((Table3[[#This Row],[Quantity]]&gt;=Table3[[#This Row],[Return Qty]])*(ISNUMBER(Table3[[#This Row],[Quantity]])))=1</f>
        <v>1</v>
      </c>
      <c r="L4" t="b">
        <f>ISNUMBER(Table3[[#This Row],[Unit Price]])</f>
        <v>1</v>
      </c>
      <c r="M4" t="b">
        <f>ISNUMBER(Table3[[#This Row],[Order Date]])</f>
        <v>1</v>
      </c>
      <c r="N4">
        <f>IFERROR(IF(Table3[[#This Row],[Quantity]]*Table3[[#This Row],[Unit Price]]&lt;0, "N/A", Table3[[#This Row],[Quantity]]*Table3[[#This Row],[Unit Price]]), "N/A")</f>
        <v>650000</v>
      </c>
      <c r="O4">
        <f>IFERROR(Table3[[#This Row],[Unit Price]]*Table3[[#This Row],[Return Qty]], "N/A")</f>
        <v>0</v>
      </c>
      <c r="P4">
        <f>IFERROR(IF((Table3[[#This Row],[Revenue before return]]-Table3[[#This Row],[Amount of order  returned]])&lt;0, "N/A", Table3[[#This Row],[Revenue before return]]-Table3[[#This Row],[Amount of order  returned]]), "N/A")</f>
        <v>650000</v>
      </c>
      <c r="Q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" spans="1:17" x14ac:dyDescent="0.2">
      <c r="A5" t="s">
        <v>20</v>
      </c>
      <c r="B5" t="s">
        <v>21</v>
      </c>
      <c r="C5" t="s">
        <v>22</v>
      </c>
      <c r="D5" s="6">
        <v>18</v>
      </c>
      <c r="E5" s="5">
        <v>35000</v>
      </c>
      <c r="F5" t="s">
        <v>23</v>
      </c>
      <c r="G5" s="7">
        <v>46091</v>
      </c>
      <c r="H5" s="5">
        <v>5</v>
      </c>
      <c r="I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" t="b">
        <f>((ISNUMBER(Table3[[#This Row],[Quantity]]) )* (Table3[[#This Row],[Quantity]]&gt;0))=1</f>
        <v>1</v>
      </c>
      <c r="K5" t="b">
        <f>((Table3[[#This Row],[Quantity]]&gt;=Table3[[#This Row],[Return Qty]])*(ISNUMBER(Table3[[#This Row],[Quantity]])))=1</f>
        <v>1</v>
      </c>
      <c r="L5" t="b">
        <f>ISNUMBER(Table3[[#This Row],[Unit Price]])</f>
        <v>1</v>
      </c>
      <c r="M5" t="b">
        <f>ISNUMBER(Table3[[#This Row],[Order Date]])</f>
        <v>1</v>
      </c>
      <c r="N5">
        <f>IFERROR(IF(Table3[[#This Row],[Quantity]]*Table3[[#This Row],[Unit Price]]&lt;0, "N/A", Table3[[#This Row],[Quantity]]*Table3[[#This Row],[Unit Price]]), "N/A")</f>
        <v>630000</v>
      </c>
      <c r="O5">
        <f>IFERROR(Table3[[#This Row],[Unit Price]]*Table3[[#This Row],[Return Qty]], "N/A")</f>
        <v>175000</v>
      </c>
      <c r="P5">
        <f>IFERROR(IF((Table3[[#This Row],[Revenue before return]]-Table3[[#This Row],[Amount of order  returned]])&lt;0, "N/A", Table3[[#This Row],[Revenue before return]]-Table3[[#This Row],[Amount of order  returned]]), "N/A")</f>
        <v>455000</v>
      </c>
      <c r="Q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" spans="1:17" x14ac:dyDescent="0.2">
      <c r="A6" t="s">
        <v>24</v>
      </c>
      <c r="B6" t="s">
        <v>25</v>
      </c>
      <c r="C6" t="s">
        <v>26</v>
      </c>
      <c r="D6" s="6">
        <v>11</v>
      </c>
      <c r="E6" s="5">
        <v>20000</v>
      </c>
      <c r="F6" t="s">
        <v>27</v>
      </c>
      <c r="G6" s="7">
        <v>46048</v>
      </c>
      <c r="H6" s="5">
        <v>0</v>
      </c>
      <c r="I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" t="b">
        <f>((ISNUMBER(Table3[[#This Row],[Quantity]]) )* (Table3[[#This Row],[Quantity]]&gt;0))=1</f>
        <v>1</v>
      </c>
      <c r="K6" t="b">
        <f>((Table3[[#This Row],[Quantity]]&gt;=Table3[[#This Row],[Return Qty]])*(ISNUMBER(Table3[[#This Row],[Quantity]])))=1</f>
        <v>1</v>
      </c>
      <c r="L6" t="b">
        <f>ISNUMBER(Table3[[#This Row],[Unit Price]])</f>
        <v>1</v>
      </c>
      <c r="M6" t="b">
        <f>ISNUMBER(Table3[[#This Row],[Order Date]])</f>
        <v>1</v>
      </c>
      <c r="N6">
        <f>IFERROR(IF(Table3[[#This Row],[Quantity]]*Table3[[#This Row],[Unit Price]]&lt;0, "N/A", Table3[[#This Row],[Quantity]]*Table3[[#This Row],[Unit Price]]), "N/A")</f>
        <v>220000</v>
      </c>
      <c r="O6">
        <f>IFERROR(Table3[[#This Row],[Unit Price]]*Table3[[#This Row],[Return Qty]], "N/A")</f>
        <v>0</v>
      </c>
      <c r="P6">
        <f>IFERROR(IF((Table3[[#This Row],[Revenue before return]]-Table3[[#This Row],[Amount of order  returned]])&lt;0, "N/A", Table3[[#This Row],[Revenue before return]]-Table3[[#This Row],[Amount of order  returned]]), "N/A")</f>
        <v>220000</v>
      </c>
      <c r="Q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" spans="1:17" x14ac:dyDescent="0.2">
      <c r="A7" t="s">
        <v>28</v>
      </c>
      <c r="B7" t="s">
        <v>9</v>
      </c>
      <c r="C7" t="s">
        <v>18</v>
      </c>
      <c r="D7" s="6">
        <v>1</v>
      </c>
      <c r="E7" s="5">
        <v>50000</v>
      </c>
      <c r="F7" t="s">
        <v>30</v>
      </c>
      <c r="G7" s="7">
        <v>46089</v>
      </c>
      <c r="H7" s="5">
        <v>0</v>
      </c>
      <c r="I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" t="b">
        <f>((ISNUMBER(Table3[[#This Row],[Quantity]]) )* (Table3[[#This Row],[Quantity]]&gt;0))=1</f>
        <v>1</v>
      </c>
      <c r="K7" t="b">
        <f>((Table3[[#This Row],[Quantity]]&gt;=Table3[[#This Row],[Return Qty]])*(ISNUMBER(Table3[[#This Row],[Quantity]])))=1</f>
        <v>1</v>
      </c>
      <c r="L7" t="b">
        <f>ISNUMBER(Table3[[#This Row],[Unit Price]])</f>
        <v>1</v>
      </c>
      <c r="M7" t="b">
        <f>ISNUMBER(Table3[[#This Row],[Order Date]])</f>
        <v>1</v>
      </c>
      <c r="N7">
        <f>IFERROR(IF(Table3[[#This Row],[Quantity]]*Table3[[#This Row],[Unit Price]]&lt;0, "N/A", Table3[[#This Row],[Quantity]]*Table3[[#This Row],[Unit Price]]), "N/A")</f>
        <v>50000</v>
      </c>
      <c r="O7">
        <f>IFERROR(Table3[[#This Row],[Unit Price]]*Table3[[#This Row],[Return Qty]], "N/A")</f>
        <v>0</v>
      </c>
      <c r="P7">
        <f>IFERROR(IF((Table3[[#This Row],[Revenue before return]]-Table3[[#This Row],[Amount of order  returned]])&lt;0, "N/A", Table3[[#This Row],[Revenue before return]]-Table3[[#This Row],[Amount of order  returned]]), "N/A")</f>
        <v>50000</v>
      </c>
      <c r="Q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" spans="1:17" x14ac:dyDescent="0.2">
      <c r="A8" t="s">
        <v>31</v>
      </c>
      <c r="B8" t="s">
        <v>9</v>
      </c>
      <c r="C8" t="s">
        <v>32</v>
      </c>
      <c r="D8" s="6">
        <v>12</v>
      </c>
      <c r="E8" s="5">
        <v>8000</v>
      </c>
      <c r="F8" t="s">
        <v>33</v>
      </c>
      <c r="G8" s="7">
        <v>46025</v>
      </c>
      <c r="H8" s="5">
        <v>0</v>
      </c>
      <c r="I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" t="b">
        <f>((ISNUMBER(Table3[[#This Row],[Quantity]]) )* (Table3[[#This Row],[Quantity]]&gt;0))=1</f>
        <v>1</v>
      </c>
      <c r="K8" t="b">
        <f>((Table3[[#This Row],[Quantity]]&gt;=Table3[[#This Row],[Return Qty]])*(ISNUMBER(Table3[[#This Row],[Quantity]])))=1</f>
        <v>1</v>
      </c>
      <c r="L8" t="b">
        <f>ISNUMBER(Table3[[#This Row],[Unit Price]])</f>
        <v>1</v>
      </c>
      <c r="M8" t="b">
        <f>ISNUMBER(Table3[[#This Row],[Order Date]])</f>
        <v>1</v>
      </c>
      <c r="N8">
        <f>IFERROR(IF(Table3[[#This Row],[Quantity]]*Table3[[#This Row],[Unit Price]]&lt;0, "N/A", Table3[[#This Row],[Quantity]]*Table3[[#This Row],[Unit Price]]), "N/A")</f>
        <v>96000</v>
      </c>
      <c r="O8">
        <f>IFERROR(Table3[[#This Row],[Unit Price]]*Table3[[#This Row],[Return Qty]], "N/A")</f>
        <v>0</v>
      </c>
      <c r="P8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" spans="1:17" x14ac:dyDescent="0.2">
      <c r="A9" t="s">
        <v>34</v>
      </c>
      <c r="B9" t="s">
        <v>21</v>
      </c>
      <c r="C9" t="s">
        <v>22</v>
      </c>
      <c r="D9" s="6">
        <v>4</v>
      </c>
      <c r="E9" s="5">
        <v>35000</v>
      </c>
      <c r="F9" t="s">
        <v>35</v>
      </c>
      <c r="G9" s="7">
        <v>46180</v>
      </c>
      <c r="H9" s="5">
        <v>0</v>
      </c>
      <c r="I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" t="b">
        <f>((ISNUMBER(Table3[[#This Row],[Quantity]]) )* (Table3[[#This Row],[Quantity]]&gt;0))=1</f>
        <v>1</v>
      </c>
      <c r="K9" t="b">
        <f>((Table3[[#This Row],[Quantity]]&gt;=Table3[[#This Row],[Return Qty]])*(ISNUMBER(Table3[[#This Row],[Quantity]])))=1</f>
        <v>1</v>
      </c>
      <c r="L9" t="b">
        <f>ISNUMBER(Table3[[#This Row],[Unit Price]])</f>
        <v>1</v>
      </c>
      <c r="M9" t="b">
        <f>ISNUMBER(Table3[[#This Row],[Order Date]])</f>
        <v>1</v>
      </c>
      <c r="N9">
        <f>IFERROR(IF(Table3[[#This Row],[Quantity]]*Table3[[#This Row],[Unit Price]]&lt;0, "N/A", Table3[[#This Row],[Quantity]]*Table3[[#This Row],[Unit Price]]), "N/A")</f>
        <v>140000</v>
      </c>
      <c r="O9">
        <f>IFERROR(Table3[[#This Row],[Unit Price]]*Table3[[#This Row],[Return Qty]], "N/A")</f>
        <v>0</v>
      </c>
      <c r="P9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" spans="1:17" x14ac:dyDescent="0.2">
      <c r="A10" t="s">
        <v>36</v>
      </c>
      <c r="B10" t="s">
        <v>25</v>
      </c>
      <c r="C10" t="s">
        <v>26</v>
      </c>
      <c r="D10" s="6">
        <v>-1</v>
      </c>
      <c r="E10" s="5">
        <v>20000</v>
      </c>
      <c r="F10" t="s">
        <v>37</v>
      </c>
      <c r="G10" s="7">
        <v>46079</v>
      </c>
      <c r="H10" s="5">
        <v>0</v>
      </c>
      <c r="I1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" t="b">
        <f>((ISNUMBER(Table3[[#This Row],[Quantity]]) )* (Table3[[#This Row],[Quantity]]&gt;0))=1</f>
        <v>0</v>
      </c>
      <c r="K10" t="b">
        <f>((Table3[[#This Row],[Quantity]]&gt;=Table3[[#This Row],[Return Qty]])*(ISNUMBER(Table3[[#This Row],[Quantity]])))=1</f>
        <v>0</v>
      </c>
      <c r="L10" t="b">
        <f>ISNUMBER(Table3[[#This Row],[Unit Price]])</f>
        <v>1</v>
      </c>
      <c r="M10" t="b">
        <f>ISNUMBER(Table3[[#This Row],[Order Date]])</f>
        <v>1</v>
      </c>
      <c r="N10" t="str">
        <f>IFERROR(IF(Table3[[#This Row],[Quantity]]*Table3[[#This Row],[Unit Price]]&lt;0, "N/A", Table3[[#This Row],[Quantity]]*Table3[[#This Row],[Unit Price]]), "N/A")</f>
        <v>N/A</v>
      </c>
      <c r="O10">
        <f>IFERROR(Table3[[#This Row],[Unit Price]]*Table3[[#This Row],[Return Qty]], "N/A")</f>
        <v>0</v>
      </c>
      <c r="P10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1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1" spans="1:17" x14ac:dyDescent="0.2">
      <c r="A11" t="s">
        <v>38</v>
      </c>
      <c r="B11" t="s">
        <v>21</v>
      </c>
      <c r="C11" t="s">
        <v>39</v>
      </c>
      <c r="D11" s="6">
        <v>6</v>
      </c>
      <c r="E11" s="5">
        <v>12000</v>
      </c>
      <c r="F11" t="s">
        <v>40</v>
      </c>
      <c r="G11" s="7">
        <v>46035</v>
      </c>
      <c r="H11" s="5">
        <v>5</v>
      </c>
      <c r="I1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1" t="b">
        <f>((ISNUMBER(Table3[[#This Row],[Quantity]]) )* (Table3[[#This Row],[Quantity]]&gt;0))=1</f>
        <v>1</v>
      </c>
      <c r="K11" t="b">
        <f>((Table3[[#This Row],[Quantity]]&gt;=Table3[[#This Row],[Return Qty]])*(ISNUMBER(Table3[[#This Row],[Quantity]])))=1</f>
        <v>1</v>
      </c>
      <c r="L11" t="b">
        <f>ISNUMBER(Table3[[#This Row],[Unit Price]])</f>
        <v>1</v>
      </c>
      <c r="M11" t="b">
        <f>ISNUMBER(Table3[[#This Row],[Order Date]])</f>
        <v>1</v>
      </c>
      <c r="N11">
        <f>IFERROR(IF(Table3[[#This Row],[Quantity]]*Table3[[#This Row],[Unit Price]]&lt;0, "N/A", Table3[[#This Row],[Quantity]]*Table3[[#This Row],[Unit Price]]), "N/A")</f>
        <v>72000</v>
      </c>
      <c r="O11">
        <f>IFERROR(Table3[[#This Row],[Unit Price]]*Table3[[#This Row],[Return Qty]], "N/A")</f>
        <v>60000</v>
      </c>
      <c r="P11">
        <f>IFERROR(IF((Table3[[#This Row],[Revenue before return]]-Table3[[#This Row],[Amount of order  returned]])&lt;0, "N/A", Table3[[#This Row],[Revenue before return]]-Table3[[#This Row],[Amount of order  returned]]), "N/A")</f>
        <v>12000</v>
      </c>
      <c r="Q1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2" spans="1:17" x14ac:dyDescent="0.2">
      <c r="A12" t="s">
        <v>41</v>
      </c>
      <c r="B12" t="s">
        <v>14</v>
      </c>
      <c r="C12" t="s">
        <v>26</v>
      </c>
      <c r="D12" s="6">
        <v>6</v>
      </c>
      <c r="E12" s="5">
        <v>20000</v>
      </c>
      <c r="F12" t="s">
        <v>42</v>
      </c>
      <c r="G12" s="7">
        <v>46031</v>
      </c>
      <c r="H12" s="5">
        <v>0</v>
      </c>
      <c r="I1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2" t="b">
        <f>((ISNUMBER(Table3[[#This Row],[Quantity]]) )* (Table3[[#This Row],[Quantity]]&gt;0))=1</f>
        <v>1</v>
      </c>
      <c r="K12" t="b">
        <f>((Table3[[#This Row],[Quantity]]&gt;=Table3[[#This Row],[Return Qty]])*(ISNUMBER(Table3[[#This Row],[Quantity]])))=1</f>
        <v>1</v>
      </c>
      <c r="L12" t="b">
        <f>ISNUMBER(Table3[[#This Row],[Unit Price]])</f>
        <v>1</v>
      </c>
      <c r="M12" t="b">
        <f>ISNUMBER(Table3[[#This Row],[Order Date]])</f>
        <v>1</v>
      </c>
      <c r="N12">
        <f>IFERROR(IF(Table3[[#This Row],[Quantity]]*Table3[[#This Row],[Unit Price]]&lt;0, "N/A", Table3[[#This Row],[Quantity]]*Table3[[#This Row],[Unit Price]]), "N/A")</f>
        <v>120000</v>
      </c>
      <c r="O12">
        <f>IFERROR(Table3[[#This Row],[Unit Price]]*Table3[[#This Row],[Return Qty]], "N/A")</f>
        <v>0</v>
      </c>
      <c r="P12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1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3" spans="1:17" x14ac:dyDescent="0.2">
      <c r="A13" t="s">
        <v>44</v>
      </c>
      <c r="B13" t="s">
        <v>25</v>
      </c>
      <c r="C13" t="s">
        <v>45</v>
      </c>
      <c r="D13" s="6">
        <v>3</v>
      </c>
      <c r="E13" s="5">
        <v>20000</v>
      </c>
      <c r="F13" t="s">
        <v>46</v>
      </c>
      <c r="G13" s="7">
        <v>46177</v>
      </c>
      <c r="H13" s="5">
        <v>0</v>
      </c>
      <c r="I1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3" t="b">
        <f>((ISNUMBER(Table3[[#This Row],[Quantity]]) )* (Table3[[#This Row],[Quantity]]&gt;0))=1</f>
        <v>1</v>
      </c>
      <c r="K13" t="b">
        <f>((Table3[[#This Row],[Quantity]]&gt;=Table3[[#This Row],[Return Qty]])*(ISNUMBER(Table3[[#This Row],[Quantity]])))=1</f>
        <v>1</v>
      </c>
      <c r="L13" t="b">
        <f>ISNUMBER(Table3[[#This Row],[Unit Price]])</f>
        <v>1</v>
      </c>
      <c r="M13" t="b">
        <f>ISNUMBER(Table3[[#This Row],[Order Date]])</f>
        <v>1</v>
      </c>
      <c r="N13">
        <f>IFERROR(IF(Table3[[#This Row],[Quantity]]*Table3[[#This Row],[Unit Price]]&lt;0, "N/A", Table3[[#This Row],[Quantity]]*Table3[[#This Row],[Unit Price]]), "N/A")</f>
        <v>60000</v>
      </c>
      <c r="O13">
        <f>IFERROR(Table3[[#This Row],[Unit Price]]*Table3[[#This Row],[Return Qty]], "N/A")</f>
        <v>0</v>
      </c>
      <c r="P13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1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4" spans="1:17" x14ac:dyDescent="0.2">
      <c r="A14" t="s">
        <v>47</v>
      </c>
      <c r="B14" t="s">
        <v>9</v>
      </c>
      <c r="C14" t="s">
        <v>10</v>
      </c>
      <c r="D14" s="6">
        <v>3</v>
      </c>
      <c r="E14" s="5">
        <v>15000</v>
      </c>
      <c r="F14" t="s">
        <v>48</v>
      </c>
      <c r="G14" s="7">
        <v>46127</v>
      </c>
      <c r="H14" s="5">
        <v>0</v>
      </c>
      <c r="I1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4" t="b">
        <f>((ISNUMBER(Table3[[#This Row],[Quantity]]) )* (Table3[[#This Row],[Quantity]]&gt;0))=1</f>
        <v>1</v>
      </c>
      <c r="K14" t="b">
        <f>((Table3[[#This Row],[Quantity]]&gt;=Table3[[#This Row],[Return Qty]])*(ISNUMBER(Table3[[#This Row],[Quantity]])))=1</f>
        <v>1</v>
      </c>
      <c r="L14" t="b">
        <f>ISNUMBER(Table3[[#This Row],[Unit Price]])</f>
        <v>1</v>
      </c>
      <c r="M14" t="b">
        <f>ISNUMBER(Table3[[#This Row],[Order Date]])</f>
        <v>1</v>
      </c>
      <c r="N14">
        <f>IFERROR(IF(Table3[[#This Row],[Quantity]]*Table3[[#This Row],[Unit Price]]&lt;0, "N/A", Table3[[#This Row],[Quantity]]*Table3[[#This Row],[Unit Price]]), "N/A")</f>
        <v>45000</v>
      </c>
      <c r="O14">
        <f>IFERROR(Table3[[#This Row],[Unit Price]]*Table3[[#This Row],[Return Qty]], "N/A")</f>
        <v>0</v>
      </c>
      <c r="P14">
        <f>IFERROR(IF((Table3[[#This Row],[Revenue before return]]-Table3[[#This Row],[Amount of order  returned]])&lt;0, "N/A", Table3[[#This Row],[Revenue before return]]-Table3[[#This Row],[Amount of order  returned]]), "N/A")</f>
        <v>45000</v>
      </c>
      <c r="Q1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5" spans="1:17" x14ac:dyDescent="0.2">
      <c r="A15" t="s">
        <v>49</v>
      </c>
      <c r="B15" t="s">
        <v>21</v>
      </c>
      <c r="C15" t="s">
        <v>32</v>
      </c>
      <c r="D15" s="6">
        <v>7</v>
      </c>
      <c r="E15" s="5">
        <v>8000</v>
      </c>
      <c r="F15" t="s">
        <v>50</v>
      </c>
      <c r="G15" s="7">
        <v>46043</v>
      </c>
      <c r="H15" s="5">
        <v>0</v>
      </c>
      <c r="I1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5" t="b">
        <f>((ISNUMBER(Table3[[#This Row],[Quantity]]) )* (Table3[[#This Row],[Quantity]]&gt;0))=1</f>
        <v>1</v>
      </c>
      <c r="K15" t="b">
        <f>((Table3[[#This Row],[Quantity]]&gt;=Table3[[#This Row],[Return Qty]])*(ISNUMBER(Table3[[#This Row],[Quantity]])))=1</f>
        <v>1</v>
      </c>
      <c r="L15" t="b">
        <f>ISNUMBER(Table3[[#This Row],[Unit Price]])</f>
        <v>1</v>
      </c>
      <c r="M15" t="b">
        <f>ISNUMBER(Table3[[#This Row],[Order Date]])</f>
        <v>1</v>
      </c>
      <c r="N15">
        <f>IFERROR(IF(Table3[[#This Row],[Quantity]]*Table3[[#This Row],[Unit Price]]&lt;0, "N/A", Table3[[#This Row],[Quantity]]*Table3[[#This Row],[Unit Price]]), "N/A")</f>
        <v>56000</v>
      </c>
      <c r="O15">
        <f>IFERROR(Table3[[#This Row],[Unit Price]]*Table3[[#This Row],[Return Qty]], "N/A")</f>
        <v>0</v>
      </c>
      <c r="P15">
        <f>IFERROR(IF((Table3[[#This Row],[Revenue before return]]-Table3[[#This Row],[Amount of order  returned]])&lt;0, "N/A", Table3[[#This Row],[Revenue before return]]-Table3[[#This Row],[Amount of order  returned]]), "N/A")</f>
        <v>56000</v>
      </c>
      <c r="Q1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6" spans="1:17" x14ac:dyDescent="0.2">
      <c r="A16" t="s">
        <v>51</v>
      </c>
      <c r="B16" t="s">
        <v>14</v>
      </c>
      <c r="C16" t="s">
        <v>45</v>
      </c>
      <c r="D16" s="6">
        <v>21</v>
      </c>
      <c r="E16" s="5">
        <v>20000</v>
      </c>
      <c r="F16" t="s">
        <v>52</v>
      </c>
      <c r="G16" s="7">
        <v>46101</v>
      </c>
      <c r="H16" s="5">
        <v>0</v>
      </c>
      <c r="I1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6" t="b">
        <f>((ISNUMBER(Table3[[#This Row],[Quantity]]) )* (Table3[[#This Row],[Quantity]]&gt;0))=1</f>
        <v>1</v>
      </c>
      <c r="K16" t="b">
        <f>((Table3[[#This Row],[Quantity]]&gt;=Table3[[#This Row],[Return Qty]])*(ISNUMBER(Table3[[#This Row],[Quantity]])))=1</f>
        <v>1</v>
      </c>
      <c r="L16" t="b">
        <f>ISNUMBER(Table3[[#This Row],[Unit Price]])</f>
        <v>1</v>
      </c>
      <c r="M16" t="b">
        <f>ISNUMBER(Table3[[#This Row],[Order Date]])</f>
        <v>1</v>
      </c>
      <c r="N16">
        <f>IFERROR(IF(Table3[[#This Row],[Quantity]]*Table3[[#This Row],[Unit Price]]&lt;0, "N/A", Table3[[#This Row],[Quantity]]*Table3[[#This Row],[Unit Price]]), "N/A")</f>
        <v>420000</v>
      </c>
      <c r="O16">
        <f>IFERROR(Table3[[#This Row],[Unit Price]]*Table3[[#This Row],[Return Qty]], "N/A")</f>
        <v>0</v>
      </c>
      <c r="P16">
        <f>IFERROR(IF((Table3[[#This Row],[Revenue before return]]-Table3[[#This Row],[Amount of order  returned]])&lt;0, "N/A", Table3[[#This Row],[Revenue before return]]-Table3[[#This Row],[Amount of order  returned]]), "N/A")</f>
        <v>420000</v>
      </c>
      <c r="Q1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7" spans="1:17" x14ac:dyDescent="0.2">
      <c r="A17" t="s">
        <v>53</v>
      </c>
      <c r="B17" t="s">
        <v>25</v>
      </c>
      <c r="C17" t="s">
        <v>22</v>
      </c>
      <c r="D17" s="6">
        <v>10</v>
      </c>
      <c r="E17" s="5">
        <v>35000</v>
      </c>
      <c r="F17" t="s">
        <v>54</v>
      </c>
      <c r="G17" s="7">
        <v>46123</v>
      </c>
      <c r="H17" s="5">
        <v>0</v>
      </c>
      <c r="I1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7" t="b">
        <f>((ISNUMBER(Table3[[#This Row],[Quantity]]) )* (Table3[[#This Row],[Quantity]]&gt;0))=1</f>
        <v>1</v>
      </c>
      <c r="K17" t="b">
        <f>((Table3[[#This Row],[Quantity]]&gt;=Table3[[#This Row],[Return Qty]])*(ISNUMBER(Table3[[#This Row],[Quantity]])))=1</f>
        <v>1</v>
      </c>
      <c r="L17" t="b">
        <f>ISNUMBER(Table3[[#This Row],[Unit Price]])</f>
        <v>1</v>
      </c>
      <c r="M17" t="b">
        <f>ISNUMBER(Table3[[#This Row],[Order Date]])</f>
        <v>1</v>
      </c>
      <c r="N17">
        <f>IFERROR(IF(Table3[[#This Row],[Quantity]]*Table3[[#This Row],[Unit Price]]&lt;0, "N/A", Table3[[#This Row],[Quantity]]*Table3[[#This Row],[Unit Price]]), "N/A")</f>
        <v>350000</v>
      </c>
      <c r="O17">
        <f>IFERROR(Table3[[#This Row],[Unit Price]]*Table3[[#This Row],[Return Qty]], "N/A")</f>
        <v>0</v>
      </c>
      <c r="P17">
        <f>IFERROR(IF((Table3[[#This Row],[Revenue before return]]-Table3[[#This Row],[Amount of order  returned]])&lt;0, "N/A", Table3[[#This Row],[Revenue before return]]-Table3[[#This Row],[Amount of order  returned]]), "N/A")</f>
        <v>350000</v>
      </c>
      <c r="Q1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8" spans="1:17" x14ac:dyDescent="0.2">
      <c r="A18" t="s">
        <v>56</v>
      </c>
      <c r="B18" t="s">
        <v>9</v>
      </c>
      <c r="C18" t="s">
        <v>39</v>
      </c>
      <c r="D18" s="6">
        <v>23</v>
      </c>
      <c r="E18" s="5">
        <v>12000</v>
      </c>
      <c r="F18" t="s">
        <v>57</v>
      </c>
      <c r="G18" s="7">
        <v>46027</v>
      </c>
      <c r="H18" s="5">
        <v>0</v>
      </c>
      <c r="I1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8" t="b">
        <f>((ISNUMBER(Table3[[#This Row],[Quantity]]) )* (Table3[[#This Row],[Quantity]]&gt;0))=1</f>
        <v>1</v>
      </c>
      <c r="K18" t="b">
        <f>((Table3[[#This Row],[Quantity]]&gt;=Table3[[#This Row],[Return Qty]])*(ISNUMBER(Table3[[#This Row],[Quantity]])))=1</f>
        <v>1</v>
      </c>
      <c r="L18" t="b">
        <f>ISNUMBER(Table3[[#This Row],[Unit Price]])</f>
        <v>1</v>
      </c>
      <c r="M18" t="b">
        <f>ISNUMBER(Table3[[#This Row],[Order Date]])</f>
        <v>1</v>
      </c>
      <c r="N18">
        <f>IFERROR(IF(Table3[[#This Row],[Quantity]]*Table3[[#This Row],[Unit Price]]&lt;0, "N/A", Table3[[#This Row],[Quantity]]*Table3[[#This Row],[Unit Price]]), "N/A")</f>
        <v>276000</v>
      </c>
      <c r="O18">
        <f>IFERROR(Table3[[#This Row],[Unit Price]]*Table3[[#This Row],[Return Qty]], "N/A")</f>
        <v>0</v>
      </c>
      <c r="P18">
        <f>IFERROR(IF((Table3[[#This Row],[Revenue before return]]-Table3[[#This Row],[Amount of order  returned]])&lt;0, "N/A", Table3[[#This Row],[Revenue before return]]-Table3[[#This Row],[Amount of order  returned]]), "N/A")</f>
        <v>276000</v>
      </c>
      <c r="Q1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9" spans="1:17" x14ac:dyDescent="0.2">
      <c r="A19" t="s">
        <v>58</v>
      </c>
      <c r="B19" t="s">
        <v>9</v>
      </c>
      <c r="C19" t="s">
        <v>18</v>
      </c>
      <c r="D19" s="6">
        <v>24</v>
      </c>
      <c r="E19" s="5">
        <v>50000</v>
      </c>
      <c r="F19" t="s">
        <v>59</v>
      </c>
      <c r="G19" s="7">
        <v>46128</v>
      </c>
      <c r="H19" s="5">
        <v>3</v>
      </c>
      <c r="I1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9" t="b">
        <f>((ISNUMBER(Table3[[#This Row],[Quantity]]) )* (Table3[[#This Row],[Quantity]]&gt;0))=1</f>
        <v>1</v>
      </c>
      <c r="K19" t="b">
        <f>((Table3[[#This Row],[Quantity]]&gt;=Table3[[#This Row],[Return Qty]])*(ISNUMBER(Table3[[#This Row],[Quantity]])))=1</f>
        <v>1</v>
      </c>
      <c r="L19" t="b">
        <f>ISNUMBER(Table3[[#This Row],[Unit Price]])</f>
        <v>1</v>
      </c>
      <c r="M19" t="b">
        <f>ISNUMBER(Table3[[#This Row],[Order Date]])</f>
        <v>1</v>
      </c>
      <c r="N19">
        <f>IFERROR(IF(Table3[[#This Row],[Quantity]]*Table3[[#This Row],[Unit Price]]&lt;0, "N/A", Table3[[#This Row],[Quantity]]*Table3[[#This Row],[Unit Price]]), "N/A")</f>
        <v>1200000</v>
      </c>
      <c r="O19">
        <f>IFERROR(Table3[[#This Row],[Unit Price]]*Table3[[#This Row],[Return Qty]], "N/A")</f>
        <v>150000</v>
      </c>
      <c r="P19">
        <f>IFERROR(IF((Table3[[#This Row],[Revenue before return]]-Table3[[#This Row],[Amount of order  returned]])&lt;0, "N/A", Table3[[#This Row],[Revenue before return]]-Table3[[#This Row],[Amount of order  returned]]), "N/A")</f>
        <v>1050000</v>
      </c>
      <c r="Q1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0" spans="1:17" x14ac:dyDescent="0.2">
      <c r="A20" t="s">
        <v>60</v>
      </c>
      <c r="B20" t="s">
        <v>14</v>
      </c>
      <c r="C20" t="s">
        <v>18</v>
      </c>
      <c r="D20" s="6">
        <v>24</v>
      </c>
      <c r="E20" s="5">
        <v>50000</v>
      </c>
      <c r="F20" t="s">
        <v>61</v>
      </c>
      <c r="G20" s="7">
        <v>46200</v>
      </c>
      <c r="H20" s="5">
        <v>0</v>
      </c>
      <c r="I2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0" t="b">
        <f>((ISNUMBER(Table3[[#This Row],[Quantity]]) )* (Table3[[#This Row],[Quantity]]&gt;0))=1</f>
        <v>1</v>
      </c>
      <c r="K20" t="b">
        <f>((Table3[[#This Row],[Quantity]]&gt;=Table3[[#This Row],[Return Qty]])*(ISNUMBER(Table3[[#This Row],[Quantity]])))=1</f>
        <v>1</v>
      </c>
      <c r="L20" t="b">
        <f>ISNUMBER(Table3[[#This Row],[Unit Price]])</f>
        <v>1</v>
      </c>
      <c r="M20" t="b">
        <f>ISNUMBER(Table3[[#This Row],[Order Date]])</f>
        <v>1</v>
      </c>
      <c r="N20">
        <f>IFERROR(IF(Table3[[#This Row],[Quantity]]*Table3[[#This Row],[Unit Price]]&lt;0, "N/A", Table3[[#This Row],[Quantity]]*Table3[[#This Row],[Unit Price]]), "N/A")</f>
        <v>1200000</v>
      </c>
      <c r="O20">
        <f>IFERROR(Table3[[#This Row],[Unit Price]]*Table3[[#This Row],[Return Qty]], "N/A")</f>
        <v>0</v>
      </c>
      <c r="P20">
        <f>IFERROR(IF((Table3[[#This Row],[Revenue before return]]-Table3[[#This Row],[Amount of order  returned]])&lt;0, "N/A", Table3[[#This Row],[Revenue before return]]-Table3[[#This Row],[Amount of order  returned]]), "N/A")</f>
        <v>1200000</v>
      </c>
      <c r="Q2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1" spans="1:17" x14ac:dyDescent="0.2">
      <c r="A21" t="s">
        <v>62</v>
      </c>
      <c r="B21" t="s">
        <v>25</v>
      </c>
      <c r="C21" t="s">
        <v>22</v>
      </c>
      <c r="D21" s="6">
        <v>25</v>
      </c>
      <c r="E21" s="5">
        <v>35000</v>
      </c>
      <c r="F21" t="s">
        <v>63</v>
      </c>
      <c r="G21" s="7">
        <v>46120</v>
      </c>
      <c r="H21" s="5">
        <v>0</v>
      </c>
      <c r="I2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1" t="b">
        <f>((ISNUMBER(Table3[[#This Row],[Quantity]]) )* (Table3[[#This Row],[Quantity]]&gt;0))=1</f>
        <v>1</v>
      </c>
      <c r="K21" t="b">
        <f>((Table3[[#This Row],[Quantity]]&gt;=Table3[[#This Row],[Return Qty]])*(ISNUMBER(Table3[[#This Row],[Quantity]])))=1</f>
        <v>1</v>
      </c>
      <c r="L21" t="b">
        <f>ISNUMBER(Table3[[#This Row],[Unit Price]])</f>
        <v>1</v>
      </c>
      <c r="M21" t="b">
        <f>ISNUMBER(Table3[[#This Row],[Order Date]])</f>
        <v>1</v>
      </c>
      <c r="N21">
        <f>IFERROR(IF(Table3[[#This Row],[Quantity]]*Table3[[#This Row],[Unit Price]]&lt;0, "N/A", Table3[[#This Row],[Quantity]]*Table3[[#This Row],[Unit Price]]), "N/A")</f>
        <v>875000</v>
      </c>
      <c r="O21">
        <f>IFERROR(Table3[[#This Row],[Unit Price]]*Table3[[#This Row],[Return Qty]], "N/A")</f>
        <v>0</v>
      </c>
      <c r="P21">
        <f>IFERROR(IF((Table3[[#This Row],[Revenue before return]]-Table3[[#This Row],[Amount of order  returned]])&lt;0, "N/A", Table3[[#This Row],[Revenue before return]]-Table3[[#This Row],[Amount of order  returned]]), "N/A")</f>
        <v>875000</v>
      </c>
      <c r="Q2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2" spans="1:17" x14ac:dyDescent="0.2">
      <c r="A22" t="s">
        <v>64</v>
      </c>
      <c r="B22" t="s">
        <v>21</v>
      </c>
      <c r="C22" t="s">
        <v>22</v>
      </c>
      <c r="D22" s="6">
        <v>22</v>
      </c>
      <c r="E22" s="5">
        <v>35000</v>
      </c>
      <c r="F22" t="s">
        <v>59</v>
      </c>
      <c r="G22" s="7">
        <v>46194</v>
      </c>
      <c r="H22" s="5">
        <v>3</v>
      </c>
      <c r="I2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2" t="b">
        <f>((ISNUMBER(Table3[[#This Row],[Quantity]]) )* (Table3[[#This Row],[Quantity]]&gt;0))=1</f>
        <v>1</v>
      </c>
      <c r="K22" t="b">
        <f>((Table3[[#This Row],[Quantity]]&gt;=Table3[[#This Row],[Return Qty]])*(ISNUMBER(Table3[[#This Row],[Quantity]])))=1</f>
        <v>1</v>
      </c>
      <c r="L22" t="b">
        <f>ISNUMBER(Table3[[#This Row],[Unit Price]])</f>
        <v>1</v>
      </c>
      <c r="M22" t="b">
        <f>ISNUMBER(Table3[[#This Row],[Order Date]])</f>
        <v>1</v>
      </c>
      <c r="N22">
        <f>IFERROR(IF(Table3[[#This Row],[Quantity]]*Table3[[#This Row],[Unit Price]]&lt;0, "N/A", Table3[[#This Row],[Quantity]]*Table3[[#This Row],[Unit Price]]), "N/A")</f>
        <v>770000</v>
      </c>
      <c r="O22">
        <f>IFERROR(Table3[[#This Row],[Unit Price]]*Table3[[#This Row],[Return Qty]], "N/A")</f>
        <v>105000</v>
      </c>
      <c r="P22">
        <f>IFERROR(IF((Table3[[#This Row],[Revenue before return]]-Table3[[#This Row],[Amount of order  returned]])&lt;0, "N/A", Table3[[#This Row],[Revenue before return]]-Table3[[#This Row],[Amount of order  returned]]), "N/A")</f>
        <v>665000</v>
      </c>
      <c r="Q2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3" spans="1:17" x14ac:dyDescent="0.2">
      <c r="A23" t="s">
        <v>66</v>
      </c>
      <c r="B23" t="s">
        <v>9</v>
      </c>
      <c r="C23" t="s">
        <v>10</v>
      </c>
      <c r="D23" s="6">
        <v>18</v>
      </c>
      <c r="E23" s="5">
        <v>15000</v>
      </c>
      <c r="F23" t="s">
        <v>68</v>
      </c>
      <c r="G23" s="7">
        <v>46054</v>
      </c>
      <c r="H23" s="5">
        <v>0</v>
      </c>
      <c r="I2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3" t="b">
        <f>((ISNUMBER(Table3[[#This Row],[Quantity]]) )* (Table3[[#This Row],[Quantity]]&gt;0))=1</f>
        <v>1</v>
      </c>
      <c r="K23" t="b">
        <f>((Table3[[#This Row],[Quantity]]&gt;=Table3[[#This Row],[Return Qty]])*(ISNUMBER(Table3[[#This Row],[Quantity]])))=1</f>
        <v>1</v>
      </c>
      <c r="L23" t="b">
        <f>ISNUMBER(Table3[[#This Row],[Unit Price]])</f>
        <v>1</v>
      </c>
      <c r="M23" t="b">
        <f>ISNUMBER(Table3[[#This Row],[Order Date]])</f>
        <v>1</v>
      </c>
      <c r="N23">
        <f>IFERROR(IF(Table3[[#This Row],[Quantity]]*Table3[[#This Row],[Unit Price]]&lt;0, "N/A", Table3[[#This Row],[Quantity]]*Table3[[#This Row],[Unit Price]]), "N/A")</f>
        <v>270000</v>
      </c>
      <c r="O23">
        <f>IFERROR(Table3[[#This Row],[Unit Price]]*Table3[[#This Row],[Return Qty]], "N/A")</f>
        <v>0</v>
      </c>
      <c r="P23">
        <f>IFERROR(IF((Table3[[#This Row],[Revenue before return]]-Table3[[#This Row],[Amount of order  returned]])&lt;0, "N/A", Table3[[#This Row],[Revenue before return]]-Table3[[#This Row],[Amount of order  returned]]), "N/A")</f>
        <v>270000</v>
      </c>
      <c r="Q2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4" spans="1:17" x14ac:dyDescent="0.2">
      <c r="A24" t="s">
        <v>69</v>
      </c>
      <c r="B24" t="s">
        <v>25</v>
      </c>
      <c r="C24" t="s">
        <v>70</v>
      </c>
      <c r="D24" s="6">
        <v>17</v>
      </c>
      <c r="E24" s="5">
        <v>28000</v>
      </c>
      <c r="F24" t="s">
        <v>71</v>
      </c>
      <c r="G24" s="7">
        <v>46099</v>
      </c>
      <c r="H24" s="5">
        <v>0</v>
      </c>
      <c r="I2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4" t="b">
        <f>((ISNUMBER(Table3[[#This Row],[Quantity]]) )* (Table3[[#This Row],[Quantity]]&gt;0))=1</f>
        <v>1</v>
      </c>
      <c r="K24" t="b">
        <f>((Table3[[#This Row],[Quantity]]&gt;=Table3[[#This Row],[Return Qty]])*(ISNUMBER(Table3[[#This Row],[Quantity]])))=1</f>
        <v>1</v>
      </c>
      <c r="L24" t="b">
        <f>ISNUMBER(Table3[[#This Row],[Unit Price]])</f>
        <v>1</v>
      </c>
      <c r="M24" t="b">
        <f>ISNUMBER(Table3[[#This Row],[Order Date]])</f>
        <v>1</v>
      </c>
      <c r="N24">
        <f>IFERROR(IF(Table3[[#This Row],[Quantity]]*Table3[[#This Row],[Unit Price]]&lt;0, "N/A", Table3[[#This Row],[Quantity]]*Table3[[#This Row],[Unit Price]]), "N/A")</f>
        <v>476000</v>
      </c>
      <c r="O24">
        <f>IFERROR(Table3[[#This Row],[Unit Price]]*Table3[[#This Row],[Return Qty]], "N/A")</f>
        <v>0</v>
      </c>
      <c r="P24">
        <f>IFERROR(IF((Table3[[#This Row],[Revenue before return]]-Table3[[#This Row],[Amount of order  returned]])&lt;0, "N/A", Table3[[#This Row],[Revenue before return]]-Table3[[#This Row],[Amount of order  returned]]), "N/A")</f>
        <v>476000</v>
      </c>
      <c r="Q2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5" spans="1:17" x14ac:dyDescent="0.2">
      <c r="A25" t="s">
        <v>72</v>
      </c>
      <c r="B25" t="s">
        <v>21</v>
      </c>
      <c r="C25" t="s">
        <v>45</v>
      </c>
      <c r="D25" s="6">
        <v>8</v>
      </c>
      <c r="E25" s="5">
        <v>20000</v>
      </c>
      <c r="F25" t="s">
        <v>73</v>
      </c>
      <c r="G25" s="7">
        <v>46169</v>
      </c>
      <c r="H25" s="5">
        <v>5</v>
      </c>
      <c r="I2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5" t="b">
        <f>((ISNUMBER(Table3[[#This Row],[Quantity]]) )* (Table3[[#This Row],[Quantity]]&gt;0))=1</f>
        <v>1</v>
      </c>
      <c r="K25" t="b">
        <f>((Table3[[#This Row],[Quantity]]&gt;=Table3[[#This Row],[Return Qty]])*(ISNUMBER(Table3[[#This Row],[Quantity]])))=1</f>
        <v>1</v>
      </c>
      <c r="L25" t="b">
        <f>ISNUMBER(Table3[[#This Row],[Unit Price]])</f>
        <v>1</v>
      </c>
      <c r="M25" t="b">
        <f>ISNUMBER(Table3[[#This Row],[Order Date]])</f>
        <v>1</v>
      </c>
      <c r="N25">
        <f>IFERROR(IF(Table3[[#This Row],[Quantity]]*Table3[[#This Row],[Unit Price]]&lt;0, "N/A", Table3[[#This Row],[Quantity]]*Table3[[#This Row],[Unit Price]]), "N/A")</f>
        <v>160000</v>
      </c>
      <c r="O25">
        <f>IFERROR(Table3[[#This Row],[Unit Price]]*Table3[[#This Row],[Return Qty]], "N/A")</f>
        <v>100000</v>
      </c>
      <c r="P25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2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6" spans="1:17" x14ac:dyDescent="0.2">
      <c r="A26" t="s">
        <v>74</v>
      </c>
      <c r="B26" t="s">
        <v>21</v>
      </c>
      <c r="C26" t="s">
        <v>22</v>
      </c>
      <c r="D26" s="6">
        <v>4</v>
      </c>
      <c r="E26" s="5">
        <v>70000</v>
      </c>
      <c r="F26" t="s">
        <v>75</v>
      </c>
      <c r="G26" s="7">
        <v>46165</v>
      </c>
      <c r="H26" s="5">
        <v>0</v>
      </c>
      <c r="I2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6" t="b">
        <f>((ISNUMBER(Table3[[#This Row],[Quantity]]) )* (Table3[[#This Row],[Quantity]]&gt;0))=1</f>
        <v>1</v>
      </c>
      <c r="K26" t="b">
        <f>((Table3[[#This Row],[Quantity]]&gt;=Table3[[#This Row],[Return Qty]])*(ISNUMBER(Table3[[#This Row],[Quantity]])))=1</f>
        <v>1</v>
      </c>
      <c r="L26" t="b">
        <f>ISNUMBER(Table3[[#This Row],[Unit Price]])</f>
        <v>1</v>
      </c>
      <c r="M26" t="b">
        <f>ISNUMBER(Table3[[#This Row],[Order Date]])</f>
        <v>1</v>
      </c>
      <c r="N26">
        <f>IFERROR(IF(Table3[[#This Row],[Quantity]]*Table3[[#This Row],[Unit Price]]&lt;0, "N/A", Table3[[#This Row],[Quantity]]*Table3[[#This Row],[Unit Price]]), "N/A")</f>
        <v>280000</v>
      </c>
      <c r="O26">
        <f>IFERROR(Table3[[#This Row],[Unit Price]]*Table3[[#This Row],[Return Qty]], "N/A")</f>
        <v>0</v>
      </c>
      <c r="P26">
        <f>IFERROR(IF((Table3[[#This Row],[Revenue before return]]-Table3[[#This Row],[Amount of order  returned]])&lt;0, "N/A", Table3[[#This Row],[Revenue before return]]-Table3[[#This Row],[Amount of order  returned]]), "N/A")</f>
        <v>280000</v>
      </c>
      <c r="Q2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7" spans="1:17" x14ac:dyDescent="0.2">
      <c r="A27" t="s">
        <v>76</v>
      </c>
      <c r="B27" t="s">
        <v>9</v>
      </c>
      <c r="C27" t="s">
        <v>26</v>
      </c>
      <c r="D27" s="6">
        <v>7</v>
      </c>
      <c r="E27" s="5">
        <v>20000</v>
      </c>
      <c r="F27" t="s">
        <v>78</v>
      </c>
      <c r="G27" s="7">
        <v>46081</v>
      </c>
      <c r="H27" s="5">
        <v>0</v>
      </c>
      <c r="I2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7" t="b">
        <f>((ISNUMBER(Table3[[#This Row],[Quantity]]) )* (Table3[[#This Row],[Quantity]]&gt;0))=1</f>
        <v>1</v>
      </c>
      <c r="K27" t="b">
        <f>((Table3[[#This Row],[Quantity]]&gt;=Table3[[#This Row],[Return Qty]])*(ISNUMBER(Table3[[#This Row],[Quantity]])))=1</f>
        <v>1</v>
      </c>
      <c r="L27" t="b">
        <f>ISNUMBER(Table3[[#This Row],[Unit Price]])</f>
        <v>1</v>
      </c>
      <c r="M27" t="b">
        <f>ISNUMBER(Table3[[#This Row],[Order Date]])</f>
        <v>1</v>
      </c>
      <c r="N27">
        <f>IFERROR(IF(Table3[[#This Row],[Quantity]]*Table3[[#This Row],[Unit Price]]&lt;0, "N/A", Table3[[#This Row],[Quantity]]*Table3[[#This Row],[Unit Price]]), "N/A")</f>
        <v>140000</v>
      </c>
      <c r="O27">
        <f>IFERROR(Table3[[#This Row],[Unit Price]]*Table3[[#This Row],[Return Qty]], "N/A")</f>
        <v>0</v>
      </c>
      <c r="P27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2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8" spans="1:17" x14ac:dyDescent="0.2">
      <c r="A28" t="s">
        <v>79</v>
      </c>
      <c r="B28" t="s">
        <v>9</v>
      </c>
      <c r="C28" t="s">
        <v>45</v>
      </c>
      <c r="D28" s="6">
        <v>1</v>
      </c>
      <c r="E28" s="5">
        <v>20000</v>
      </c>
      <c r="F28" t="s">
        <v>80</v>
      </c>
      <c r="G28" s="7">
        <v>46148</v>
      </c>
      <c r="H28" s="5">
        <v>0</v>
      </c>
      <c r="I2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8" t="b">
        <f>((ISNUMBER(Table3[[#This Row],[Quantity]]) )* (Table3[[#This Row],[Quantity]]&gt;0))=1</f>
        <v>1</v>
      </c>
      <c r="K28" t="b">
        <f>((Table3[[#This Row],[Quantity]]&gt;=Table3[[#This Row],[Return Qty]])*(ISNUMBER(Table3[[#This Row],[Quantity]])))=1</f>
        <v>1</v>
      </c>
      <c r="L28" t="b">
        <f>ISNUMBER(Table3[[#This Row],[Unit Price]])</f>
        <v>1</v>
      </c>
      <c r="M28" t="b">
        <f>ISNUMBER(Table3[[#This Row],[Order Date]])</f>
        <v>1</v>
      </c>
      <c r="N28">
        <f>IFERROR(IF(Table3[[#This Row],[Quantity]]*Table3[[#This Row],[Unit Price]]&lt;0, "N/A", Table3[[#This Row],[Quantity]]*Table3[[#This Row],[Unit Price]]), "N/A")</f>
        <v>20000</v>
      </c>
      <c r="O28">
        <f>IFERROR(Table3[[#This Row],[Unit Price]]*Table3[[#This Row],[Return Qty]], "N/A")</f>
        <v>0</v>
      </c>
      <c r="P28">
        <f>IFERROR(IF((Table3[[#This Row],[Revenue before return]]-Table3[[#This Row],[Amount of order  returned]])&lt;0, "N/A", Table3[[#This Row],[Revenue before return]]-Table3[[#This Row],[Amount of order  returned]]), "N/A")</f>
        <v>20000</v>
      </c>
      <c r="Q2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9" spans="1:17" x14ac:dyDescent="0.2">
      <c r="A29" t="s">
        <v>81</v>
      </c>
      <c r="B29" t="s">
        <v>25</v>
      </c>
      <c r="C29" t="s">
        <v>45</v>
      </c>
      <c r="D29" s="6">
        <v>11</v>
      </c>
      <c r="E29" s="5">
        <v>20000</v>
      </c>
      <c r="F29" t="s">
        <v>82</v>
      </c>
      <c r="G29" s="7">
        <v>46067</v>
      </c>
      <c r="H29" s="5">
        <v>4</v>
      </c>
      <c r="I2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9" t="b">
        <f>((ISNUMBER(Table3[[#This Row],[Quantity]]) )* (Table3[[#This Row],[Quantity]]&gt;0))=1</f>
        <v>1</v>
      </c>
      <c r="K29" t="b">
        <f>((Table3[[#This Row],[Quantity]]&gt;=Table3[[#This Row],[Return Qty]])*(ISNUMBER(Table3[[#This Row],[Quantity]])))=1</f>
        <v>1</v>
      </c>
      <c r="L29" t="b">
        <f>ISNUMBER(Table3[[#This Row],[Unit Price]])</f>
        <v>1</v>
      </c>
      <c r="M29" t="b">
        <f>ISNUMBER(Table3[[#This Row],[Order Date]])</f>
        <v>1</v>
      </c>
      <c r="N29">
        <f>IFERROR(IF(Table3[[#This Row],[Quantity]]*Table3[[#This Row],[Unit Price]]&lt;0, "N/A", Table3[[#This Row],[Quantity]]*Table3[[#This Row],[Unit Price]]), "N/A")</f>
        <v>220000</v>
      </c>
      <c r="O29">
        <f>IFERROR(Table3[[#This Row],[Unit Price]]*Table3[[#This Row],[Return Qty]], "N/A")</f>
        <v>80000</v>
      </c>
      <c r="P29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2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0" spans="1:17" x14ac:dyDescent="0.2">
      <c r="A30" t="s">
        <v>83</v>
      </c>
      <c r="B30" t="s">
        <v>21</v>
      </c>
      <c r="C30" t="s">
        <v>32</v>
      </c>
      <c r="D30" s="6">
        <v>19</v>
      </c>
      <c r="E30" s="5">
        <v>8000</v>
      </c>
      <c r="F30" t="s">
        <v>84</v>
      </c>
      <c r="G30" s="7">
        <v>46055</v>
      </c>
      <c r="H30" s="5">
        <v>0</v>
      </c>
      <c r="I3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0" t="b">
        <f>((ISNUMBER(Table3[[#This Row],[Quantity]]) )* (Table3[[#This Row],[Quantity]]&gt;0))=1</f>
        <v>1</v>
      </c>
      <c r="K30" t="b">
        <f>((Table3[[#This Row],[Quantity]]&gt;=Table3[[#This Row],[Return Qty]])*(ISNUMBER(Table3[[#This Row],[Quantity]])))=1</f>
        <v>1</v>
      </c>
      <c r="L30" t="b">
        <f>ISNUMBER(Table3[[#This Row],[Unit Price]])</f>
        <v>1</v>
      </c>
      <c r="M30" t="b">
        <f>ISNUMBER(Table3[[#This Row],[Order Date]])</f>
        <v>1</v>
      </c>
      <c r="N30">
        <f>IFERROR(IF(Table3[[#This Row],[Quantity]]*Table3[[#This Row],[Unit Price]]&lt;0, "N/A", Table3[[#This Row],[Quantity]]*Table3[[#This Row],[Unit Price]]), "N/A")</f>
        <v>152000</v>
      </c>
      <c r="O30">
        <f>IFERROR(Table3[[#This Row],[Unit Price]]*Table3[[#This Row],[Return Qty]], "N/A")</f>
        <v>0</v>
      </c>
      <c r="P30">
        <f>IFERROR(IF((Table3[[#This Row],[Revenue before return]]-Table3[[#This Row],[Amount of order  returned]])&lt;0, "N/A", Table3[[#This Row],[Revenue before return]]-Table3[[#This Row],[Amount of order  returned]]), "N/A")</f>
        <v>152000</v>
      </c>
      <c r="Q3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1" spans="1:17" x14ac:dyDescent="0.2">
      <c r="A31" t="s">
        <v>85</v>
      </c>
      <c r="B31" t="s">
        <v>14</v>
      </c>
      <c r="C31" t="s">
        <v>18</v>
      </c>
      <c r="D31" s="6">
        <v>1</v>
      </c>
      <c r="E31" s="5">
        <v>50000</v>
      </c>
      <c r="F31" t="s">
        <v>86</v>
      </c>
      <c r="G31" s="7">
        <v>46031</v>
      </c>
      <c r="H31" s="5">
        <v>0</v>
      </c>
      <c r="I3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1" t="b">
        <f>((ISNUMBER(Table3[[#This Row],[Quantity]]) )* (Table3[[#This Row],[Quantity]]&gt;0))=1</f>
        <v>1</v>
      </c>
      <c r="K31" t="b">
        <f>((Table3[[#This Row],[Quantity]]&gt;=Table3[[#This Row],[Return Qty]])*(ISNUMBER(Table3[[#This Row],[Quantity]])))=1</f>
        <v>1</v>
      </c>
      <c r="L31" t="b">
        <f>ISNUMBER(Table3[[#This Row],[Unit Price]])</f>
        <v>1</v>
      </c>
      <c r="M31" t="b">
        <f>ISNUMBER(Table3[[#This Row],[Order Date]])</f>
        <v>1</v>
      </c>
      <c r="N31">
        <f>IFERROR(IF(Table3[[#This Row],[Quantity]]*Table3[[#This Row],[Unit Price]]&lt;0, "N/A", Table3[[#This Row],[Quantity]]*Table3[[#This Row],[Unit Price]]), "N/A")</f>
        <v>50000</v>
      </c>
      <c r="O31">
        <f>IFERROR(Table3[[#This Row],[Unit Price]]*Table3[[#This Row],[Return Qty]], "N/A")</f>
        <v>0</v>
      </c>
      <c r="P31">
        <f>IFERROR(IF((Table3[[#This Row],[Revenue before return]]-Table3[[#This Row],[Amount of order  returned]])&lt;0, "N/A", Table3[[#This Row],[Revenue before return]]-Table3[[#This Row],[Amount of order  returned]]), "N/A")</f>
        <v>50000</v>
      </c>
      <c r="Q3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2" spans="1:17" x14ac:dyDescent="0.2">
      <c r="A32" t="s">
        <v>87</v>
      </c>
      <c r="B32" t="s">
        <v>14</v>
      </c>
      <c r="C32" t="s">
        <v>18</v>
      </c>
      <c r="D32" s="6">
        <v>12</v>
      </c>
      <c r="E32" s="5">
        <v>50000</v>
      </c>
      <c r="F32" t="s">
        <v>88</v>
      </c>
      <c r="G32" s="7">
        <v>46105</v>
      </c>
      <c r="H32" s="5">
        <v>0</v>
      </c>
      <c r="I3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2" t="b">
        <f>((ISNUMBER(Table3[[#This Row],[Quantity]]) )* (Table3[[#This Row],[Quantity]]&gt;0))=1</f>
        <v>1</v>
      </c>
      <c r="K32" t="b">
        <f>((Table3[[#This Row],[Quantity]]&gt;=Table3[[#This Row],[Return Qty]])*(ISNUMBER(Table3[[#This Row],[Quantity]])))=1</f>
        <v>1</v>
      </c>
      <c r="L32" t="b">
        <f>ISNUMBER(Table3[[#This Row],[Unit Price]])</f>
        <v>1</v>
      </c>
      <c r="M32" t="b">
        <f>ISNUMBER(Table3[[#This Row],[Order Date]])</f>
        <v>1</v>
      </c>
      <c r="N32">
        <f>IFERROR(IF(Table3[[#This Row],[Quantity]]*Table3[[#This Row],[Unit Price]]&lt;0, "N/A", Table3[[#This Row],[Quantity]]*Table3[[#This Row],[Unit Price]]), "N/A")</f>
        <v>600000</v>
      </c>
      <c r="O32">
        <f>IFERROR(Table3[[#This Row],[Unit Price]]*Table3[[#This Row],[Return Qty]], "N/A")</f>
        <v>0</v>
      </c>
      <c r="P32">
        <f>IFERROR(IF((Table3[[#This Row],[Revenue before return]]-Table3[[#This Row],[Amount of order  returned]])&lt;0, "N/A", Table3[[#This Row],[Revenue before return]]-Table3[[#This Row],[Amount of order  returned]]), "N/A")</f>
        <v>600000</v>
      </c>
      <c r="Q3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3" spans="1:17" x14ac:dyDescent="0.2">
      <c r="A33" t="s">
        <v>89</v>
      </c>
      <c r="B33" t="s">
        <v>25</v>
      </c>
      <c r="C33" t="s">
        <v>45</v>
      </c>
      <c r="D33" s="6">
        <v>11</v>
      </c>
      <c r="E33" s="5">
        <v>20000</v>
      </c>
      <c r="F33" t="s">
        <v>90</v>
      </c>
      <c r="G33" s="7">
        <v>46091</v>
      </c>
      <c r="H33" s="5">
        <v>0</v>
      </c>
      <c r="I3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3" t="b">
        <f>((ISNUMBER(Table3[[#This Row],[Quantity]]) )* (Table3[[#This Row],[Quantity]]&gt;0))=1</f>
        <v>1</v>
      </c>
      <c r="K33" t="b">
        <f>((Table3[[#This Row],[Quantity]]&gt;=Table3[[#This Row],[Return Qty]])*(ISNUMBER(Table3[[#This Row],[Quantity]])))=1</f>
        <v>1</v>
      </c>
      <c r="L33" t="b">
        <f>ISNUMBER(Table3[[#This Row],[Unit Price]])</f>
        <v>1</v>
      </c>
      <c r="M33" t="b">
        <f>ISNUMBER(Table3[[#This Row],[Order Date]])</f>
        <v>1</v>
      </c>
      <c r="N33">
        <f>IFERROR(IF(Table3[[#This Row],[Quantity]]*Table3[[#This Row],[Unit Price]]&lt;0, "N/A", Table3[[#This Row],[Quantity]]*Table3[[#This Row],[Unit Price]]), "N/A")</f>
        <v>220000</v>
      </c>
      <c r="O33">
        <f>IFERROR(Table3[[#This Row],[Unit Price]]*Table3[[#This Row],[Return Qty]], "N/A")</f>
        <v>0</v>
      </c>
      <c r="P33">
        <f>IFERROR(IF((Table3[[#This Row],[Revenue before return]]-Table3[[#This Row],[Amount of order  returned]])&lt;0, "N/A", Table3[[#This Row],[Revenue before return]]-Table3[[#This Row],[Amount of order  returned]]), "N/A")</f>
        <v>220000</v>
      </c>
      <c r="Q3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4" spans="1:17" x14ac:dyDescent="0.2">
      <c r="A34" t="s">
        <v>91</v>
      </c>
      <c r="B34" t="s">
        <v>9</v>
      </c>
      <c r="C34" t="s">
        <v>10</v>
      </c>
      <c r="D34" s="6">
        <v>24</v>
      </c>
      <c r="E34" s="5">
        <v>15000</v>
      </c>
      <c r="F34" t="s">
        <v>92</v>
      </c>
      <c r="G34" s="7">
        <v>46043</v>
      </c>
      <c r="H34" s="5">
        <v>3</v>
      </c>
      <c r="I3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4" t="b">
        <f>((ISNUMBER(Table3[[#This Row],[Quantity]]) )* (Table3[[#This Row],[Quantity]]&gt;0))=1</f>
        <v>1</v>
      </c>
      <c r="K34" t="b">
        <f>((Table3[[#This Row],[Quantity]]&gt;=Table3[[#This Row],[Return Qty]])*(ISNUMBER(Table3[[#This Row],[Quantity]])))=1</f>
        <v>1</v>
      </c>
      <c r="L34" t="b">
        <f>ISNUMBER(Table3[[#This Row],[Unit Price]])</f>
        <v>1</v>
      </c>
      <c r="M34" t="b">
        <f>ISNUMBER(Table3[[#This Row],[Order Date]])</f>
        <v>1</v>
      </c>
      <c r="N34">
        <f>IFERROR(IF(Table3[[#This Row],[Quantity]]*Table3[[#This Row],[Unit Price]]&lt;0, "N/A", Table3[[#This Row],[Quantity]]*Table3[[#This Row],[Unit Price]]), "N/A")</f>
        <v>360000</v>
      </c>
      <c r="O34">
        <f>IFERROR(Table3[[#This Row],[Unit Price]]*Table3[[#This Row],[Return Qty]], "N/A")</f>
        <v>45000</v>
      </c>
      <c r="P34">
        <f>IFERROR(IF((Table3[[#This Row],[Revenue before return]]-Table3[[#This Row],[Amount of order  returned]])&lt;0, "N/A", Table3[[#This Row],[Revenue before return]]-Table3[[#This Row],[Amount of order  returned]]), "N/A")</f>
        <v>315000</v>
      </c>
      <c r="Q3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5" spans="1:17" x14ac:dyDescent="0.2">
      <c r="A35" t="s">
        <v>93</v>
      </c>
      <c r="B35" t="s">
        <v>9</v>
      </c>
      <c r="C35" t="s">
        <v>22</v>
      </c>
      <c r="D35" s="6">
        <v>20</v>
      </c>
      <c r="E35" s="5">
        <v>35000</v>
      </c>
      <c r="F35" t="s">
        <v>37</v>
      </c>
      <c r="G35" s="7">
        <v>46070</v>
      </c>
      <c r="H35" s="5">
        <v>0</v>
      </c>
      <c r="I3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5" t="b">
        <f>((ISNUMBER(Table3[[#This Row],[Quantity]]) )* (Table3[[#This Row],[Quantity]]&gt;0))=1</f>
        <v>1</v>
      </c>
      <c r="K35" t="b">
        <f>((Table3[[#This Row],[Quantity]]&gt;=Table3[[#This Row],[Return Qty]])*(ISNUMBER(Table3[[#This Row],[Quantity]])))=1</f>
        <v>1</v>
      </c>
      <c r="L35" t="b">
        <f>ISNUMBER(Table3[[#This Row],[Unit Price]])</f>
        <v>1</v>
      </c>
      <c r="M35" t="b">
        <f>ISNUMBER(Table3[[#This Row],[Order Date]])</f>
        <v>1</v>
      </c>
      <c r="N35">
        <f>IFERROR(IF(Table3[[#This Row],[Quantity]]*Table3[[#This Row],[Unit Price]]&lt;0, "N/A", Table3[[#This Row],[Quantity]]*Table3[[#This Row],[Unit Price]]), "N/A")</f>
        <v>700000</v>
      </c>
      <c r="O35">
        <f>IFERROR(Table3[[#This Row],[Unit Price]]*Table3[[#This Row],[Return Qty]], "N/A")</f>
        <v>0</v>
      </c>
      <c r="P35">
        <f>IFERROR(IF((Table3[[#This Row],[Revenue before return]]-Table3[[#This Row],[Amount of order  returned]])&lt;0, "N/A", Table3[[#This Row],[Revenue before return]]-Table3[[#This Row],[Amount of order  returned]]), "N/A")</f>
        <v>700000</v>
      </c>
      <c r="Q3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6" spans="1:17" x14ac:dyDescent="0.2">
      <c r="A36" t="s">
        <v>94</v>
      </c>
      <c r="B36" t="s">
        <v>9</v>
      </c>
      <c r="C36" t="s">
        <v>32</v>
      </c>
      <c r="D36" s="6">
        <v>12</v>
      </c>
      <c r="E36" s="5">
        <v>8000</v>
      </c>
      <c r="F36" t="s">
        <v>95</v>
      </c>
      <c r="G36" s="7">
        <v>46108</v>
      </c>
      <c r="H36" s="5">
        <v>0</v>
      </c>
      <c r="I3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6" t="b">
        <f>((ISNUMBER(Table3[[#This Row],[Quantity]]) )* (Table3[[#This Row],[Quantity]]&gt;0))=1</f>
        <v>1</v>
      </c>
      <c r="K36" t="b">
        <f>((Table3[[#This Row],[Quantity]]&gt;=Table3[[#This Row],[Return Qty]])*(ISNUMBER(Table3[[#This Row],[Quantity]])))=1</f>
        <v>1</v>
      </c>
      <c r="L36" t="b">
        <f>ISNUMBER(Table3[[#This Row],[Unit Price]])</f>
        <v>1</v>
      </c>
      <c r="M36" t="b">
        <f>ISNUMBER(Table3[[#This Row],[Order Date]])</f>
        <v>1</v>
      </c>
      <c r="N36">
        <f>IFERROR(IF(Table3[[#This Row],[Quantity]]*Table3[[#This Row],[Unit Price]]&lt;0, "N/A", Table3[[#This Row],[Quantity]]*Table3[[#This Row],[Unit Price]]), "N/A")</f>
        <v>96000</v>
      </c>
      <c r="O36">
        <f>IFERROR(Table3[[#This Row],[Unit Price]]*Table3[[#This Row],[Return Qty]], "N/A")</f>
        <v>0</v>
      </c>
      <c r="P36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3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7" spans="1:17" x14ac:dyDescent="0.2">
      <c r="A37" t="s">
        <v>96</v>
      </c>
      <c r="B37" t="s">
        <v>25</v>
      </c>
      <c r="C37" t="s">
        <v>32</v>
      </c>
      <c r="D37" s="6">
        <v>4</v>
      </c>
      <c r="E37" s="5">
        <v>8000</v>
      </c>
      <c r="F37" t="s">
        <v>97</v>
      </c>
      <c r="G37" s="7">
        <v>46159</v>
      </c>
      <c r="H37" s="5">
        <v>0</v>
      </c>
      <c r="I3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7" t="b">
        <f>((ISNUMBER(Table3[[#This Row],[Quantity]]) )* (Table3[[#This Row],[Quantity]]&gt;0))=1</f>
        <v>1</v>
      </c>
      <c r="K37" t="b">
        <f>((Table3[[#This Row],[Quantity]]&gt;=Table3[[#This Row],[Return Qty]])*(ISNUMBER(Table3[[#This Row],[Quantity]])))=1</f>
        <v>1</v>
      </c>
      <c r="L37" t="b">
        <f>ISNUMBER(Table3[[#This Row],[Unit Price]])</f>
        <v>1</v>
      </c>
      <c r="M37" t="b">
        <f>ISNUMBER(Table3[[#This Row],[Order Date]])</f>
        <v>1</v>
      </c>
      <c r="N37">
        <f>IFERROR(IF(Table3[[#This Row],[Quantity]]*Table3[[#This Row],[Unit Price]]&lt;0, "N/A", Table3[[#This Row],[Quantity]]*Table3[[#This Row],[Unit Price]]), "N/A")</f>
        <v>32000</v>
      </c>
      <c r="O37">
        <f>IFERROR(Table3[[#This Row],[Unit Price]]*Table3[[#This Row],[Return Qty]], "N/A")</f>
        <v>0</v>
      </c>
      <c r="P37">
        <f>IFERROR(IF((Table3[[#This Row],[Revenue before return]]-Table3[[#This Row],[Amount of order  returned]])&lt;0, "N/A", Table3[[#This Row],[Revenue before return]]-Table3[[#This Row],[Amount of order  returned]]), "N/A")</f>
        <v>32000</v>
      </c>
      <c r="Q3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8" spans="1:17" x14ac:dyDescent="0.2">
      <c r="A38" t="s">
        <v>98</v>
      </c>
      <c r="B38" t="s">
        <v>21</v>
      </c>
      <c r="C38" t="s">
        <v>32</v>
      </c>
      <c r="D38" s="6">
        <v>12</v>
      </c>
      <c r="E38" s="5">
        <v>8000</v>
      </c>
      <c r="F38" t="s">
        <v>99</v>
      </c>
      <c r="G38" s="7">
        <v>46110</v>
      </c>
      <c r="H38" s="5">
        <v>0</v>
      </c>
      <c r="I3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8" t="b">
        <f>((ISNUMBER(Table3[[#This Row],[Quantity]]) )* (Table3[[#This Row],[Quantity]]&gt;0))=1</f>
        <v>1</v>
      </c>
      <c r="K38" t="b">
        <f>((Table3[[#This Row],[Quantity]]&gt;=Table3[[#This Row],[Return Qty]])*(ISNUMBER(Table3[[#This Row],[Quantity]])))=1</f>
        <v>1</v>
      </c>
      <c r="L38" t="b">
        <f>ISNUMBER(Table3[[#This Row],[Unit Price]])</f>
        <v>1</v>
      </c>
      <c r="M38" t="b">
        <f>ISNUMBER(Table3[[#This Row],[Order Date]])</f>
        <v>1</v>
      </c>
      <c r="N38">
        <f>IFERROR(IF(Table3[[#This Row],[Quantity]]*Table3[[#This Row],[Unit Price]]&lt;0, "N/A", Table3[[#This Row],[Quantity]]*Table3[[#This Row],[Unit Price]]), "N/A")</f>
        <v>96000</v>
      </c>
      <c r="O38">
        <f>IFERROR(Table3[[#This Row],[Unit Price]]*Table3[[#This Row],[Return Qty]], "N/A")</f>
        <v>0</v>
      </c>
      <c r="P38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3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9" spans="1:17" x14ac:dyDescent="0.2">
      <c r="A39" t="s">
        <v>100</v>
      </c>
      <c r="B39" t="s">
        <v>9</v>
      </c>
      <c r="C39" t="s">
        <v>32</v>
      </c>
      <c r="D39" s="6">
        <v>-6</v>
      </c>
      <c r="E39" s="5">
        <v>8000</v>
      </c>
      <c r="F39" t="s">
        <v>101</v>
      </c>
      <c r="G39" s="7">
        <v>46139</v>
      </c>
      <c r="H39" s="5">
        <v>0</v>
      </c>
      <c r="I3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9" t="b">
        <f>((ISNUMBER(Table3[[#This Row],[Quantity]]) )* (Table3[[#This Row],[Quantity]]&gt;0))=1</f>
        <v>0</v>
      </c>
      <c r="K39" t="b">
        <f>((Table3[[#This Row],[Quantity]]&gt;=Table3[[#This Row],[Return Qty]])*(ISNUMBER(Table3[[#This Row],[Quantity]])))=1</f>
        <v>0</v>
      </c>
      <c r="L39" t="b">
        <f>ISNUMBER(Table3[[#This Row],[Unit Price]])</f>
        <v>1</v>
      </c>
      <c r="M39" t="b">
        <f>ISNUMBER(Table3[[#This Row],[Order Date]])</f>
        <v>1</v>
      </c>
      <c r="N39" t="str">
        <f>IFERROR(IF(Table3[[#This Row],[Quantity]]*Table3[[#This Row],[Unit Price]]&lt;0, "N/A", Table3[[#This Row],[Quantity]]*Table3[[#This Row],[Unit Price]]), "N/A")</f>
        <v>N/A</v>
      </c>
      <c r="O39">
        <f>IFERROR(Table3[[#This Row],[Unit Price]]*Table3[[#This Row],[Return Qty]], "N/A")</f>
        <v>0</v>
      </c>
      <c r="P39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3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0" spans="1:17" x14ac:dyDescent="0.2">
      <c r="A40" t="s">
        <v>102</v>
      </c>
      <c r="B40" t="s">
        <v>25</v>
      </c>
      <c r="C40" t="s">
        <v>70</v>
      </c>
      <c r="D40" s="6">
        <v>22</v>
      </c>
      <c r="E40" s="5">
        <v>28000</v>
      </c>
      <c r="F40" t="s">
        <v>103</v>
      </c>
      <c r="G40" s="7">
        <v>46080</v>
      </c>
      <c r="H40" s="5">
        <v>0</v>
      </c>
      <c r="I4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0" t="b">
        <f>((ISNUMBER(Table3[[#This Row],[Quantity]]) )* (Table3[[#This Row],[Quantity]]&gt;0))=1</f>
        <v>1</v>
      </c>
      <c r="K40" t="b">
        <f>((Table3[[#This Row],[Quantity]]&gt;=Table3[[#This Row],[Return Qty]])*(ISNUMBER(Table3[[#This Row],[Quantity]])))=1</f>
        <v>1</v>
      </c>
      <c r="L40" t="b">
        <f>ISNUMBER(Table3[[#This Row],[Unit Price]])</f>
        <v>1</v>
      </c>
      <c r="M40" t="b">
        <f>ISNUMBER(Table3[[#This Row],[Order Date]])</f>
        <v>1</v>
      </c>
      <c r="N40">
        <f>IFERROR(IF(Table3[[#This Row],[Quantity]]*Table3[[#This Row],[Unit Price]]&lt;0, "N/A", Table3[[#This Row],[Quantity]]*Table3[[#This Row],[Unit Price]]), "N/A")</f>
        <v>616000</v>
      </c>
      <c r="O40">
        <f>IFERROR(Table3[[#This Row],[Unit Price]]*Table3[[#This Row],[Return Qty]], "N/A")</f>
        <v>0</v>
      </c>
      <c r="P40">
        <f>IFERROR(IF((Table3[[#This Row],[Revenue before return]]-Table3[[#This Row],[Amount of order  returned]])&lt;0, "N/A", Table3[[#This Row],[Revenue before return]]-Table3[[#This Row],[Amount of order  returned]]), "N/A")</f>
        <v>616000</v>
      </c>
      <c r="Q4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1" spans="1:17" x14ac:dyDescent="0.2">
      <c r="A41" t="s">
        <v>104</v>
      </c>
      <c r="B41" t="s">
        <v>9</v>
      </c>
      <c r="C41" t="s">
        <v>32</v>
      </c>
      <c r="D41" s="6">
        <v>18</v>
      </c>
      <c r="E41" s="5">
        <v>8000</v>
      </c>
      <c r="F41" t="s">
        <v>106</v>
      </c>
      <c r="G41" s="7">
        <v>46136</v>
      </c>
      <c r="H41" s="5">
        <v>0</v>
      </c>
      <c r="I4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1" t="b">
        <f>((ISNUMBER(Table3[[#This Row],[Quantity]]) )* (Table3[[#This Row],[Quantity]]&gt;0))=1</f>
        <v>1</v>
      </c>
      <c r="K41" t="b">
        <f>((Table3[[#This Row],[Quantity]]&gt;=Table3[[#This Row],[Return Qty]])*(ISNUMBER(Table3[[#This Row],[Quantity]])))=1</f>
        <v>1</v>
      </c>
      <c r="L41" t="b">
        <f>ISNUMBER(Table3[[#This Row],[Unit Price]])</f>
        <v>1</v>
      </c>
      <c r="M41" t="b">
        <f>ISNUMBER(Table3[[#This Row],[Order Date]])</f>
        <v>1</v>
      </c>
      <c r="N41">
        <f>IFERROR(IF(Table3[[#This Row],[Quantity]]*Table3[[#This Row],[Unit Price]]&lt;0, "N/A", Table3[[#This Row],[Quantity]]*Table3[[#This Row],[Unit Price]]), "N/A")</f>
        <v>144000</v>
      </c>
      <c r="O41">
        <f>IFERROR(Table3[[#This Row],[Unit Price]]*Table3[[#This Row],[Return Qty]], "N/A")</f>
        <v>0</v>
      </c>
      <c r="P41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4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2" spans="1:17" x14ac:dyDescent="0.2">
      <c r="A42" t="s">
        <v>107</v>
      </c>
      <c r="B42" t="s">
        <v>25</v>
      </c>
      <c r="C42" t="s">
        <v>26</v>
      </c>
      <c r="D42" s="6">
        <v>2</v>
      </c>
      <c r="E42" s="5">
        <v>20000</v>
      </c>
      <c r="F42" t="s">
        <v>108</v>
      </c>
      <c r="G42" s="7">
        <v>46136</v>
      </c>
      <c r="H42" s="5">
        <v>0</v>
      </c>
      <c r="I4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2" t="b">
        <f>((ISNUMBER(Table3[[#This Row],[Quantity]]) )* (Table3[[#This Row],[Quantity]]&gt;0))=1</f>
        <v>1</v>
      </c>
      <c r="K42" t="b">
        <f>((Table3[[#This Row],[Quantity]]&gt;=Table3[[#This Row],[Return Qty]])*(ISNUMBER(Table3[[#This Row],[Quantity]])))=1</f>
        <v>1</v>
      </c>
      <c r="L42" t="b">
        <f>ISNUMBER(Table3[[#This Row],[Unit Price]])</f>
        <v>1</v>
      </c>
      <c r="M42" t="b">
        <f>ISNUMBER(Table3[[#This Row],[Order Date]])</f>
        <v>1</v>
      </c>
      <c r="N42">
        <f>IFERROR(IF(Table3[[#This Row],[Quantity]]*Table3[[#This Row],[Unit Price]]&lt;0, "N/A", Table3[[#This Row],[Quantity]]*Table3[[#This Row],[Unit Price]]), "N/A")</f>
        <v>40000</v>
      </c>
      <c r="O42">
        <f>IFERROR(Table3[[#This Row],[Unit Price]]*Table3[[#This Row],[Return Qty]], "N/A")</f>
        <v>0</v>
      </c>
      <c r="P42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4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3" spans="1:17" x14ac:dyDescent="0.2">
      <c r="A43" t="s">
        <v>109</v>
      </c>
      <c r="B43" t="s">
        <v>21</v>
      </c>
      <c r="C43" t="s">
        <v>22</v>
      </c>
      <c r="D43" s="6">
        <v>6</v>
      </c>
      <c r="E43" s="5">
        <v>35000</v>
      </c>
      <c r="F43" t="s">
        <v>110</v>
      </c>
      <c r="G43" s="7">
        <v>46119</v>
      </c>
      <c r="H43" s="5">
        <v>0</v>
      </c>
      <c r="I4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3" t="b">
        <f>((ISNUMBER(Table3[[#This Row],[Quantity]]) )* (Table3[[#This Row],[Quantity]]&gt;0))=1</f>
        <v>1</v>
      </c>
      <c r="K43" t="b">
        <f>((Table3[[#This Row],[Quantity]]&gt;=Table3[[#This Row],[Return Qty]])*(ISNUMBER(Table3[[#This Row],[Quantity]])))=1</f>
        <v>1</v>
      </c>
      <c r="L43" t="b">
        <f>ISNUMBER(Table3[[#This Row],[Unit Price]])</f>
        <v>1</v>
      </c>
      <c r="M43" t="b">
        <f>ISNUMBER(Table3[[#This Row],[Order Date]])</f>
        <v>1</v>
      </c>
      <c r="N43">
        <f>IFERROR(IF(Table3[[#This Row],[Quantity]]*Table3[[#This Row],[Unit Price]]&lt;0, "N/A", Table3[[#This Row],[Quantity]]*Table3[[#This Row],[Unit Price]]), "N/A")</f>
        <v>210000</v>
      </c>
      <c r="O43">
        <f>IFERROR(Table3[[#This Row],[Unit Price]]*Table3[[#This Row],[Return Qty]], "N/A")</f>
        <v>0</v>
      </c>
      <c r="P43">
        <f>IFERROR(IF((Table3[[#This Row],[Revenue before return]]-Table3[[#This Row],[Amount of order  returned]])&lt;0, "N/A", Table3[[#This Row],[Revenue before return]]-Table3[[#This Row],[Amount of order  returned]]), "N/A")</f>
        <v>210000</v>
      </c>
      <c r="Q4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4" spans="1:17" x14ac:dyDescent="0.2">
      <c r="A44" t="s">
        <v>111</v>
      </c>
      <c r="B44" t="s">
        <v>21</v>
      </c>
      <c r="C44" t="s">
        <v>26</v>
      </c>
      <c r="D44" s="6">
        <v>5</v>
      </c>
      <c r="E44" s="5">
        <v>20000</v>
      </c>
      <c r="F44" t="s">
        <v>113</v>
      </c>
      <c r="G44" s="7" t="s">
        <v>11</v>
      </c>
      <c r="H44" s="5">
        <v>1</v>
      </c>
      <c r="I4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4" t="b">
        <f>((ISNUMBER(Table3[[#This Row],[Quantity]]) )* (Table3[[#This Row],[Quantity]]&gt;0))=1</f>
        <v>1</v>
      </c>
      <c r="K44" t="b">
        <f>((Table3[[#This Row],[Quantity]]&gt;=Table3[[#This Row],[Return Qty]])*(ISNUMBER(Table3[[#This Row],[Quantity]])))=1</f>
        <v>1</v>
      </c>
      <c r="L44" t="b">
        <f>ISNUMBER(Table3[[#This Row],[Unit Price]])</f>
        <v>1</v>
      </c>
      <c r="M44" t="b">
        <f>ISNUMBER(Table3[[#This Row],[Order Date]])</f>
        <v>0</v>
      </c>
      <c r="N44">
        <f>IFERROR(IF(Table3[[#This Row],[Quantity]]*Table3[[#This Row],[Unit Price]]&lt;0, "N/A", Table3[[#This Row],[Quantity]]*Table3[[#This Row],[Unit Price]]), "N/A")</f>
        <v>100000</v>
      </c>
      <c r="O44">
        <f>IFERROR(Table3[[#This Row],[Unit Price]]*Table3[[#This Row],[Return Qty]], "N/A")</f>
        <v>20000</v>
      </c>
      <c r="P44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4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5" spans="1:17" x14ac:dyDescent="0.2">
      <c r="A45" t="s">
        <v>114</v>
      </c>
      <c r="B45" t="s">
        <v>25</v>
      </c>
      <c r="C45" t="s">
        <v>39</v>
      </c>
      <c r="D45" s="6">
        <v>8</v>
      </c>
      <c r="E45" s="5">
        <v>12000</v>
      </c>
      <c r="F45" t="s">
        <v>115</v>
      </c>
      <c r="G45" s="7">
        <v>46177</v>
      </c>
      <c r="H45" s="5">
        <v>0</v>
      </c>
      <c r="I4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5" t="b">
        <f>((ISNUMBER(Table3[[#This Row],[Quantity]]) )* (Table3[[#This Row],[Quantity]]&gt;0))=1</f>
        <v>1</v>
      </c>
      <c r="K45" t="b">
        <f>((Table3[[#This Row],[Quantity]]&gt;=Table3[[#This Row],[Return Qty]])*(ISNUMBER(Table3[[#This Row],[Quantity]])))=1</f>
        <v>1</v>
      </c>
      <c r="L45" t="b">
        <f>ISNUMBER(Table3[[#This Row],[Unit Price]])</f>
        <v>1</v>
      </c>
      <c r="M45" t="b">
        <f>ISNUMBER(Table3[[#This Row],[Order Date]])</f>
        <v>1</v>
      </c>
      <c r="N45">
        <f>IFERROR(IF(Table3[[#This Row],[Quantity]]*Table3[[#This Row],[Unit Price]]&lt;0, "N/A", Table3[[#This Row],[Quantity]]*Table3[[#This Row],[Unit Price]]), "N/A")</f>
        <v>96000</v>
      </c>
      <c r="O45">
        <f>IFERROR(Table3[[#This Row],[Unit Price]]*Table3[[#This Row],[Return Qty]], "N/A")</f>
        <v>0</v>
      </c>
      <c r="P45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4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6" spans="1:17" x14ac:dyDescent="0.2">
      <c r="A46" t="s">
        <v>116</v>
      </c>
      <c r="B46" t="s">
        <v>21</v>
      </c>
      <c r="C46" t="s">
        <v>26</v>
      </c>
      <c r="D46" s="6">
        <v>6</v>
      </c>
      <c r="E46" s="5">
        <v>20000</v>
      </c>
      <c r="F46" t="s">
        <v>117</v>
      </c>
      <c r="G46" s="7">
        <v>46039</v>
      </c>
      <c r="H46" s="5">
        <v>0</v>
      </c>
      <c r="I4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6" t="b">
        <f>((ISNUMBER(Table3[[#This Row],[Quantity]]) )* (Table3[[#This Row],[Quantity]]&gt;0))=1</f>
        <v>1</v>
      </c>
      <c r="K46" t="b">
        <f>((Table3[[#This Row],[Quantity]]&gt;=Table3[[#This Row],[Return Qty]])*(ISNUMBER(Table3[[#This Row],[Quantity]])))=1</f>
        <v>1</v>
      </c>
      <c r="L46" t="b">
        <f>ISNUMBER(Table3[[#This Row],[Unit Price]])</f>
        <v>1</v>
      </c>
      <c r="M46" t="b">
        <f>ISNUMBER(Table3[[#This Row],[Order Date]])</f>
        <v>1</v>
      </c>
      <c r="N46">
        <f>IFERROR(IF(Table3[[#This Row],[Quantity]]*Table3[[#This Row],[Unit Price]]&lt;0, "N/A", Table3[[#This Row],[Quantity]]*Table3[[#This Row],[Unit Price]]), "N/A")</f>
        <v>120000</v>
      </c>
      <c r="O46">
        <f>IFERROR(Table3[[#This Row],[Unit Price]]*Table3[[#This Row],[Return Qty]], "N/A")</f>
        <v>0</v>
      </c>
      <c r="P46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4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7" spans="1:17" x14ac:dyDescent="0.2">
      <c r="A47" t="s">
        <v>118</v>
      </c>
      <c r="B47" t="s">
        <v>21</v>
      </c>
      <c r="C47" t="s">
        <v>10</v>
      </c>
      <c r="D47" s="6">
        <v>23</v>
      </c>
      <c r="E47" s="5">
        <v>15000</v>
      </c>
      <c r="F47" t="s">
        <v>119</v>
      </c>
      <c r="G47" s="7">
        <v>46182</v>
      </c>
      <c r="H47" s="5">
        <v>2</v>
      </c>
      <c r="I4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7" t="b">
        <f>((ISNUMBER(Table3[[#This Row],[Quantity]]) )* (Table3[[#This Row],[Quantity]]&gt;0))=1</f>
        <v>1</v>
      </c>
      <c r="K47" t="b">
        <f>((Table3[[#This Row],[Quantity]]&gt;=Table3[[#This Row],[Return Qty]])*(ISNUMBER(Table3[[#This Row],[Quantity]])))=1</f>
        <v>1</v>
      </c>
      <c r="L47" t="b">
        <f>ISNUMBER(Table3[[#This Row],[Unit Price]])</f>
        <v>1</v>
      </c>
      <c r="M47" t="b">
        <f>ISNUMBER(Table3[[#This Row],[Order Date]])</f>
        <v>1</v>
      </c>
      <c r="N47">
        <f>IFERROR(IF(Table3[[#This Row],[Quantity]]*Table3[[#This Row],[Unit Price]]&lt;0, "N/A", Table3[[#This Row],[Quantity]]*Table3[[#This Row],[Unit Price]]), "N/A")</f>
        <v>345000</v>
      </c>
      <c r="O47">
        <f>IFERROR(Table3[[#This Row],[Unit Price]]*Table3[[#This Row],[Return Qty]], "N/A")</f>
        <v>30000</v>
      </c>
      <c r="P47">
        <f>IFERROR(IF((Table3[[#This Row],[Revenue before return]]-Table3[[#This Row],[Amount of order  returned]])&lt;0, "N/A", Table3[[#This Row],[Revenue before return]]-Table3[[#This Row],[Amount of order  returned]]), "N/A")</f>
        <v>315000</v>
      </c>
      <c r="Q4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8" spans="1:17" x14ac:dyDescent="0.2">
      <c r="A48" t="s">
        <v>120</v>
      </c>
      <c r="B48" t="s">
        <v>21</v>
      </c>
      <c r="C48" t="s">
        <v>26</v>
      </c>
      <c r="D48" s="6" t="s">
        <v>11</v>
      </c>
      <c r="E48" s="5">
        <v>20000</v>
      </c>
      <c r="F48" t="s">
        <v>121</v>
      </c>
      <c r="G48" s="7">
        <v>46189</v>
      </c>
      <c r="H48" s="5">
        <v>0</v>
      </c>
      <c r="I4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8" t="b">
        <f>((ISNUMBER(Table3[[#This Row],[Quantity]]) )* (Table3[[#This Row],[Quantity]]&gt;0))=1</f>
        <v>0</v>
      </c>
      <c r="K48" t="b">
        <f>((Table3[[#This Row],[Quantity]]&gt;=Table3[[#This Row],[Return Qty]])*(ISNUMBER(Table3[[#This Row],[Quantity]])))=1</f>
        <v>0</v>
      </c>
      <c r="L48" t="b">
        <f>ISNUMBER(Table3[[#This Row],[Unit Price]])</f>
        <v>1</v>
      </c>
      <c r="M48" t="b">
        <f>ISNUMBER(Table3[[#This Row],[Order Date]])</f>
        <v>1</v>
      </c>
      <c r="N48" t="str">
        <f>IFERROR(IF(Table3[[#This Row],[Quantity]]*Table3[[#This Row],[Unit Price]]&lt;0, "N/A", Table3[[#This Row],[Quantity]]*Table3[[#This Row],[Unit Price]]), "N/A")</f>
        <v>N/A</v>
      </c>
      <c r="O48">
        <f>IFERROR(Table3[[#This Row],[Unit Price]]*Table3[[#This Row],[Return Qty]], "N/A")</f>
        <v>0</v>
      </c>
      <c r="P48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4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9" spans="1:17" x14ac:dyDescent="0.2">
      <c r="A49" t="s">
        <v>122</v>
      </c>
      <c r="B49" t="s">
        <v>25</v>
      </c>
      <c r="C49" t="s">
        <v>39</v>
      </c>
      <c r="D49" s="6">
        <v>5</v>
      </c>
      <c r="E49" s="5">
        <v>12000</v>
      </c>
      <c r="F49" t="s">
        <v>123</v>
      </c>
      <c r="G49" s="7">
        <v>46172</v>
      </c>
      <c r="H49" s="5">
        <v>0</v>
      </c>
      <c r="I4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9" t="b">
        <f>((ISNUMBER(Table3[[#This Row],[Quantity]]) )* (Table3[[#This Row],[Quantity]]&gt;0))=1</f>
        <v>1</v>
      </c>
      <c r="K49" t="b">
        <f>((Table3[[#This Row],[Quantity]]&gt;=Table3[[#This Row],[Return Qty]])*(ISNUMBER(Table3[[#This Row],[Quantity]])))=1</f>
        <v>1</v>
      </c>
      <c r="L49" t="b">
        <f>ISNUMBER(Table3[[#This Row],[Unit Price]])</f>
        <v>1</v>
      </c>
      <c r="M49" t="b">
        <f>ISNUMBER(Table3[[#This Row],[Order Date]])</f>
        <v>1</v>
      </c>
      <c r="N49">
        <f>IFERROR(IF(Table3[[#This Row],[Quantity]]*Table3[[#This Row],[Unit Price]]&lt;0, "N/A", Table3[[#This Row],[Quantity]]*Table3[[#This Row],[Unit Price]]), "N/A")</f>
        <v>60000</v>
      </c>
      <c r="O49">
        <f>IFERROR(Table3[[#This Row],[Unit Price]]*Table3[[#This Row],[Return Qty]], "N/A")</f>
        <v>0</v>
      </c>
      <c r="P49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4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0" spans="1:17" x14ac:dyDescent="0.2">
      <c r="A50" t="s">
        <v>124</v>
      </c>
      <c r="B50" t="s">
        <v>21</v>
      </c>
      <c r="C50" t="s">
        <v>18</v>
      </c>
      <c r="D50" s="6">
        <v>5</v>
      </c>
      <c r="E50" s="5">
        <v>50000</v>
      </c>
      <c r="F50" t="s">
        <v>125</v>
      </c>
      <c r="G50" s="7">
        <v>46193</v>
      </c>
      <c r="H50" s="5">
        <v>0</v>
      </c>
      <c r="I5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0" t="b">
        <f>((ISNUMBER(Table3[[#This Row],[Quantity]]) )* (Table3[[#This Row],[Quantity]]&gt;0))=1</f>
        <v>1</v>
      </c>
      <c r="K50" t="b">
        <f>((Table3[[#This Row],[Quantity]]&gt;=Table3[[#This Row],[Return Qty]])*(ISNUMBER(Table3[[#This Row],[Quantity]])))=1</f>
        <v>1</v>
      </c>
      <c r="L50" t="b">
        <f>ISNUMBER(Table3[[#This Row],[Unit Price]])</f>
        <v>1</v>
      </c>
      <c r="M50" t="b">
        <f>ISNUMBER(Table3[[#This Row],[Order Date]])</f>
        <v>1</v>
      </c>
      <c r="N50">
        <f>IFERROR(IF(Table3[[#This Row],[Quantity]]*Table3[[#This Row],[Unit Price]]&lt;0, "N/A", Table3[[#This Row],[Quantity]]*Table3[[#This Row],[Unit Price]]), "N/A")</f>
        <v>250000</v>
      </c>
      <c r="O50">
        <f>IFERROR(Table3[[#This Row],[Unit Price]]*Table3[[#This Row],[Return Qty]], "N/A")</f>
        <v>0</v>
      </c>
      <c r="P50">
        <f>IFERROR(IF((Table3[[#This Row],[Revenue before return]]-Table3[[#This Row],[Amount of order  returned]])&lt;0, "N/A", Table3[[#This Row],[Revenue before return]]-Table3[[#This Row],[Amount of order  returned]]), "N/A")</f>
        <v>250000</v>
      </c>
      <c r="Q5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1" spans="1:17" x14ac:dyDescent="0.2">
      <c r="A51" t="s">
        <v>126</v>
      </c>
      <c r="B51" t="s">
        <v>9</v>
      </c>
      <c r="C51" t="s">
        <v>32</v>
      </c>
      <c r="D51" s="6">
        <v>17</v>
      </c>
      <c r="E51" s="5">
        <v>8000</v>
      </c>
      <c r="F51" t="s">
        <v>35</v>
      </c>
      <c r="G51" s="7">
        <v>46079</v>
      </c>
      <c r="H51" s="5">
        <v>3</v>
      </c>
      <c r="I5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1" t="b">
        <f>((ISNUMBER(Table3[[#This Row],[Quantity]]) )* (Table3[[#This Row],[Quantity]]&gt;0))=1</f>
        <v>1</v>
      </c>
      <c r="K51" t="b">
        <f>((Table3[[#This Row],[Quantity]]&gt;=Table3[[#This Row],[Return Qty]])*(ISNUMBER(Table3[[#This Row],[Quantity]])))=1</f>
        <v>1</v>
      </c>
      <c r="L51" t="b">
        <f>ISNUMBER(Table3[[#This Row],[Unit Price]])</f>
        <v>1</v>
      </c>
      <c r="M51" t="b">
        <f>ISNUMBER(Table3[[#This Row],[Order Date]])</f>
        <v>1</v>
      </c>
      <c r="N51">
        <f>IFERROR(IF(Table3[[#This Row],[Quantity]]*Table3[[#This Row],[Unit Price]]&lt;0, "N/A", Table3[[#This Row],[Quantity]]*Table3[[#This Row],[Unit Price]]), "N/A")</f>
        <v>136000</v>
      </c>
      <c r="O51">
        <f>IFERROR(Table3[[#This Row],[Unit Price]]*Table3[[#This Row],[Return Qty]], "N/A")</f>
        <v>24000</v>
      </c>
      <c r="P51">
        <f>IFERROR(IF((Table3[[#This Row],[Revenue before return]]-Table3[[#This Row],[Amount of order  returned]])&lt;0, "N/A", Table3[[#This Row],[Revenue before return]]-Table3[[#This Row],[Amount of order  returned]]), "N/A")</f>
        <v>112000</v>
      </c>
      <c r="Q5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2" spans="1:17" x14ac:dyDescent="0.2">
      <c r="A52" t="s">
        <v>127</v>
      </c>
      <c r="B52" t="s">
        <v>25</v>
      </c>
      <c r="C52" t="s">
        <v>70</v>
      </c>
      <c r="D52" s="6">
        <v>16</v>
      </c>
      <c r="E52" s="5">
        <v>28000</v>
      </c>
      <c r="F52" t="s">
        <v>128</v>
      </c>
      <c r="G52" s="7">
        <v>46134</v>
      </c>
      <c r="H52" s="5">
        <v>0</v>
      </c>
      <c r="I5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2" t="b">
        <f>((ISNUMBER(Table3[[#This Row],[Quantity]]) )* (Table3[[#This Row],[Quantity]]&gt;0))=1</f>
        <v>1</v>
      </c>
      <c r="K52" t="b">
        <f>((Table3[[#This Row],[Quantity]]&gt;=Table3[[#This Row],[Return Qty]])*(ISNUMBER(Table3[[#This Row],[Quantity]])))=1</f>
        <v>1</v>
      </c>
      <c r="L52" t="b">
        <f>ISNUMBER(Table3[[#This Row],[Unit Price]])</f>
        <v>1</v>
      </c>
      <c r="M52" t="b">
        <f>ISNUMBER(Table3[[#This Row],[Order Date]])</f>
        <v>1</v>
      </c>
      <c r="N52">
        <f>IFERROR(IF(Table3[[#This Row],[Quantity]]*Table3[[#This Row],[Unit Price]]&lt;0, "N/A", Table3[[#This Row],[Quantity]]*Table3[[#This Row],[Unit Price]]), "N/A")</f>
        <v>448000</v>
      </c>
      <c r="O52">
        <f>IFERROR(Table3[[#This Row],[Unit Price]]*Table3[[#This Row],[Return Qty]], "N/A")</f>
        <v>0</v>
      </c>
      <c r="P52">
        <f>IFERROR(IF((Table3[[#This Row],[Revenue before return]]-Table3[[#This Row],[Amount of order  returned]])&lt;0, "N/A", Table3[[#This Row],[Revenue before return]]-Table3[[#This Row],[Amount of order  returned]]), "N/A")</f>
        <v>448000</v>
      </c>
      <c r="Q5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3" spans="1:17" x14ac:dyDescent="0.2">
      <c r="A53" t="s">
        <v>129</v>
      </c>
      <c r="B53" t="s">
        <v>14</v>
      </c>
      <c r="C53" t="s">
        <v>45</v>
      </c>
      <c r="D53" s="6">
        <v>11</v>
      </c>
      <c r="E53" s="5">
        <v>20000</v>
      </c>
      <c r="F53" t="s">
        <v>50</v>
      </c>
      <c r="G53" s="7">
        <v>46048</v>
      </c>
      <c r="H53" s="5">
        <v>0</v>
      </c>
      <c r="I5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3" t="b">
        <f>((ISNUMBER(Table3[[#This Row],[Quantity]]) )* (Table3[[#This Row],[Quantity]]&gt;0))=1</f>
        <v>1</v>
      </c>
      <c r="K53" t="b">
        <f>((Table3[[#This Row],[Quantity]]&gt;=Table3[[#This Row],[Return Qty]])*(ISNUMBER(Table3[[#This Row],[Quantity]])))=1</f>
        <v>1</v>
      </c>
      <c r="L53" t="b">
        <f>ISNUMBER(Table3[[#This Row],[Unit Price]])</f>
        <v>1</v>
      </c>
      <c r="M53" t="b">
        <f>ISNUMBER(Table3[[#This Row],[Order Date]])</f>
        <v>1</v>
      </c>
      <c r="N53">
        <f>IFERROR(IF(Table3[[#This Row],[Quantity]]*Table3[[#This Row],[Unit Price]]&lt;0, "N/A", Table3[[#This Row],[Quantity]]*Table3[[#This Row],[Unit Price]]), "N/A")</f>
        <v>220000</v>
      </c>
      <c r="O53">
        <f>IFERROR(Table3[[#This Row],[Unit Price]]*Table3[[#This Row],[Return Qty]], "N/A")</f>
        <v>0</v>
      </c>
      <c r="P53">
        <f>IFERROR(IF((Table3[[#This Row],[Revenue before return]]-Table3[[#This Row],[Amount of order  returned]])&lt;0, "N/A", Table3[[#This Row],[Revenue before return]]-Table3[[#This Row],[Amount of order  returned]]), "N/A")</f>
        <v>220000</v>
      </c>
      <c r="Q5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4" spans="1:17" x14ac:dyDescent="0.2">
      <c r="A54" t="s">
        <v>131</v>
      </c>
      <c r="B54" t="s">
        <v>9</v>
      </c>
      <c r="C54" t="s">
        <v>70</v>
      </c>
      <c r="D54" s="6">
        <v>9</v>
      </c>
      <c r="E54" s="5">
        <v>28000</v>
      </c>
      <c r="F54" t="s">
        <v>132</v>
      </c>
      <c r="G54" s="7">
        <v>46072</v>
      </c>
      <c r="H54" s="5">
        <v>0</v>
      </c>
      <c r="I5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4" t="b">
        <f>((ISNUMBER(Table3[[#This Row],[Quantity]]) )* (Table3[[#This Row],[Quantity]]&gt;0))=1</f>
        <v>1</v>
      </c>
      <c r="K54" t="b">
        <f>((Table3[[#This Row],[Quantity]]&gt;=Table3[[#This Row],[Return Qty]])*(ISNUMBER(Table3[[#This Row],[Quantity]])))=1</f>
        <v>1</v>
      </c>
      <c r="L54" t="b">
        <f>ISNUMBER(Table3[[#This Row],[Unit Price]])</f>
        <v>1</v>
      </c>
      <c r="M54" t="b">
        <f>ISNUMBER(Table3[[#This Row],[Order Date]])</f>
        <v>1</v>
      </c>
      <c r="N54">
        <f>IFERROR(IF(Table3[[#This Row],[Quantity]]*Table3[[#This Row],[Unit Price]]&lt;0, "N/A", Table3[[#This Row],[Quantity]]*Table3[[#This Row],[Unit Price]]), "N/A")</f>
        <v>252000</v>
      </c>
      <c r="O54">
        <f>IFERROR(Table3[[#This Row],[Unit Price]]*Table3[[#This Row],[Return Qty]], "N/A")</f>
        <v>0</v>
      </c>
      <c r="P54">
        <f>IFERROR(IF((Table3[[#This Row],[Revenue before return]]-Table3[[#This Row],[Amount of order  returned]])&lt;0, "N/A", Table3[[#This Row],[Revenue before return]]-Table3[[#This Row],[Amount of order  returned]]), "N/A")</f>
        <v>252000</v>
      </c>
      <c r="Q5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5" spans="1:17" x14ac:dyDescent="0.2">
      <c r="A55" t="s">
        <v>133</v>
      </c>
      <c r="B55" t="s">
        <v>21</v>
      </c>
      <c r="C55" t="s">
        <v>45</v>
      </c>
      <c r="D55" s="6">
        <v>24</v>
      </c>
      <c r="E55" s="5">
        <v>20000</v>
      </c>
      <c r="F55" t="s">
        <v>134</v>
      </c>
      <c r="G55" s="7">
        <v>46182</v>
      </c>
      <c r="H55" s="5">
        <v>0</v>
      </c>
      <c r="I5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5" t="b">
        <f>((ISNUMBER(Table3[[#This Row],[Quantity]]) )* (Table3[[#This Row],[Quantity]]&gt;0))=1</f>
        <v>1</v>
      </c>
      <c r="K55" t="b">
        <f>((Table3[[#This Row],[Quantity]]&gt;=Table3[[#This Row],[Return Qty]])*(ISNUMBER(Table3[[#This Row],[Quantity]])))=1</f>
        <v>1</v>
      </c>
      <c r="L55" t="b">
        <f>ISNUMBER(Table3[[#This Row],[Unit Price]])</f>
        <v>1</v>
      </c>
      <c r="M55" t="b">
        <f>ISNUMBER(Table3[[#This Row],[Order Date]])</f>
        <v>1</v>
      </c>
      <c r="N55">
        <f>IFERROR(IF(Table3[[#This Row],[Quantity]]*Table3[[#This Row],[Unit Price]]&lt;0, "N/A", Table3[[#This Row],[Quantity]]*Table3[[#This Row],[Unit Price]]), "N/A")</f>
        <v>480000</v>
      </c>
      <c r="O55">
        <f>IFERROR(Table3[[#This Row],[Unit Price]]*Table3[[#This Row],[Return Qty]], "N/A")</f>
        <v>0</v>
      </c>
      <c r="P55">
        <f>IFERROR(IF((Table3[[#This Row],[Revenue before return]]-Table3[[#This Row],[Amount of order  returned]])&lt;0, "N/A", Table3[[#This Row],[Revenue before return]]-Table3[[#This Row],[Amount of order  returned]]), "N/A")</f>
        <v>480000</v>
      </c>
      <c r="Q5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6" spans="1:17" x14ac:dyDescent="0.2">
      <c r="A56" t="s">
        <v>135</v>
      </c>
      <c r="B56" t="s">
        <v>136</v>
      </c>
      <c r="C56" t="s">
        <v>18</v>
      </c>
      <c r="D56" s="6">
        <v>15</v>
      </c>
      <c r="E56" s="5">
        <v>50000</v>
      </c>
      <c r="F56" t="s">
        <v>137</v>
      </c>
      <c r="G56" s="7">
        <v>46075</v>
      </c>
      <c r="H56" s="5">
        <v>0</v>
      </c>
      <c r="I5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6" t="b">
        <f>((ISNUMBER(Table3[[#This Row],[Quantity]]) )* (Table3[[#This Row],[Quantity]]&gt;0))=1</f>
        <v>1</v>
      </c>
      <c r="K56" t="b">
        <f>((Table3[[#This Row],[Quantity]]&gt;=Table3[[#This Row],[Return Qty]])*(ISNUMBER(Table3[[#This Row],[Quantity]])))=1</f>
        <v>1</v>
      </c>
      <c r="L56" t="b">
        <f>ISNUMBER(Table3[[#This Row],[Unit Price]])</f>
        <v>1</v>
      </c>
      <c r="M56" t="b">
        <f>ISNUMBER(Table3[[#This Row],[Order Date]])</f>
        <v>1</v>
      </c>
      <c r="N56">
        <f>IFERROR(IF(Table3[[#This Row],[Quantity]]*Table3[[#This Row],[Unit Price]]&lt;0, "N/A", Table3[[#This Row],[Quantity]]*Table3[[#This Row],[Unit Price]]), "N/A")</f>
        <v>750000</v>
      </c>
      <c r="O56">
        <f>IFERROR(Table3[[#This Row],[Unit Price]]*Table3[[#This Row],[Return Qty]], "N/A")</f>
        <v>0</v>
      </c>
      <c r="P56">
        <f>IFERROR(IF((Table3[[#This Row],[Revenue before return]]-Table3[[#This Row],[Amount of order  returned]])&lt;0, "N/A", Table3[[#This Row],[Revenue before return]]-Table3[[#This Row],[Amount of order  returned]]), "N/A")</f>
        <v>750000</v>
      </c>
      <c r="Q5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7" spans="1:17" x14ac:dyDescent="0.2">
      <c r="A57" t="s">
        <v>138</v>
      </c>
      <c r="B57" t="s">
        <v>21</v>
      </c>
      <c r="C57" t="s">
        <v>18</v>
      </c>
      <c r="D57" s="6">
        <v>14</v>
      </c>
      <c r="E57" s="5">
        <v>50000</v>
      </c>
      <c r="F57" t="s">
        <v>75</v>
      </c>
      <c r="G57" s="7">
        <v>46079</v>
      </c>
      <c r="H57" s="5">
        <v>0</v>
      </c>
      <c r="I5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7" t="b">
        <f>((ISNUMBER(Table3[[#This Row],[Quantity]]) )* (Table3[[#This Row],[Quantity]]&gt;0))=1</f>
        <v>1</v>
      </c>
      <c r="K57" t="b">
        <f>((Table3[[#This Row],[Quantity]]&gt;=Table3[[#This Row],[Return Qty]])*(ISNUMBER(Table3[[#This Row],[Quantity]])))=1</f>
        <v>1</v>
      </c>
      <c r="L57" t="b">
        <f>ISNUMBER(Table3[[#This Row],[Unit Price]])</f>
        <v>1</v>
      </c>
      <c r="M57" t="b">
        <f>ISNUMBER(Table3[[#This Row],[Order Date]])</f>
        <v>1</v>
      </c>
      <c r="N57">
        <f>IFERROR(IF(Table3[[#This Row],[Quantity]]*Table3[[#This Row],[Unit Price]]&lt;0, "N/A", Table3[[#This Row],[Quantity]]*Table3[[#This Row],[Unit Price]]), "N/A")</f>
        <v>700000</v>
      </c>
      <c r="O57">
        <f>IFERROR(Table3[[#This Row],[Unit Price]]*Table3[[#This Row],[Return Qty]], "N/A")</f>
        <v>0</v>
      </c>
      <c r="P57">
        <f>IFERROR(IF((Table3[[#This Row],[Revenue before return]]-Table3[[#This Row],[Amount of order  returned]])&lt;0, "N/A", Table3[[#This Row],[Revenue before return]]-Table3[[#This Row],[Amount of order  returned]]), "N/A")</f>
        <v>700000</v>
      </c>
      <c r="Q5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8" spans="1:17" x14ac:dyDescent="0.2">
      <c r="A58" t="s">
        <v>139</v>
      </c>
      <c r="B58" t="s">
        <v>9</v>
      </c>
      <c r="C58" t="s">
        <v>18</v>
      </c>
      <c r="D58" s="6">
        <v>24</v>
      </c>
      <c r="E58" s="5">
        <v>50000</v>
      </c>
      <c r="F58" t="s">
        <v>140</v>
      </c>
      <c r="G58" s="7">
        <v>46112</v>
      </c>
      <c r="H58" s="5">
        <v>0</v>
      </c>
      <c r="I5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8" t="b">
        <f>((ISNUMBER(Table3[[#This Row],[Quantity]]) )* (Table3[[#This Row],[Quantity]]&gt;0))=1</f>
        <v>1</v>
      </c>
      <c r="K58" t="b">
        <f>((Table3[[#This Row],[Quantity]]&gt;=Table3[[#This Row],[Return Qty]])*(ISNUMBER(Table3[[#This Row],[Quantity]])))=1</f>
        <v>1</v>
      </c>
      <c r="L58" t="b">
        <f>ISNUMBER(Table3[[#This Row],[Unit Price]])</f>
        <v>1</v>
      </c>
      <c r="M58" t="b">
        <f>ISNUMBER(Table3[[#This Row],[Order Date]])</f>
        <v>1</v>
      </c>
      <c r="N58">
        <f>IFERROR(IF(Table3[[#This Row],[Quantity]]*Table3[[#This Row],[Unit Price]]&lt;0, "N/A", Table3[[#This Row],[Quantity]]*Table3[[#This Row],[Unit Price]]), "N/A")</f>
        <v>1200000</v>
      </c>
      <c r="O58">
        <f>IFERROR(Table3[[#This Row],[Unit Price]]*Table3[[#This Row],[Return Qty]], "N/A")</f>
        <v>0</v>
      </c>
      <c r="P58">
        <f>IFERROR(IF((Table3[[#This Row],[Revenue before return]]-Table3[[#This Row],[Amount of order  returned]])&lt;0, "N/A", Table3[[#This Row],[Revenue before return]]-Table3[[#This Row],[Amount of order  returned]]), "N/A")</f>
        <v>1200000</v>
      </c>
      <c r="Q5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9" spans="1:17" x14ac:dyDescent="0.2">
      <c r="A59" t="s">
        <v>141</v>
      </c>
      <c r="B59" t="s">
        <v>21</v>
      </c>
      <c r="C59" t="s">
        <v>22</v>
      </c>
      <c r="D59" s="6">
        <v>20</v>
      </c>
      <c r="E59" s="5">
        <v>17500</v>
      </c>
      <c r="F59" t="s">
        <v>142</v>
      </c>
      <c r="G59" s="7">
        <v>46095</v>
      </c>
      <c r="H59" s="5">
        <v>0</v>
      </c>
      <c r="I5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9" t="b">
        <f>((ISNUMBER(Table3[[#This Row],[Quantity]]) )* (Table3[[#This Row],[Quantity]]&gt;0))=1</f>
        <v>1</v>
      </c>
      <c r="K59" t="b">
        <f>((Table3[[#This Row],[Quantity]]&gt;=Table3[[#This Row],[Return Qty]])*(ISNUMBER(Table3[[#This Row],[Quantity]])))=1</f>
        <v>1</v>
      </c>
      <c r="L59" t="b">
        <f>ISNUMBER(Table3[[#This Row],[Unit Price]])</f>
        <v>1</v>
      </c>
      <c r="M59" t="b">
        <f>ISNUMBER(Table3[[#This Row],[Order Date]])</f>
        <v>1</v>
      </c>
      <c r="N59">
        <f>IFERROR(IF(Table3[[#This Row],[Quantity]]*Table3[[#This Row],[Unit Price]]&lt;0, "N/A", Table3[[#This Row],[Quantity]]*Table3[[#This Row],[Unit Price]]), "N/A")</f>
        <v>350000</v>
      </c>
      <c r="O59">
        <f>IFERROR(Table3[[#This Row],[Unit Price]]*Table3[[#This Row],[Return Qty]], "N/A")</f>
        <v>0</v>
      </c>
      <c r="P59">
        <f>IFERROR(IF((Table3[[#This Row],[Revenue before return]]-Table3[[#This Row],[Amount of order  returned]])&lt;0, "N/A", Table3[[#This Row],[Revenue before return]]-Table3[[#This Row],[Amount of order  returned]]), "N/A")</f>
        <v>350000</v>
      </c>
      <c r="Q5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0" spans="1:17" x14ac:dyDescent="0.2">
      <c r="A60" t="s">
        <v>143</v>
      </c>
      <c r="B60" t="s">
        <v>25</v>
      </c>
      <c r="C60" t="s">
        <v>70</v>
      </c>
      <c r="D60" s="6">
        <v>15</v>
      </c>
      <c r="E60" s="5">
        <v>28000</v>
      </c>
      <c r="F60" t="s">
        <v>144</v>
      </c>
      <c r="G60" s="7">
        <v>46058</v>
      </c>
      <c r="H60" s="5">
        <v>0</v>
      </c>
      <c r="I6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0" t="b">
        <f>((ISNUMBER(Table3[[#This Row],[Quantity]]) )* (Table3[[#This Row],[Quantity]]&gt;0))=1</f>
        <v>1</v>
      </c>
      <c r="K60" t="b">
        <f>((Table3[[#This Row],[Quantity]]&gt;=Table3[[#This Row],[Return Qty]])*(ISNUMBER(Table3[[#This Row],[Quantity]])))=1</f>
        <v>1</v>
      </c>
      <c r="L60" t="b">
        <f>ISNUMBER(Table3[[#This Row],[Unit Price]])</f>
        <v>1</v>
      </c>
      <c r="M60" t="b">
        <f>ISNUMBER(Table3[[#This Row],[Order Date]])</f>
        <v>1</v>
      </c>
      <c r="N60">
        <f>IFERROR(IF(Table3[[#This Row],[Quantity]]*Table3[[#This Row],[Unit Price]]&lt;0, "N/A", Table3[[#This Row],[Quantity]]*Table3[[#This Row],[Unit Price]]), "N/A")</f>
        <v>420000</v>
      </c>
      <c r="O60">
        <f>IFERROR(Table3[[#This Row],[Unit Price]]*Table3[[#This Row],[Return Qty]], "N/A")</f>
        <v>0</v>
      </c>
      <c r="P60">
        <f>IFERROR(IF((Table3[[#This Row],[Revenue before return]]-Table3[[#This Row],[Amount of order  returned]])&lt;0, "N/A", Table3[[#This Row],[Revenue before return]]-Table3[[#This Row],[Amount of order  returned]]), "N/A")</f>
        <v>420000</v>
      </c>
      <c r="Q6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1" spans="1:17" x14ac:dyDescent="0.2">
      <c r="A61" t="s">
        <v>145</v>
      </c>
      <c r="B61" t="s">
        <v>21</v>
      </c>
      <c r="C61" t="s">
        <v>70</v>
      </c>
      <c r="D61" s="6">
        <v>4</v>
      </c>
      <c r="E61" s="5">
        <v>28000</v>
      </c>
      <c r="F61" t="s">
        <v>146</v>
      </c>
      <c r="G61" s="7">
        <v>46033</v>
      </c>
      <c r="H61" s="5">
        <v>0</v>
      </c>
      <c r="I6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1" t="b">
        <f>((ISNUMBER(Table3[[#This Row],[Quantity]]) )* (Table3[[#This Row],[Quantity]]&gt;0))=1</f>
        <v>1</v>
      </c>
      <c r="K61" t="b">
        <f>((Table3[[#This Row],[Quantity]]&gt;=Table3[[#This Row],[Return Qty]])*(ISNUMBER(Table3[[#This Row],[Quantity]])))=1</f>
        <v>1</v>
      </c>
      <c r="L61" t="b">
        <f>ISNUMBER(Table3[[#This Row],[Unit Price]])</f>
        <v>1</v>
      </c>
      <c r="M61" t="b">
        <f>ISNUMBER(Table3[[#This Row],[Order Date]])</f>
        <v>1</v>
      </c>
      <c r="N61">
        <f>IFERROR(IF(Table3[[#This Row],[Quantity]]*Table3[[#This Row],[Unit Price]]&lt;0, "N/A", Table3[[#This Row],[Quantity]]*Table3[[#This Row],[Unit Price]]), "N/A")</f>
        <v>112000</v>
      </c>
      <c r="O61">
        <f>IFERROR(Table3[[#This Row],[Unit Price]]*Table3[[#This Row],[Return Qty]], "N/A")</f>
        <v>0</v>
      </c>
      <c r="P61">
        <f>IFERROR(IF((Table3[[#This Row],[Revenue before return]]-Table3[[#This Row],[Amount of order  returned]])&lt;0, "N/A", Table3[[#This Row],[Revenue before return]]-Table3[[#This Row],[Amount of order  returned]]), "N/A")</f>
        <v>112000</v>
      </c>
      <c r="Q6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2" spans="1:17" x14ac:dyDescent="0.2">
      <c r="A62" t="s">
        <v>147</v>
      </c>
      <c r="B62" t="s">
        <v>9</v>
      </c>
      <c r="C62" t="s">
        <v>10</v>
      </c>
      <c r="D62" s="6">
        <v>18</v>
      </c>
      <c r="E62" s="5">
        <v>15000</v>
      </c>
      <c r="F62" t="s">
        <v>148</v>
      </c>
      <c r="G62" s="7">
        <v>46072</v>
      </c>
      <c r="H62" s="5">
        <v>0</v>
      </c>
      <c r="I6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2" t="b">
        <f>((ISNUMBER(Table3[[#This Row],[Quantity]]) )* (Table3[[#This Row],[Quantity]]&gt;0))=1</f>
        <v>1</v>
      </c>
      <c r="K62" t="b">
        <f>((Table3[[#This Row],[Quantity]]&gt;=Table3[[#This Row],[Return Qty]])*(ISNUMBER(Table3[[#This Row],[Quantity]])))=1</f>
        <v>1</v>
      </c>
      <c r="L62" t="b">
        <f>ISNUMBER(Table3[[#This Row],[Unit Price]])</f>
        <v>1</v>
      </c>
      <c r="M62" t="b">
        <f>ISNUMBER(Table3[[#This Row],[Order Date]])</f>
        <v>1</v>
      </c>
      <c r="N62">
        <f>IFERROR(IF(Table3[[#This Row],[Quantity]]*Table3[[#This Row],[Unit Price]]&lt;0, "N/A", Table3[[#This Row],[Quantity]]*Table3[[#This Row],[Unit Price]]), "N/A")</f>
        <v>270000</v>
      </c>
      <c r="O62">
        <f>IFERROR(Table3[[#This Row],[Unit Price]]*Table3[[#This Row],[Return Qty]], "N/A")</f>
        <v>0</v>
      </c>
      <c r="P62">
        <f>IFERROR(IF((Table3[[#This Row],[Revenue before return]]-Table3[[#This Row],[Amount of order  returned]])&lt;0, "N/A", Table3[[#This Row],[Revenue before return]]-Table3[[#This Row],[Amount of order  returned]]), "N/A")</f>
        <v>270000</v>
      </c>
      <c r="Q6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3" spans="1:17" x14ac:dyDescent="0.2">
      <c r="A63" t="s">
        <v>149</v>
      </c>
      <c r="B63" t="s">
        <v>25</v>
      </c>
      <c r="C63" t="s">
        <v>45</v>
      </c>
      <c r="D63" s="6">
        <v>14</v>
      </c>
      <c r="E63" s="5">
        <v>20000</v>
      </c>
      <c r="F63" t="s">
        <v>151</v>
      </c>
      <c r="G63" s="7">
        <v>46144</v>
      </c>
      <c r="H63" s="5">
        <v>0</v>
      </c>
      <c r="I6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3" t="b">
        <f>((ISNUMBER(Table3[[#This Row],[Quantity]]) )* (Table3[[#This Row],[Quantity]]&gt;0))=1</f>
        <v>1</v>
      </c>
      <c r="K63" t="b">
        <f>((Table3[[#This Row],[Quantity]]&gt;=Table3[[#This Row],[Return Qty]])*(ISNUMBER(Table3[[#This Row],[Quantity]])))=1</f>
        <v>1</v>
      </c>
      <c r="L63" t="b">
        <f>ISNUMBER(Table3[[#This Row],[Unit Price]])</f>
        <v>1</v>
      </c>
      <c r="M63" t="b">
        <f>ISNUMBER(Table3[[#This Row],[Order Date]])</f>
        <v>1</v>
      </c>
      <c r="N63">
        <f>IFERROR(IF(Table3[[#This Row],[Quantity]]*Table3[[#This Row],[Unit Price]]&lt;0, "N/A", Table3[[#This Row],[Quantity]]*Table3[[#This Row],[Unit Price]]), "N/A")</f>
        <v>280000</v>
      </c>
      <c r="O63">
        <f>IFERROR(Table3[[#This Row],[Unit Price]]*Table3[[#This Row],[Return Qty]], "N/A")</f>
        <v>0</v>
      </c>
      <c r="P63">
        <f>IFERROR(IF((Table3[[#This Row],[Revenue before return]]-Table3[[#This Row],[Amount of order  returned]])&lt;0, "N/A", Table3[[#This Row],[Revenue before return]]-Table3[[#This Row],[Amount of order  returned]]), "N/A")</f>
        <v>280000</v>
      </c>
      <c r="Q6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4" spans="1:17" x14ac:dyDescent="0.2">
      <c r="A64" t="s">
        <v>152</v>
      </c>
      <c r="B64" t="s">
        <v>21</v>
      </c>
      <c r="C64" t="s">
        <v>32</v>
      </c>
      <c r="D64" s="6">
        <v>25</v>
      </c>
      <c r="E64" s="5">
        <v>8000</v>
      </c>
      <c r="F64" t="s">
        <v>153</v>
      </c>
      <c r="G64" s="7">
        <v>46161</v>
      </c>
      <c r="H64" s="5">
        <v>0</v>
      </c>
      <c r="I6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4" t="b">
        <f>((ISNUMBER(Table3[[#This Row],[Quantity]]) )* (Table3[[#This Row],[Quantity]]&gt;0))=1</f>
        <v>1</v>
      </c>
      <c r="K64" t="b">
        <f>((Table3[[#This Row],[Quantity]]&gt;=Table3[[#This Row],[Return Qty]])*(ISNUMBER(Table3[[#This Row],[Quantity]])))=1</f>
        <v>1</v>
      </c>
      <c r="L64" t="b">
        <f>ISNUMBER(Table3[[#This Row],[Unit Price]])</f>
        <v>1</v>
      </c>
      <c r="M64" t="b">
        <f>ISNUMBER(Table3[[#This Row],[Order Date]])</f>
        <v>1</v>
      </c>
      <c r="N64">
        <f>IFERROR(IF(Table3[[#This Row],[Quantity]]*Table3[[#This Row],[Unit Price]]&lt;0, "N/A", Table3[[#This Row],[Quantity]]*Table3[[#This Row],[Unit Price]]), "N/A")</f>
        <v>200000</v>
      </c>
      <c r="O64">
        <f>IFERROR(Table3[[#This Row],[Unit Price]]*Table3[[#This Row],[Return Qty]], "N/A")</f>
        <v>0</v>
      </c>
      <c r="P64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6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5" spans="1:17" x14ac:dyDescent="0.2">
      <c r="A65" t="s">
        <v>154</v>
      </c>
      <c r="B65" t="s">
        <v>21</v>
      </c>
      <c r="C65" t="s">
        <v>70</v>
      </c>
      <c r="D65" s="6">
        <v>7</v>
      </c>
      <c r="E65" s="5">
        <v>28000</v>
      </c>
      <c r="F65" t="s">
        <v>155</v>
      </c>
      <c r="G65" s="7">
        <v>46100</v>
      </c>
      <c r="H65" s="5">
        <v>0</v>
      </c>
      <c r="I6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5" t="b">
        <f>((ISNUMBER(Table3[[#This Row],[Quantity]]) )* (Table3[[#This Row],[Quantity]]&gt;0))=1</f>
        <v>1</v>
      </c>
      <c r="K65" t="b">
        <f>((Table3[[#This Row],[Quantity]]&gt;=Table3[[#This Row],[Return Qty]])*(ISNUMBER(Table3[[#This Row],[Quantity]])))=1</f>
        <v>1</v>
      </c>
      <c r="L65" t="b">
        <f>ISNUMBER(Table3[[#This Row],[Unit Price]])</f>
        <v>1</v>
      </c>
      <c r="M65" t="b">
        <f>ISNUMBER(Table3[[#This Row],[Order Date]])</f>
        <v>1</v>
      </c>
      <c r="N65">
        <f>IFERROR(IF(Table3[[#This Row],[Quantity]]*Table3[[#This Row],[Unit Price]]&lt;0, "N/A", Table3[[#This Row],[Quantity]]*Table3[[#This Row],[Unit Price]]), "N/A")</f>
        <v>196000</v>
      </c>
      <c r="O65">
        <f>IFERROR(Table3[[#This Row],[Unit Price]]*Table3[[#This Row],[Return Qty]], "N/A")</f>
        <v>0</v>
      </c>
      <c r="P65">
        <f>IFERROR(IF((Table3[[#This Row],[Revenue before return]]-Table3[[#This Row],[Amount of order  returned]])&lt;0, "N/A", Table3[[#This Row],[Revenue before return]]-Table3[[#This Row],[Amount of order  returned]]), "N/A")</f>
        <v>196000</v>
      </c>
      <c r="Q6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6" spans="1:17" x14ac:dyDescent="0.2">
      <c r="A66" t="s">
        <v>156</v>
      </c>
      <c r="B66" t="s">
        <v>9</v>
      </c>
      <c r="C66" t="s">
        <v>32</v>
      </c>
      <c r="D66" s="6">
        <v>20</v>
      </c>
      <c r="E66" s="5">
        <v>8000</v>
      </c>
      <c r="F66" t="s">
        <v>11</v>
      </c>
      <c r="G66" s="7">
        <v>46081</v>
      </c>
      <c r="H66" s="5">
        <v>0</v>
      </c>
      <c r="I6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6" t="b">
        <f>((ISNUMBER(Table3[[#This Row],[Quantity]]) )* (Table3[[#This Row],[Quantity]]&gt;0))=1</f>
        <v>1</v>
      </c>
      <c r="K66" t="b">
        <f>((Table3[[#This Row],[Quantity]]&gt;=Table3[[#This Row],[Return Qty]])*(ISNUMBER(Table3[[#This Row],[Quantity]])))=1</f>
        <v>1</v>
      </c>
      <c r="L66" t="b">
        <f>ISNUMBER(Table3[[#This Row],[Unit Price]])</f>
        <v>1</v>
      </c>
      <c r="M66" t="b">
        <f>ISNUMBER(Table3[[#This Row],[Order Date]])</f>
        <v>1</v>
      </c>
      <c r="N66">
        <f>IFERROR(IF(Table3[[#This Row],[Quantity]]*Table3[[#This Row],[Unit Price]]&lt;0, "N/A", Table3[[#This Row],[Quantity]]*Table3[[#This Row],[Unit Price]]), "N/A")</f>
        <v>160000</v>
      </c>
      <c r="O66">
        <f>IFERROR(Table3[[#This Row],[Unit Price]]*Table3[[#This Row],[Return Qty]], "N/A")</f>
        <v>0</v>
      </c>
      <c r="P66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6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7" spans="1:17" x14ac:dyDescent="0.2">
      <c r="A67" t="s">
        <v>157</v>
      </c>
      <c r="B67" t="s">
        <v>14</v>
      </c>
      <c r="C67" t="s">
        <v>22</v>
      </c>
      <c r="D67" s="6">
        <v>24</v>
      </c>
      <c r="E67" s="5">
        <v>35000</v>
      </c>
      <c r="F67" t="s">
        <v>159</v>
      </c>
      <c r="G67" s="7">
        <v>46057</v>
      </c>
      <c r="H67" s="5">
        <v>0</v>
      </c>
      <c r="I6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7" t="b">
        <f>((ISNUMBER(Table3[[#This Row],[Quantity]]) )* (Table3[[#This Row],[Quantity]]&gt;0))=1</f>
        <v>1</v>
      </c>
      <c r="K67" t="b">
        <f>((Table3[[#This Row],[Quantity]]&gt;=Table3[[#This Row],[Return Qty]])*(ISNUMBER(Table3[[#This Row],[Quantity]])))=1</f>
        <v>1</v>
      </c>
      <c r="L67" t="b">
        <f>ISNUMBER(Table3[[#This Row],[Unit Price]])</f>
        <v>1</v>
      </c>
      <c r="M67" t="b">
        <f>ISNUMBER(Table3[[#This Row],[Order Date]])</f>
        <v>1</v>
      </c>
      <c r="N67">
        <f>IFERROR(IF(Table3[[#This Row],[Quantity]]*Table3[[#This Row],[Unit Price]]&lt;0, "N/A", Table3[[#This Row],[Quantity]]*Table3[[#This Row],[Unit Price]]), "N/A")</f>
        <v>840000</v>
      </c>
      <c r="O67">
        <f>IFERROR(Table3[[#This Row],[Unit Price]]*Table3[[#This Row],[Return Qty]], "N/A")</f>
        <v>0</v>
      </c>
      <c r="P67">
        <f>IFERROR(IF((Table3[[#This Row],[Revenue before return]]-Table3[[#This Row],[Amount of order  returned]])&lt;0, "N/A", Table3[[#This Row],[Revenue before return]]-Table3[[#This Row],[Amount of order  returned]]), "N/A")</f>
        <v>840000</v>
      </c>
      <c r="Q6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8" spans="1:17" x14ac:dyDescent="0.2">
      <c r="A68" t="s">
        <v>160</v>
      </c>
      <c r="B68" t="s">
        <v>21</v>
      </c>
      <c r="C68" t="s">
        <v>18</v>
      </c>
      <c r="D68" s="6">
        <v>19</v>
      </c>
      <c r="E68" s="5">
        <v>50000</v>
      </c>
      <c r="F68" t="s">
        <v>161</v>
      </c>
      <c r="G68" s="7">
        <v>46085</v>
      </c>
      <c r="H68" s="5">
        <v>0</v>
      </c>
      <c r="I6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8" t="b">
        <f>((ISNUMBER(Table3[[#This Row],[Quantity]]) )* (Table3[[#This Row],[Quantity]]&gt;0))=1</f>
        <v>1</v>
      </c>
      <c r="K68" t="b">
        <f>((Table3[[#This Row],[Quantity]]&gt;=Table3[[#This Row],[Return Qty]])*(ISNUMBER(Table3[[#This Row],[Quantity]])))=1</f>
        <v>1</v>
      </c>
      <c r="L68" t="b">
        <f>ISNUMBER(Table3[[#This Row],[Unit Price]])</f>
        <v>1</v>
      </c>
      <c r="M68" t="b">
        <f>ISNUMBER(Table3[[#This Row],[Order Date]])</f>
        <v>1</v>
      </c>
      <c r="N68">
        <f>IFERROR(IF(Table3[[#This Row],[Quantity]]*Table3[[#This Row],[Unit Price]]&lt;0, "N/A", Table3[[#This Row],[Quantity]]*Table3[[#This Row],[Unit Price]]), "N/A")</f>
        <v>950000</v>
      </c>
      <c r="O68">
        <f>IFERROR(Table3[[#This Row],[Unit Price]]*Table3[[#This Row],[Return Qty]], "N/A")</f>
        <v>0</v>
      </c>
      <c r="P68">
        <f>IFERROR(IF((Table3[[#This Row],[Revenue before return]]-Table3[[#This Row],[Amount of order  returned]])&lt;0, "N/A", Table3[[#This Row],[Revenue before return]]-Table3[[#This Row],[Amount of order  returned]]), "N/A")</f>
        <v>950000</v>
      </c>
      <c r="Q6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9" spans="1:17" x14ac:dyDescent="0.2">
      <c r="A69" t="s">
        <v>162</v>
      </c>
      <c r="B69" t="s">
        <v>9</v>
      </c>
      <c r="C69" t="s">
        <v>39</v>
      </c>
      <c r="D69" s="6">
        <v>1</v>
      </c>
      <c r="E69" s="5">
        <v>12000</v>
      </c>
      <c r="F69" t="s">
        <v>163</v>
      </c>
      <c r="G69" s="7">
        <v>46033</v>
      </c>
      <c r="H69" s="5">
        <v>1</v>
      </c>
      <c r="I6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9" t="b">
        <f>((ISNUMBER(Table3[[#This Row],[Quantity]]) )* (Table3[[#This Row],[Quantity]]&gt;0))=1</f>
        <v>1</v>
      </c>
      <c r="K69" t="b">
        <f>((Table3[[#This Row],[Quantity]]&gt;=Table3[[#This Row],[Return Qty]])*(ISNUMBER(Table3[[#This Row],[Quantity]])))=1</f>
        <v>1</v>
      </c>
      <c r="L69" t="b">
        <f>ISNUMBER(Table3[[#This Row],[Unit Price]])</f>
        <v>1</v>
      </c>
      <c r="M69" t="b">
        <f>ISNUMBER(Table3[[#This Row],[Order Date]])</f>
        <v>1</v>
      </c>
      <c r="N69">
        <f>IFERROR(IF(Table3[[#This Row],[Quantity]]*Table3[[#This Row],[Unit Price]]&lt;0, "N/A", Table3[[#This Row],[Quantity]]*Table3[[#This Row],[Unit Price]]), "N/A")</f>
        <v>12000</v>
      </c>
      <c r="O69">
        <f>IFERROR(Table3[[#This Row],[Unit Price]]*Table3[[#This Row],[Return Qty]], "N/A")</f>
        <v>12000</v>
      </c>
      <c r="P69">
        <f>IFERROR(IF((Table3[[#This Row],[Revenue before return]]-Table3[[#This Row],[Amount of order  returned]])&lt;0, "N/A", Table3[[#This Row],[Revenue before return]]-Table3[[#This Row],[Amount of order  returned]]), "N/A")</f>
        <v>0</v>
      </c>
      <c r="Q6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0" spans="1:17" x14ac:dyDescent="0.2">
      <c r="A70" t="s">
        <v>165</v>
      </c>
      <c r="B70" t="s">
        <v>9</v>
      </c>
      <c r="C70" t="s">
        <v>26</v>
      </c>
      <c r="D70" s="6">
        <v>22</v>
      </c>
      <c r="E70" s="5">
        <v>20000</v>
      </c>
      <c r="F70" t="s">
        <v>167</v>
      </c>
      <c r="G70" s="7">
        <v>46100</v>
      </c>
      <c r="H70" s="5">
        <v>2</v>
      </c>
      <c r="I7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0" t="b">
        <f>((ISNUMBER(Table3[[#This Row],[Quantity]]) )* (Table3[[#This Row],[Quantity]]&gt;0))=1</f>
        <v>1</v>
      </c>
      <c r="K70" t="b">
        <f>((Table3[[#This Row],[Quantity]]&gt;=Table3[[#This Row],[Return Qty]])*(ISNUMBER(Table3[[#This Row],[Quantity]])))=1</f>
        <v>1</v>
      </c>
      <c r="L70" t="b">
        <f>ISNUMBER(Table3[[#This Row],[Unit Price]])</f>
        <v>1</v>
      </c>
      <c r="M70" t="b">
        <f>ISNUMBER(Table3[[#This Row],[Order Date]])</f>
        <v>1</v>
      </c>
      <c r="N70">
        <f>IFERROR(IF(Table3[[#This Row],[Quantity]]*Table3[[#This Row],[Unit Price]]&lt;0, "N/A", Table3[[#This Row],[Quantity]]*Table3[[#This Row],[Unit Price]]), "N/A")</f>
        <v>440000</v>
      </c>
      <c r="O70">
        <f>IFERROR(Table3[[#This Row],[Unit Price]]*Table3[[#This Row],[Return Qty]], "N/A")</f>
        <v>40000</v>
      </c>
      <c r="P70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7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1" spans="1:17" x14ac:dyDescent="0.2">
      <c r="A71" t="s">
        <v>168</v>
      </c>
      <c r="B71" t="s">
        <v>21</v>
      </c>
      <c r="C71" t="s">
        <v>26</v>
      </c>
      <c r="D71" s="6">
        <v>1</v>
      </c>
      <c r="E71" s="5">
        <v>20000</v>
      </c>
      <c r="F71" t="s">
        <v>169</v>
      </c>
      <c r="G71" s="7">
        <v>46051</v>
      </c>
      <c r="H71" s="5">
        <v>0</v>
      </c>
      <c r="I7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1" t="b">
        <f>((ISNUMBER(Table3[[#This Row],[Quantity]]) )* (Table3[[#This Row],[Quantity]]&gt;0))=1</f>
        <v>1</v>
      </c>
      <c r="K71" t="b">
        <f>((Table3[[#This Row],[Quantity]]&gt;=Table3[[#This Row],[Return Qty]])*(ISNUMBER(Table3[[#This Row],[Quantity]])))=1</f>
        <v>1</v>
      </c>
      <c r="L71" t="b">
        <f>ISNUMBER(Table3[[#This Row],[Unit Price]])</f>
        <v>1</v>
      </c>
      <c r="M71" t="b">
        <f>ISNUMBER(Table3[[#This Row],[Order Date]])</f>
        <v>1</v>
      </c>
      <c r="N71">
        <f>IFERROR(IF(Table3[[#This Row],[Quantity]]*Table3[[#This Row],[Unit Price]]&lt;0, "N/A", Table3[[#This Row],[Quantity]]*Table3[[#This Row],[Unit Price]]), "N/A")</f>
        <v>20000</v>
      </c>
      <c r="O71">
        <f>IFERROR(Table3[[#This Row],[Unit Price]]*Table3[[#This Row],[Return Qty]], "N/A")</f>
        <v>0</v>
      </c>
      <c r="P71">
        <f>IFERROR(IF((Table3[[#This Row],[Revenue before return]]-Table3[[#This Row],[Amount of order  returned]])&lt;0, "N/A", Table3[[#This Row],[Revenue before return]]-Table3[[#This Row],[Amount of order  returned]]), "N/A")</f>
        <v>20000</v>
      </c>
      <c r="Q7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2" spans="1:17" x14ac:dyDescent="0.2">
      <c r="A72" t="s">
        <v>170</v>
      </c>
      <c r="B72" t="s">
        <v>9</v>
      </c>
      <c r="C72" t="s">
        <v>70</v>
      </c>
      <c r="D72" s="6">
        <v>24</v>
      </c>
      <c r="E72" s="5">
        <v>28000</v>
      </c>
      <c r="F72" t="s">
        <v>171</v>
      </c>
      <c r="G72" s="7" t="s">
        <v>11</v>
      </c>
      <c r="H72" s="5">
        <v>0</v>
      </c>
      <c r="I7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2" t="b">
        <f>((ISNUMBER(Table3[[#This Row],[Quantity]]) )* (Table3[[#This Row],[Quantity]]&gt;0))=1</f>
        <v>1</v>
      </c>
      <c r="K72" t="b">
        <f>((Table3[[#This Row],[Quantity]]&gt;=Table3[[#This Row],[Return Qty]])*(ISNUMBER(Table3[[#This Row],[Quantity]])))=1</f>
        <v>1</v>
      </c>
      <c r="L72" t="b">
        <f>ISNUMBER(Table3[[#This Row],[Unit Price]])</f>
        <v>1</v>
      </c>
      <c r="M72" t="b">
        <f>ISNUMBER(Table3[[#This Row],[Order Date]])</f>
        <v>0</v>
      </c>
      <c r="N72">
        <f>IFERROR(IF(Table3[[#This Row],[Quantity]]*Table3[[#This Row],[Unit Price]]&lt;0, "N/A", Table3[[#This Row],[Quantity]]*Table3[[#This Row],[Unit Price]]), "N/A")</f>
        <v>672000</v>
      </c>
      <c r="O72">
        <f>IFERROR(Table3[[#This Row],[Unit Price]]*Table3[[#This Row],[Return Qty]], "N/A")</f>
        <v>0</v>
      </c>
      <c r="P72">
        <f>IFERROR(IF((Table3[[#This Row],[Revenue before return]]-Table3[[#This Row],[Amount of order  returned]])&lt;0, "N/A", Table3[[#This Row],[Revenue before return]]-Table3[[#This Row],[Amount of order  returned]]), "N/A")</f>
        <v>672000</v>
      </c>
      <c r="Q7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3" spans="1:17" x14ac:dyDescent="0.2">
      <c r="A73" t="s">
        <v>172</v>
      </c>
      <c r="B73" t="s">
        <v>21</v>
      </c>
      <c r="C73" t="s">
        <v>22</v>
      </c>
      <c r="D73" s="6">
        <v>23</v>
      </c>
      <c r="E73" s="5">
        <v>35000</v>
      </c>
      <c r="F73" t="s">
        <v>173</v>
      </c>
      <c r="G73" s="7">
        <v>46153</v>
      </c>
      <c r="H73" s="5">
        <v>0</v>
      </c>
      <c r="I7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3" t="b">
        <f>((ISNUMBER(Table3[[#This Row],[Quantity]]) )* (Table3[[#This Row],[Quantity]]&gt;0))=1</f>
        <v>1</v>
      </c>
      <c r="K73" t="b">
        <f>((Table3[[#This Row],[Quantity]]&gt;=Table3[[#This Row],[Return Qty]])*(ISNUMBER(Table3[[#This Row],[Quantity]])))=1</f>
        <v>1</v>
      </c>
      <c r="L73" t="b">
        <f>ISNUMBER(Table3[[#This Row],[Unit Price]])</f>
        <v>1</v>
      </c>
      <c r="M73" t="b">
        <f>ISNUMBER(Table3[[#This Row],[Order Date]])</f>
        <v>1</v>
      </c>
      <c r="N73">
        <f>IFERROR(IF(Table3[[#This Row],[Quantity]]*Table3[[#This Row],[Unit Price]]&lt;0, "N/A", Table3[[#This Row],[Quantity]]*Table3[[#This Row],[Unit Price]]), "N/A")</f>
        <v>805000</v>
      </c>
      <c r="O73">
        <f>IFERROR(Table3[[#This Row],[Unit Price]]*Table3[[#This Row],[Return Qty]], "N/A")</f>
        <v>0</v>
      </c>
      <c r="P73">
        <f>IFERROR(IF((Table3[[#This Row],[Revenue before return]]-Table3[[#This Row],[Amount of order  returned]])&lt;0, "N/A", Table3[[#This Row],[Revenue before return]]-Table3[[#This Row],[Amount of order  returned]]), "N/A")</f>
        <v>805000</v>
      </c>
      <c r="Q7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4" spans="1:17" x14ac:dyDescent="0.2">
      <c r="A74" t="s">
        <v>174</v>
      </c>
      <c r="B74" t="s">
        <v>25</v>
      </c>
      <c r="C74" t="s">
        <v>32</v>
      </c>
      <c r="D74" s="6">
        <v>24</v>
      </c>
      <c r="E74" s="5">
        <v>8000</v>
      </c>
      <c r="F74" t="s">
        <v>175</v>
      </c>
      <c r="G74" s="7">
        <v>46163</v>
      </c>
      <c r="H74" s="5">
        <v>0</v>
      </c>
      <c r="I7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4" t="b">
        <f>((ISNUMBER(Table3[[#This Row],[Quantity]]) )* (Table3[[#This Row],[Quantity]]&gt;0))=1</f>
        <v>1</v>
      </c>
      <c r="K74" t="b">
        <f>((Table3[[#This Row],[Quantity]]&gt;=Table3[[#This Row],[Return Qty]])*(ISNUMBER(Table3[[#This Row],[Quantity]])))=1</f>
        <v>1</v>
      </c>
      <c r="L74" t="b">
        <f>ISNUMBER(Table3[[#This Row],[Unit Price]])</f>
        <v>1</v>
      </c>
      <c r="M74" t="b">
        <f>ISNUMBER(Table3[[#This Row],[Order Date]])</f>
        <v>1</v>
      </c>
      <c r="N74">
        <f>IFERROR(IF(Table3[[#This Row],[Quantity]]*Table3[[#This Row],[Unit Price]]&lt;0, "N/A", Table3[[#This Row],[Quantity]]*Table3[[#This Row],[Unit Price]]), "N/A")</f>
        <v>192000</v>
      </c>
      <c r="O74">
        <f>IFERROR(Table3[[#This Row],[Unit Price]]*Table3[[#This Row],[Return Qty]], "N/A")</f>
        <v>0</v>
      </c>
      <c r="P74">
        <f>IFERROR(IF((Table3[[#This Row],[Revenue before return]]-Table3[[#This Row],[Amount of order  returned]])&lt;0, "N/A", Table3[[#This Row],[Revenue before return]]-Table3[[#This Row],[Amount of order  returned]]), "N/A")</f>
        <v>192000</v>
      </c>
      <c r="Q7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5" spans="1:17" x14ac:dyDescent="0.2">
      <c r="A75" t="s">
        <v>176</v>
      </c>
      <c r="B75" t="s">
        <v>14</v>
      </c>
      <c r="C75" t="s">
        <v>10</v>
      </c>
      <c r="D75" s="6">
        <v>1</v>
      </c>
      <c r="E75" s="5">
        <v>15000</v>
      </c>
      <c r="F75" t="s">
        <v>177</v>
      </c>
      <c r="G75" s="7">
        <v>46076</v>
      </c>
      <c r="H75" s="5">
        <v>0</v>
      </c>
      <c r="I7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5" t="b">
        <f>((ISNUMBER(Table3[[#This Row],[Quantity]]) )* (Table3[[#This Row],[Quantity]]&gt;0))=1</f>
        <v>1</v>
      </c>
      <c r="K75" t="b">
        <f>((Table3[[#This Row],[Quantity]]&gt;=Table3[[#This Row],[Return Qty]])*(ISNUMBER(Table3[[#This Row],[Quantity]])))=1</f>
        <v>1</v>
      </c>
      <c r="L75" t="b">
        <f>ISNUMBER(Table3[[#This Row],[Unit Price]])</f>
        <v>1</v>
      </c>
      <c r="M75" t="b">
        <f>ISNUMBER(Table3[[#This Row],[Order Date]])</f>
        <v>1</v>
      </c>
      <c r="N75">
        <f>IFERROR(IF(Table3[[#This Row],[Quantity]]*Table3[[#This Row],[Unit Price]]&lt;0, "N/A", Table3[[#This Row],[Quantity]]*Table3[[#This Row],[Unit Price]]), "N/A")</f>
        <v>15000</v>
      </c>
      <c r="O75">
        <f>IFERROR(Table3[[#This Row],[Unit Price]]*Table3[[#This Row],[Return Qty]], "N/A")</f>
        <v>0</v>
      </c>
      <c r="P75">
        <f>IFERROR(IF((Table3[[#This Row],[Revenue before return]]-Table3[[#This Row],[Amount of order  returned]])&lt;0, "N/A", Table3[[#This Row],[Revenue before return]]-Table3[[#This Row],[Amount of order  returned]]), "N/A")</f>
        <v>15000</v>
      </c>
      <c r="Q7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6" spans="1:17" x14ac:dyDescent="0.2">
      <c r="A76" t="s">
        <v>178</v>
      </c>
      <c r="B76" t="s">
        <v>25</v>
      </c>
      <c r="C76" t="s">
        <v>22</v>
      </c>
      <c r="D76" s="6">
        <v>24</v>
      </c>
      <c r="E76" s="5">
        <v>35000</v>
      </c>
      <c r="F76" t="s">
        <v>179</v>
      </c>
      <c r="G76" s="7">
        <v>46106</v>
      </c>
      <c r="H76" s="5">
        <v>4</v>
      </c>
      <c r="I7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6" t="b">
        <f>((ISNUMBER(Table3[[#This Row],[Quantity]]) )* (Table3[[#This Row],[Quantity]]&gt;0))=1</f>
        <v>1</v>
      </c>
      <c r="K76" t="b">
        <f>((Table3[[#This Row],[Quantity]]&gt;=Table3[[#This Row],[Return Qty]])*(ISNUMBER(Table3[[#This Row],[Quantity]])))=1</f>
        <v>1</v>
      </c>
      <c r="L76" t="b">
        <f>ISNUMBER(Table3[[#This Row],[Unit Price]])</f>
        <v>1</v>
      </c>
      <c r="M76" t="b">
        <f>ISNUMBER(Table3[[#This Row],[Order Date]])</f>
        <v>1</v>
      </c>
      <c r="N76">
        <f>IFERROR(IF(Table3[[#This Row],[Quantity]]*Table3[[#This Row],[Unit Price]]&lt;0, "N/A", Table3[[#This Row],[Quantity]]*Table3[[#This Row],[Unit Price]]), "N/A")</f>
        <v>840000</v>
      </c>
      <c r="O76">
        <f>IFERROR(Table3[[#This Row],[Unit Price]]*Table3[[#This Row],[Return Qty]], "N/A")</f>
        <v>140000</v>
      </c>
      <c r="P76">
        <f>IFERROR(IF((Table3[[#This Row],[Revenue before return]]-Table3[[#This Row],[Amount of order  returned]])&lt;0, "N/A", Table3[[#This Row],[Revenue before return]]-Table3[[#This Row],[Amount of order  returned]]), "N/A")</f>
        <v>700000</v>
      </c>
      <c r="Q7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7" spans="1:17" x14ac:dyDescent="0.2">
      <c r="A77" t="s">
        <v>180</v>
      </c>
      <c r="B77" t="s">
        <v>25</v>
      </c>
      <c r="C77" t="s">
        <v>70</v>
      </c>
      <c r="D77" s="6">
        <v>5</v>
      </c>
      <c r="E77" s="5">
        <v>28000</v>
      </c>
      <c r="F77" t="s">
        <v>181</v>
      </c>
      <c r="G77" s="7">
        <v>46142</v>
      </c>
      <c r="H77" s="5">
        <v>0</v>
      </c>
      <c r="I7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7" t="b">
        <f>((ISNUMBER(Table3[[#This Row],[Quantity]]) )* (Table3[[#This Row],[Quantity]]&gt;0))=1</f>
        <v>1</v>
      </c>
      <c r="K77" t="b">
        <f>((Table3[[#This Row],[Quantity]]&gt;=Table3[[#This Row],[Return Qty]])*(ISNUMBER(Table3[[#This Row],[Quantity]])))=1</f>
        <v>1</v>
      </c>
      <c r="L77" t="b">
        <f>ISNUMBER(Table3[[#This Row],[Unit Price]])</f>
        <v>1</v>
      </c>
      <c r="M77" t="b">
        <f>ISNUMBER(Table3[[#This Row],[Order Date]])</f>
        <v>1</v>
      </c>
      <c r="N77">
        <f>IFERROR(IF(Table3[[#This Row],[Quantity]]*Table3[[#This Row],[Unit Price]]&lt;0, "N/A", Table3[[#This Row],[Quantity]]*Table3[[#This Row],[Unit Price]]), "N/A")</f>
        <v>140000</v>
      </c>
      <c r="O77">
        <f>IFERROR(Table3[[#This Row],[Unit Price]]*Table3[[#This Row],[Return Qty]], "N/A")</f>
        <v>0</v>
      </c>
      <c r="P77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7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8" spans="1:17" x14ac:dyDescent="0.2">
      <c r="A78" t="s">
        <v>182</v>
      </c>
      <c r="B78" t="s">
        <v>21</v>
      </c>
      <c r="C78" t="s">
        <v>70</v>
      </c>
      <c r="D78" s="6">
        <v>13</v>
      </c>
      <c r="E78" s="5">
        <v>28000</v>
      </c>
      <c r="F78" t="s">
        <v>183</v>
      </c>
      <c r="G78" s="7">
        <v>46103</v>
      </c>
      <c r="H78" s="5">
        <v>21</v>
      </c>
      <c r="I7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8" t="b">
        <f>((ISNUMBER(Table3[[#This Row],[Quantity]]) )* (Table3[[#This Row],[Quantity]]&gt;0))=1</f>
        <v>1</v>
      </c>
      <c r="K78" t="b">
        <f>((Table3[[#This Row],[Quantity]]&gt;=Table3[[#This Row],[Return Qty]])*(ISNUMBER(Table3[[#This Row],[Quantity]])))=1</f>
        <v>0</v>
      </c>
      <c r="L78" t="b">
        <f>ISNUMBER(Table3[[#This Row],[Unit Price]])</f>
        <v>1</v>
      </c>
      <c r="M78" t="b">
        <f>ISNUMBER(Table3[[#This Row],[Order Date]])</f>
        <v>1</v>
      </c>
      <c r="N78">
        <f>IFERROR(IF(Table3[[#This Row],[Quantity]]*Table3[[#This Row],[Unit Price]]&lt;0, "N/A", Table3[[#This Row],[Quantity]]*Table3[[#This Row],[Unit Price]]), "N/A")</f>
        <v>364000</v>
      </c>
      <c r="O78">
        <f>IFERROR(Table3[[#This Row],[Unit Price]]*Table3[[#This Row],[Return Qty]], "N/A")</f>
        <v>588000</v>
      </c>
      <c r="P78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7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9" spans="1:17" x14ac:dyDescent="0.2">
      <c r="A79" t="s">
        <v>184</v>
      </c>
      <c r="B79" t="s">
        <v>185</v>
      </c>
      <c r="C79" t="s">
        <v>32</v>
      </c>
      <c r="D79" s="6">
        <v>8</v>
      </c>
      <c r="E79" s="5">
        <v>8000</v>
      </c>
      <c r="F79" t="s">
        <v>16</v>
      </c>
      <c r="G79" s="7">
        <v>46175</v>
      </c>
      <c r="H79" s="5">
        <v>0</v>
      </c>
      <c r="I7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9" t="b">
        <f>((ISNUMBER(Table3[[#This Row],[Quantity]]) )* (Table3[[#This Row],[Quantity]]&gt;0))=1</f>
        <v>1</v>
      </c>
      <c r="K79" t="b">
        <f>((Table3[[#This Row],[Quantity]]&gt;=Table3[[#This Row],[Return Qty]])*(ISNUMBER(Table3[[#This Row],[Quantity]])))=1</f>
        <v>1</v>
      </c>
      <c r="L79" t="b">
        <f>ISNUMBER(Table3[[#This Row],[Unit Price]])</f>
        <v>1</v>
      </c>
      <c r="M79" t="b">
        <f>ISNUMBER(Table3[[#This Row],[Order Date]])</f>
        <v>1</v>
      </c>
      <c r="N79">
        <f>IFERROR(IF(Table3[[#This Row],[Quantity]]*Table3[[#This Row],[Unit Price]]&lt;0, "N/A", Table3[[#This Row],[Quantity]]*Table3[[#This Row],[Unit Price]]), "N/A")</f>
        <v>64000</v>
      </c>
      <c r="O79">
        <f>IFERROR(Table3[[#This Row],[Unit Price]]*Table3[[#This Row],[Return Qty]], "N/A")</f>
        <v>0</v>
      </c>
      <c r="P79">
        <f>IFERROR(IF((Table3[[#This Row],[Revenue before return]]-Table3[[#This Row],[Amount of order  returned]])&lt;0, "N/A", Table3[[#This Row],[Revenue before return]]-Table3[[#This Row],[Amount of order  returned]]), "N/A")</f>
        <v>64000</v>
      </c>
      <c r="Q7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0" spans="1:17" x14ac:dyDescent="0.2">
      <c r="A80" t="s">
        <v>186</v>
      </c>
      <c r="B80" t="s">
        <v>25</v>
      </c>
      <c r="C80" t="s">
        <v>10</v>
      </c>
      <c r="D80" s="6">
        <v>17</v>
      </c>
      <c r="E80" s="5">
        <v>15000</v>
      </c>
      <c r="F80" t="s">
        <v>50</v>
      </c>
      <c r="G80" s="7">
        <v>46119</v>
      </c>
      <c r="H80" s="5">
        <v>0</v>
      </c>
      <c r="I8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0" t="b">
        <f>((ISNUMBER(Table3[[#This Row],[Quantity]]) )* (Table3[[#This Row],[Quantity]]&gt;0))=1</f>
        <v>1</v>
      </c>
      <c r="K80" t="b">
        <f>((Table3[[#This Row],[Quantity]]&gt;=Table3[[#This Row],[Return Qty]])*(ISNUMBER(Table3[[#This Row],[Quantity]])))=1</f>
        <v>1</v>
      </c>
      <c r="L80" t="b">
        <f>ISNUMBER(Table3[[#This Row],[Unit Price]])</f>
        <v>1</v>
      </c>
      <c r="M80" t="b">
        <f>ISNUMBER(Table3[[#This Row],[Order Date]])</f>
        <v>1</v>
      </c>
      <c r="N80">
        <f>IFERROR(IF(Table3[[#This Row],[Quantity]]*Table3[[#This Row],[Unit Price]]&lt;0, "N/A", Table3[[#This Row],[Quantity]]*Table3[[#This Row],[Unit Price]]), "N/A")</f>
        <v>255000</v>
      </c>
      <c r="O80">
        <f>IFERROR(Table3[[#This Row],[Unit Price]]*Table3[[#This Row],[Return Qty]], "N/A")</f>
        <v>0</v>
      </c>
      <c r="P80">
        <f>IFERROR(IF((Table3[[#This Row],[Revenue before return]]-Table3[[#This Row],[Amount of order  returned]])&lt;0, "N/A", Table3[[#This Row],[Revenue before return]]-Table3[[#This Row],[Amount of order  returned]]), "N/A")</f>
        <v>255000</v>
      </c>
      <c r="Q8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1" spans="1:17" x14ac:dyDescent="0.2">
      <c r="A81" t="s">
        <v>189</v>
      </c>
      <c r="B81" t="s">
        <v>14</v>
      </c>
      <c r="C81" t="s">
        <v>22</v>
      </c>
      <c r="D81" s="6">
        <v>19</v>
      </c>
      <c r="E81" s="5">
        <v>35000</v>
      </c>
      <c r="F81" t="s">
        <v>190</v>
      </c>
      <c r="G81" s="7">
        <v>46056</v>
      </c>
      <c r="H81" s="5">
        <v>0</v>
      </c>
      <c r="I8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1" t="b">
        <f>((ISNUMBER(Table3[[#This Row],[Quantity]]) )* (Table3[[#This Row],[Quantity]]&gt;0))=1</f>
        <v>1</v>
      </c>
      <c r="K81" t="b">
        <f>((Table3[[#This Row],[Quantity]]&gt;=Table3[[#This Row],[Return Qty]])*(ISNUMBER(Table3[[#This Row],[Quantity]])))=1</f>
        <v>1</v>
      </c>
      <c r="L81" t="b">
        <f>ISNUMBER(Table3[[#This Row],[Unit Price]])</f>
        <v>1</v>
      </c>
      <c r="M81" t="b">
        <f>ISNUMBER(Table3[[#This Row],[Order Date]])</f>
        <v>1</v>
      </c>
      <c r="N81">
        <f>IFERROR(IF(Table3[[#This Row],[Quantity]]*Table3[[#This Row],[Unit Price]]&lt;0, "N/A", Table3[[#This Row],[Quantity]]*Table3[[#This Row],[Unit Price]]), "N/A")</f>
        <v>665000</v>
      </c>
      <c r="O81">
        <f>IFERROR(Table3[[#This Row],[Unit Price]]*Table3[[#This Row],[Return Qty]], "N/A")</f>
        <v>0</v>
      </c>
      <c r="P81">
        <f>IFERROR(IF((Table3[[#This Row],[Revenue before return]]-Table3[[#This Row],[Amount of order  returned]])&lt;0, "N/A", Table3[[#This Row],[Revenue before return]]-Table3[[#This Row],[Amount of order  returned]]), "N/A")</f>
        <v>665000</v>
      </c>
      <c r="Q8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2" spans="1:17" x14ac:dyDescent="0.2">
      <c r="A82" t="s">
        <v>191</v>
      </c>
      <c r="B82" t="s">
        <v>21</v>
      </c>
      <c r="C82" t="s">
        <v>10</v>
      </c>
      <c r="D82" s="6">
        <v>15</v>
      </c>
      <c r="E82" s="5">
        <v>15000</v>
      </c>
      <c r="F82" t="s">
        <v>163</v>
      </c>
      <c r="G82" s="7">
        <v>46135</v>
      </c>
      <c r="H82" s="5">
        <v>0</v>
      </c>
      <c r="I8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2" t="b">
        <f>((ISNUMBER(Table3[[#This Row],[Quantity]]) )* (Table3[[#This Row],[Quantity]]&gt;0))=1</f>
        <v>1</v>
      </c>
      <c r="K82" t="b">
        <f>((Table3[[#This Row],[Quantity]]&gt;=Table3[[#This Row],[Return Qty]])*(ISNUMBER(Table3[[#This Row],[Quantity]])))=1</f>
        <v>1</v>
      </c>
      <c r="L82" t="b">
        <f>ISNUMBER(Table3[[#This Row],[Unit Price]])</f>
        <v>1</v>
      </c>
      <c r="M82" t="b">
        <f>ISNUMBER(Table3[[#This Row],[Order Date]])</f>
        <v>1</v>
      </c>
      <c r="N82">
        <f>IFERROR(IF(Table3[[#This Row],[Quantity]]*Table3[[#This Row],[Unit Price]]&lt;0, "N/A", Table3[[#This Row],[Quantity]]*Table3[[#This Row],[Unit Price]]), "N/A")</f>
        <v>225000</v>
      </c>
      <c r="O82">
        <f>IFERROR(Table3[[#This Row],[Unit Price]]*Table3[[#This Row],[Return Qty]], "N/A")</f>
        <v>0</v>
      </c>
      <c r="P82">
        <f>IFERROR(IF((Table3[[#This Row],[Revenue before return]]-Table3[[#This Row],[Amount of order  returned]])&lt;0, "N/A", Table3[[#This Row],[Revenue before return]]-Table3[[#This Row],[Amount of order  returned]]), "N/A")</f>
        <v>225000</v>
      </c>
      <c r="Q8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3" spans="1:17" x14ac:dyDescent="0.2">
      <c r="A83" t="s">
        <v>192</v>
      </c>
      <c r="B83" t="s">
        <v>25</v>
      </c>
      <c r="C83" t="s">
        <v>22</v>
      </c>
      <c r="D83" s="6">
        <v>4</v>
      </c>
      <c r="E83" s="5">
        <v>35000</v>
      </c>
      <c r="F83" t="s">
        <v>193</v>
      </c>
      <c r="G83" s="7">
        <v>46193</v>
      </c>
      <c r="H83" s="5">
        <v>1</v>
      </c>
      <c r="I8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3" t="b">
        <f>((ISNUMBER(Table3[[#This Row],[Quantity]]) )* (Table3[[#This Row],[Quantity]]&gt;0))=1</f>
        <v>1</v>
      </c>
      <c r="K83" t="b">
        <f>((Table3[[#This Row],[Quantity]]&gt;=Table3[[#This Row],[Return Qty]])*(ISNUMBER(Table3[[#This Row],[Quantity]])))=1</f>
        <v>1</v>
      </c>
      <c r="L83" t="b">
        <f>ISNUMBER(Table3[[#This Row],[Unit Price]])</f>
        <v>1</v>
      </c>
      <c r="M83" t="b">
        <f>ISNUMBER(Table3[[#This Row],[Order Date]])</f>
        <v>1</v>
      </c>
      <c r="N83">
        <f>IFERROR(IF(Table3[[#This Row],[Quantity]]*Table3[[#This Row],[Unit Price]]&lt;0, "N/A", Table3[[#This Row],[Quantity]]*Table3[[#This Row],[Unit Price]]), "N/A")</f>
        <v>140000</v>
      </c>
      <c r="O83">
        <f>IFERROR(Table3[[#This Row],[Unit Price]]*Table3[[#This Row],[Return Qty]], "N/A")</f>
        <v>35000</v>
      </c>
      <c r="P83">
        <f>IFERROR(IF((Table3[[#This Row],[Revenue before return]]-Table3[[#This Row],[Amount of order  returned]])&lt;0, "N/A", Table3[[#This Row],[Revenue before return]]-Table3[[#This Row],[Amount of order  returned]]), "N/A")</f>
        <v>105000</v>
      </c>
      <c r="Q8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4" spans="1:17" x14ac:dyDescent="0.2">
      <c r="A84" t="s">
        <v>194</v>
      </c>
      <c r="B84" t="s">
        <v>25</v>
      </c>
      <c r="C84" t="s">
        <v>18</v>
      </c>
      <c r="D84" s="6">
        <v>7</v>
      </c>
      <c r="E84" s="5">
        <v>50000</v>
      </c>
      <c r="F84" t="s">
        <v>195</v>
      </c>
      <c r="G84" s="7">
        <v>46158</v>
      </c>
      <c r="H84" s="5">
        <v>0</v>
      </c>
      <c r="I8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4" t="b">
        <f>((ISNUMBER(Table3[[#This Row],[Quantity]]) )* (Table3[[#This Row],[Quantity]]&gt;0))=1</f>
        <v>1</v>
      </c>
      <c r="K84" t="b">
        <f>((Table3[[#This Row],[Quantity]]&gt;=Table3[[#This Row],[Return Qty]])*(ISNUMBER(Table3[[#This Row],[Quantity]])))=1</f>
        <v>1</v>
      </c>
      <c r="L84" t="b">
        <f>ISNUMBER(Table3[[#This Row],[Unit Price]])</f>
        <v>1</v>
      </c>
      <c r="M84" t="b">
        <f>ISNUMBER(Table3[[#This Row],[Order Date]])</f>
        <v>1</v>
      </c>
      <c r="N84">
        <f>IFERROR(IF(Table3[[#This Row],[Quantity]]*Table3[[#This Row],[Unit Price]]&lt;0, "N/A", Table3[[#This Row],[Quantity]]*Table3[[#This Row],[Unit Price]]), "N/A")</f>
        <v>350000</v>
      </c>
      <c r="O84">
        <f>IFERROR(Table3[[#This Row],[Unit Price]]*Table3[[#This Row],[Return Qty]], "N/A")</f>
        <v>0</v>
      </c>
      <c r="P84">
        <f>IFERROR(IF((Table3[[#This Row],[Revenue before return]]-Table3[[#This Row],[Amount of order  returned]])&lt;0, "N/A", Table3[[#This Row],[Revenue before return]]-Table3[[#This Row],[Amount of order  returned]]), "N/A")</f>
        <v>350000</v>
      </c>
      <c r="Q8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5" spans="1:17" x14ac:dyDescent="0.2">
      <c r="A85" t="s">
        <v>196</v>
      </c>
      <c r="B85" t="s">
        <v>25</v>
      </c>
      <c r="C85" t="s">
        <v>70</v>
      </c>
      <c r="D85" s="6">
        <v>7</v>
      </c>
      <c r="E85" s="5">
        <v>28000</v>
      </c>
      <c r="F85" t="s">
        <v>197</v>
      </c>
      <c r="G85" s="7">
        <v>46103</v>
      </c>
      <c r="H85" s="5">
        <v>2</v>
      </c>
      <c r="I8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5" t="b">
        <f>((ISNUMBER(Table3[[#This Row],[Quantity]]) )* (Table3[[#This Row],[Quantity]]&gt;0))=1</f>
        <v>1</v>
      </c>
      <c r="K85" t="b">
        <f>((Table3[[#This Row],[Quantity]]&gt;=Table3[[#This Row],[Return Qty]])*(ISNUMBER(Table3[[#This Row],[Quantity]])))=1</f>
        <v>1</v>
      </c>
      <c r="L85" t="b">
        <f>ISNUMBER(Table3[[#This Row],[Unit Price]])</f>
        <v>1</v>
      </c>
      <c r="M85" t="b">
        <f>ISNUMBER(Table3[[#This Row],[Order Date]])</f>
        <v>1</v>
      </c>
      <c r="N85">
        <f>IFERROR(IF(Table3[[#This Row],[Quantity]]*Table3[[#This Row],[Unit Price]]&lt;0, "N/A", Table3[[#This Row],[Quantity]]*Table3[[#This Row],[Unit Price]]), "N/A")</f>
        <v>196000</v>
      </c>
      <c r="O85">
        <f>IFERROR(Table3[[#This Row],[Unit Price]]*Table3[[#This Row],[Return Qty]], "N/A")</f>
        <v>56000</v>
      </c>
      <c r="P85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8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6" spans="1:17" x14ac:dyDescent="0.2">
      <c r="A86" t="s">
        <v>198</v>
      </c>
      <c r="B86" t="s">
        <v>25</v>
      </c>
      <c r="C86" t="s">
        <v>32</v>
      </c>
      <c r="D86" s="6">
        <v>7</v>
      </c>
      <c r="E86" s="5">
        <v>8000</v>
      </c>
      <c r="F86" t="s">
        <v>199</v>
      </c>
      <c r="G86" s="7">
        <v>46173</v>
      </c>
      <c r="H86" s="5">
        <v>0</v>
      </c>
      <c r="I8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6" t="b">
        <f>((ISNUMBER(Table3[[#This Row],[Quantity]]) )* (Table3[[#This Row],[Quantity]]&gt;0))=1</f>
        <v>1</v>
      </c>
      <c r="K86" t="b">
        <f>((Table3[[#This Row],[Quantity]]&gt;=Table3[[#This Row],[Return Qty]])*(ISNUMBER(Table3[[#This Row],[Quantity]])))=1</f>
        <v>1</v>
      </c>
      <c r="L86" t="b">
        <f>ISNUMBER(Table3[[#This Row],[Unit Price]])</f>
        <v>1</v>
      </c>
      <c r="M86" t="b">
        <f>ISNUMBER(Table3[[#This Row],[Order Date]])</f>
        <v>1</v>
      </c>
      <c r="N86">
        <f>IFERROR(IF(Table3[[#This Row],[Quantity]]*Table3[[#This Row],[Unit Price]]&lt;0, "N/A", Table3[[#This Row],[Quantity]]*Table3[[#This Row],[Unit Price]]), "N/A")</f>
        <v>56000</v>
      </c>
      <c r="O86">
        <f>IFERROR(Table3[[#This Row],[Unit Price]]*Table3[[#This Row],[Return Qty]], "N/A")</f>
        <v>0</v>
      </c>
      <c r="P86">
        <f>IFERROR(IF((Table3[[#This Row],[Revenue before return]]-Table3[[#This Row],[Amount of order  returned]])&lt;0, "N/A", Table3[[#This Row],[Revenue before return]]-Table3[[#This Row],[Amount of order  returned]]), "N/A")</f>
        <v>56000</v>
      </c>
      <c r="Q8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7" spans="1:17" x14ac:dyDescent="0.2">
      <c r="A87" t="s">
        <v>200</v>
      </c>
      <c r="B87" t="s">
        <v>14</v>
      </c>
      <c r="C87" t="s">
        <v>70</v>
      </c>
      <c r="D87" s="6">
        <v>7</v>
      </c>
      <c r="E87" s="5">
        <v>28000</v>
      </c>
      <c r="F87" t="s">
        <v>201</v>
      </c>
      <c r="G87" s="7">
        <v>46173</v>
      </c>
      <c r="H87" s="5">
        <v>0</v>
      </c>
      <c r="I8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7" t="b">
        <f>((ISNUMBER(Table3[[#This Row],[Quantity]]) )* (Table3[[#This Row],[Quantity]]&gt;0))=1</f>
        <v>1</v>
      </c>
      <c r="K87" t="b">
        <f>((Table3[[#This Row],[Quantity]]&gt;=Table3[[#This Row],[Return Qty]])*(ISNUMBER(Table3[[#This Row],[Quantity]])))=1</f>
        <v>1</v>
      </c>
      <c r="L87" t="b">
        <f>ISNUMBER(Table3[[#This Row],[Unit Price]])</f>
        <v>1</v>
      </c>
      <c r="M87" t="b">
        <f>ISNUMBER(Table3[[#This Row],[Order Date]])</f>
        <v>1</v>
      </c>
      <c r="N87">
        <f>IFERROR(IF(Table3[[#This Row],[Quantity]]*Table3[[#This Row],[Unit Price]]&lt;0, "N/A", Table3[[#This Row],[Quantity]]*Table3[[#This Row],[Unit Price]]), "N/A")</f>
        <v>196000</v>
      </c>
      <c r="O87">
        <f>IFERROR(Table3[[#This Row],[Unit Price]]*Table3[[#This Row],[Return Qty]], "N/A")</f>
        <v>0</v>
      </c>
      <c r="P87">
        <f>IFERROR(IF((Table3[[#This Row],[Revenue before return]]-Table3[[#This Row],[Amount of order  returned]])&lt;0, "N/A", Table3[[#This Row],[Revenue before return]]-Table3[[#This Row],[Amount of order  returned]]), "N/A")</f>
        <v>196000</v>
      </c>
      <c r="Q8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8" spans="1:17" x14ac:dyDescent="0.2">
      <c r="A88" t="s">
        <v>202</v>
      </c>
      <c r="B88" t="s">
        <v>9</v>
      </c>
      <c r="C88" t="s">
        <v>70</v>
      </c>
      <c r="D88" s="6">
        <v>18</v>
      </c>
      <c r="E88" s="5">
        <v>28000</v>
      </c>
      <c r="F88" t="s">
        <v>203</v>
      </c>
      <c r="G88" s="7">
        <v>46138</v>
      </c>
      <c r="H88" s="5">
        <v>0</v>
      </c>
      <c r="I8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8" t="b">
        <f>((ISNUMBER(Table3[[#This Row],[Quantity]]) )* (Table3[[#This Row],[Quantity]]&gt;0))=1</f>
        <v>1</v>
      </c>
      <c r="K88" t="b">
        <f>((Table3[[#This Row],[Quantity]]&gt;=Table3[[#This Row],[Return Qty]])*(ISNUMBER(Table3[[#This Row],[Quantity]])))=1</f>
        <v>1</v>
      </c>
      <c r="L88" t="b">
        <f>ISNUMBER(Table3[[#This Row],[Unit Price]])</f>
        <v>1</v>
      </c>
      <c r="M88" t="b">
        <f>ISNUMBER(Table3[[#This Row],[Order Date]])</f>
        <v>1</v>
      </c>
      <c r="N88">
        <f>IFERROR(IF(Table3[[#This Row],[Quantity]]*Table3[[#This Row],[Unit Price]]&lt;0, "N/A", Table3[[#This Row],[Quantity]]*Table3[[#This Row],[Unit Price]]), "N/A")</f>
        <v>504000</v>
      </c>
      <c r="O88">
        <f>IFERROR(Table3[[#This Row],[Unit Price]]*Table3[[#This Row],[Return Qty]], "N/A")</f>
        <v>0</v>
      </c>
      <c r="P88">
        <f>IFERROR(IF((Table3[[#This Row],[Revenue before return]]-Table3[[#This Row],[Amount of order  returned]])&lt;0, "N/A", Table3[[#This Row],[Revenue before return]]-Table3[[#This Row],[Amount of order  returned]]), "N/A")</f>
        <v>504000</v>
      </c>
      <c r="Q8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9" spans="1:17" x14ac:dyDescent="0.2">
      <c r="A89" t="s">
        <v>204</v>
      </c>
      <c r="B89" t="s">
        <v>14</v>
      </c>
      <c r="C89" t="s">
        <v>10</v>
      </c>
      <c r="D89" s="6">
        <v>1</v>
      </c>
      <c r="E89" s="5">
        <v>15000</v>
      </c>
      <c r="F89" t="s">
        <v>205</v>
      </c>
      <c r="G89" s="7">
        <v>46029</v>
      </c>
      <c r="H89" s="5">
        <v>9</v>
      </c>
      <c r="I8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9" t="b">
        <f>((ISNUMBER(Table3[[#This Row],[Quantity]]) )* (Table3[[#This Row],[Quantity]]&gt;0))=1</f>
        <v>1</v>
      </c>
      <c r="K89" t="b">
        <f>((Table3[[#This Row],[Quantity]]&gt;=Table3[[#This Row],[Return Qty]])*(ISNUMBER(Table3[[#This Row],[Quantity]])))=1</f>
        <v>0</v>
      </c>
      <c r="L89" t="b">
        <f>ISNUMBER(Table3[[#This Row],[Unit Price]])</f>
        <v>1</v>
      </c>
      <c r="M89" t="b">
        <f>ISNUMBER(Table3[[#This Row],[Order Date]])</f>
        <v>1</v>
      </c>
      <c r="N89">
        <f>IFERROR(IF(Table3[[#This Row],[Quantity]]*Table3[[#This Row],[Unit Price]]&lt;0, "N/A", Table3[[#This Row],[Quantity]]*Table3[[#This Row],[Unit Price]]), "N/A")</f>
        <v>15000</v>
      </c>
      <c r="O89">
        <f>IFERROR(Table3[[#This Row],[Unit Price]]*Table3[[#This Row],[Return Qty]], "N/A")</f>
        <v>135000</v>
      </c>
      <c r="P89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8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0" spans="1:17" x14ac:dyDescent="0.2">
      <c r="A90" t="s">
        <v>206</v>
      </c>
      <c r="B90" t="s">
        <v>14</v>
      </c>
      <c r="C90" t="s">
        <v>10</v>
      </c>
      <c r="D90" s="6">
        <v>21</v>
      </c>
      <c r="E90" s="5">
        <v>15000</v>
      </c>
      <c r="F90" t="s">
        <v>207</v>
      </c>
      <c r="G90" s="7">
        <v>46102</v>
      </c>
      <c r="H90" s="5">
        <v>0</v>
      </c>
      <c r="I9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0" t="b">
        <f>((ISNUMBER(Table3[[#This Row],[Quantity]]) )* (Table3[[#This Row],[Quantity]]&gt;0))=1</f>
        <v>1</v>
      </c>
      <c r="K90" t="b">
        <f>((Table3[[#This Row],[Quantity]]&gt;=Table3[[#This Row],[Return Qty]])*(ISNUMBER(Table3[[#This Row],[Quantity]])))=1</f>
        <v>1</v>
      </c>
      <c r="L90" t="b">
        <f>ISNUMBER(Table3[[#This Row],[Unit Price]])</f>
        <v>1</v>
      </c>
      <c r="M90" t="b">
        <f>ISNUMBER(Table3[[#This Row],[Order Date]])</f>
        <v>1</v>
      </c>
      <c r="N90">
        <f>IFERROR(IF(Table3[[#This Row],[Quantity]]*Table3[[#This Row],[Unit Price]]&lt;0, "N/A", Table3[[#This Row],[Quantity]]*Table3[[#This Row],[Unit Price]]), "N/A")</f>
        <v>315000</v>
      </c>
      <c r="O90">
        <f>IFERROR(Table3[[#This Row],[Unit Price]]*Table3[[#This Row],[Return Qty]], "N/A")</f>
        <v>0</v>
      </c>
      <c r="P90">
        <f>IFERROR(IF((Table3[[#This Row],[Revenue before return]]-Table3[[#This Row],[Amount of order  returned]])&lt;0, "N/A", Table3[[#This Row],[Revenue before return]]-Table3[[#This Row],[Amount of order  returned]]), "N/A")</f>
        <v>315000</v>
      </c>
      <c r="Q9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1" spans="1:17" x14ac:dyDescent="0.2">
      <c r="A91" t="s">
        <v>208</v>
      </c>
      <c r="B91" t="s">
        <v>21</v>
      </c>
      <c r="C91" t="s">
        <v>18</v>
      </c>
      <c r="D91" s="6">
        <v>8</v>
      </c>
      <c r="E91" s="5">
        <v>50000</v>
      </c>
      <c r="F91" t="s">
        <v>209</v>
      </c>
      <c r="G91" s="7">
        <v>46121</v>
      </c>
      <c r="H91" s="5">
        <v>0</v>
      </c>
      <c r="I9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1" t="b">
        <f>((ISNUMBER(Table3[[#This Row],[Quantity]]) )* (Table3[[#This Row],[Quantity]]&gt;0))=1</f>
        <v>1</v>
      </c>
      <c r="K91" t="b">
        <f>((Table3[[#This Row],[Quantity]]&gt;=Table3[[#This Row],[Return Qty]])*(ISNUMBER(Table3[[#This Row],[Quantity]])))=1</f>
        <v>1</v>
      </c>
      <c r="L91" t="b">
        <f>ISNUMBER(Table3[[#This Row],[Unit Price]])</f>
        <v>1</v>
      </c>
      <c r="M91" t="b">
        <f>ISNUMBER(Table3[[#This Row],[Order Date]])</f>
        <v>1</v>
      </c>
      <c r="N91">
        <f>IFERROR(IF(Table3[[#This Row],[Quantity]]*Table3[[#This Row],[Unit Price]]&lt;0, "N/A", Table3[[#This Row],[Quantity]]*Table3[[#This Row],[Unit Price]]), "N/A")</f>
        <v>400000</v>
      </c>
      <c r="O91">
        <f>IFERROR(Table3[[#This Row],[Unit Price]]*Table3[[#This Row],[Return Qty]], "N/A")</f>
        <v>0</v>
      </c>
      <c r="P91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9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2" spans="1:17" x14ac:dyDescent="0.2">
      <c r="A92" t="s">
        <v>210</v>
      </c>
      <c r="B92" t="s">
        <v>21</v>
      </c>
      <c r="C92" t="s">
        <v>22</v>
      </c>
      <c r="D92" s="6">
        <v>4</v>
      </c>
      <c r="E92" s="5">
        <v>35000</v>
      </c>
      <c r="F92" t="s">
        <v>211</v>
      </c>
      <c r="G92" s="7">
        <v>46187</v>
      </c>
      <c r="H92" s="5">
        <v>0</v>
      </c>
      <c r="I9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2" t="b">
        <f>((ISNUMBER(Table3[[#This Row],[Quantity]]) )* (Table3[[#This Row],[Quantity]]&gt;0))=1</f>
        <v>1</v>
      </c>
      <c r="K92" t="b">
        <f>((Table3[[#This Row],[Quantity]]&gt;=Table3[[#This Row],[Return Qty]])*(ISNUMBER(Table3[[#This Row],[Quantity]])))=1</f>
        <v>1</v>
      </c>
      <c r="L92" t="b">
        <f>ISNUMBER(Table3[[#This Row],[Unit Price]])</f>
        <v>1</v>
      </c>
      <c r="M92" t="b">
        <f>ISNUMBER(Table3[[#This Row],[Order Date]])</f>
        <v>1</v>
      </c>
      <c r="N92">
        <f>IFERROR(IF(Table3[[#This Row],[Quantity]]*Table3[[#This Row],[Unit Price]]&lt;0, "N/A", Table3[[#This Row],[Quantity]]*Table3[[#This Row],[Unit Price]]), "N/A")</f>
        <v>140000</v>
      </c>
      <c r="O92">
        <f>IFERROR(Table3[[#This Row],[Unit Price]]*Table3[[#This Row],[Return Qty]], "N/A")</f>
        <v>0</v>
      </c>
      <c r="P92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9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3" spans="1:17" x14ac:dyDescent="0.2">
      <c r="A93" t="s">
        <v>213</v>
      </c>
      <c r="B93" t="s">
        <v>21</v>
      </c>
      <c r="C93" t="s">
        <v>10</v>
      </c>
      <c r="D93" s="6">
        <v>25</v>
      </c>
      <c r="E93" s="5">
        <v>15000</v>
      </c>
      <c r="F93" t="s">
        <v>214</v>
      </c>
      <c r="G93" s="7">
        <v>46031</v>
      </c>
      <c r="H93" s="5">
        <v>0</v>
      </c>
      <c r="I9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3" t="b">
        <f>((ISNUMBER(Table3[[#This Row],[Quantity]]) )* (Table3[[#This Row],[Quantity]]&gt;0))=1</f>
        <v>1</v>
      </c>
      <c r="K93" t="b">
        <f>((Table3[[#This Row],[Quantity]]&gt;=Table3[[#This Row],[Return Qty]])*(ISNUMBER(Table3[[#This Row],[Quantity]])))=1</f>
        <v>1</v>
      </c>
      <c r="L93" t="b">
        <f>ISNUMBER(Table3[[#This Row],[Unit Price]])</f>
        <v>1</v>
      </c>
      <c r="M93" t="b">
        <f>ISNUMBER(Table3[[#This Row],[Order Date]])</f>
        <v>1</v>
      </c>
      <c r="N93">
        <f>IFERROR(IF(Table3[[#This Row],[Quantity]]*Table3[[#This Row],[Unit Price]]&lt;0, "N/A", Table3[[#This Row],[Quantity]]*Table3[[#This Row],[Unit Price]]), "N/A")</f>
        <v>375000</v>
      </c>
      <c r="O93">
        <f>IFERROR(Table3[[#This Row],[Unit Price]]*Table3[[#This Row],[Return Qty]], "N/A")</f>
        <v>0</v>
      </c>
      <c r="P93">
        <f>IFERROR(IF((Table3[[#This Row],[Revenue before return]]-Table3[[#This Row],[Amount of order  returned]])&lt;0, "N/A", Table3[[#This Row],[Revenue before return]]-Table3[[#This Row],[Amount of order  returned]]), "N/A")</f>
        <v>375000</v>
      </c>
      <c r="Q9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4" spans="1:17" x14ac:dyDescent="0.2">
      <c r="A94" t="s">
        <v>215</v>
      </c>
      <c r="B94" t="s">
        <v>14</v>
      </c>
      <c r="C94" t="s">
        <v>10</v>
      </c>
      <c r="D94" s="6">
        <v>10</v>
      </c>
      <c r="E94" s="5">
        <v>15000</v>
      </c>
      <c r="F94" t="s">
        <v>216</v>
      </c>
      <c r="G94" s="7" t="s">
        <v>11</v>
      </c>
      <c r="H94" s="5">
        <v>0</v>
      </c>
      <c r="I9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4" t="b">
        <f>((ISNUMBER(Table3[[#This Row],[Quantity]]) )* (Table3[[#This Row],[Quantity]]&gt;0))=1</f>
        <v>1</v>
      </c>
      <c r="K94" t="b">
        <f>((Table3[[#This Row],[Quantity]]&gt;=Table3[[#This Row],[Return Qty]])*(ISNUMBER(Table3[[#This Row],[Quantity]])))=1</f>
        <v>1</v>
      </c>
      <c r="L94" t="b">
        <f>ISNUMBER(Table3[[#This Row],[Unit Price]])</f>
        <v>1</v>
      </c>
      <c r="M94" t="b">
        <f>ISNUMBER(Table3[[#This Row],[Order Date]])</f>
        <v>0</v>
      </c>
      <c r="N94">
        <f>IFERROR(IF(Table3[[#This Row],[Quantity]]*Table3[[#This Row],[Unit Price]]&lt;0, "N/A", Table3[[#This Row],[Quantity]]*Table3[[#This Row],[Unit Price]]), "N/A")</f>
        <v>150000</v>
      </c>
      <c r="O94">
        <f>IFERROR(Table3[[#This Row],[Unit Price]]*Table3[[#This Row],[Return Qty]], "N/A")</f>
        <v>0</v>
      </c>
      <c r="P94">
        <f>IFERROR(IF((Table3[[#This Row],[Revenue before return]]-Table3[[#This Row],[Amount of order  returned]])&lt;0, "N/A", Table3[[#This Row],[Revenue before return]]-Table3[[#This Row],[Amount of order  returned]]), "N/A")</f>
        <v>150000</v>
      </c>
      <c r="Q9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5" spans="1:17" x14ac:dyDescent="0.2">
      <c r="A95" t="s">
        <v>217</v>
      </c>
      <c r="B95" t="s">
        <v>14</v>
      </c>
      <c r="C95" t="s">
        <v>45</v>
      </c>
      <c r="D95" s="6">
        <v>9</v>
      </c>
      <c r="E95" s="5">
        <v>20000</v>
      </c>
      <c r="F95" t="s">
        <v>218</v>
      </c>
      <c r="G95" s="7">
        <v>46101</v>
      </c>
      <c r="H95" s="5">
        <v>0</v>
      </c>
      <c r="I9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5" t="b">
        <f>((ISNUMBER(Table3[[#This Row],[Quantity]]) )* (Table3[[#This Row],[Quantity]]&gt;0))=1</f>
        <v>1</v>
      </c>
      <c r="K95" t="b">
        <f>((Table3[[#This Row],[Quantity]]&gt;=Table3[[#This Row],[Return Qty]])*(ISNUMBER(Table3[[#This Row],[Quantity]])))=1</f>
        <v>1</v>
      </c>
      <c r="L95" t="b">
        <f>ISNUMBER(Table3[[#This Row],[Unit Price]])</f>
        <v>1</v>
      </c>
      <c r="M95" t="b">
        <f>ISNUMBER(Table3[[#This Row],[Order Date]])</f>
        <v>1</v>
      </c>
      <c r="N95">
        <f>IFERROR(IF(Table3[[#This Row],[Quantity]]*Table3[[#This Row],[Unit Price]]&lt;0, "N/A", Table3[[#This Row],[Quantity]]*Table3[[#This Row],[Unit Price]]), "N/A")</f>
        <v>180000</v>
      </c>
      <c r="O95">
        <f>IFERROR(Table3[[#This Row],[Unit Price]]*Table3[[#This Row],[Return Qty]], "N/A")</f>
        <v>0</v>
      </c>
      <c r="P95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9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6" spans="1:17" x14ac:dyDescent="0.2">
      <c r="A96" t="s">
        <v>219</v>
      </c>
      <c r="B96" t="s">
        <v>21</v>
      </c>
      <c r="C96" t="s">
        <v>39</v>
      </c>
      <c r="D96" s="6">
        <v>25</v>
      </c>
      <c r="E96" s="5">
        <v>12000</v>
      </c>
      <c r="F96" t="s">
        <v>220</v>
      </c>
      <c r="G96" s="7">
        <v>46096</v>
      </c>
      <c r="H96" s="5">
        <v>0</v>
      </c>
      <c r="I9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6" t="b">
        <f>((ISNUMBER(Table3[[#This Row],[Quantity]]) )* (Table3[[#This Row],[Quantity]]&gt;0))=1</f>
        <v>1</v>
      </c>
      <c r="K96" t="b">
        <f>((Table3[[#This Row],[Quantity]]&gt;=Table3[[#This Row],[Return Qty]])*(ISNUMBER(Table3[[#This Row],[Quantity]])))=1</f>
        <v>1</v>
      </c>
      <c r="L96" t="b">
        <f>ISNUMBER(Table3[[#This Row],[Unit Price]])</f>
        <v>1</v>
      </c>
      <c r="M96" t="b">
        <f>ISNUMBER(Table3[[#This Row],[Order Date]])</f>
        <v>1</v>
      </c>
      <c r="N96">
        <f>IFERROR(IF(Table3[[#This Row],[Quantity]]*Table3[[#This Row],[Unit Price]]&lt;0, "N/A", Table3[[#This Row],[Quantity]]*Table3[[#This Row],[Unit Price]]), "N/A")</f>
        <v>300000</v>
      </c>
      <c r="O96">
        <f>IFERROR(Table3[[#This Row],[Unit Price]]*Table3[[#This Row],[Return Qty]], "N/A")</f>
        <v>0</v>
      </c>
      <c r="P96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9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7" spans="1:17" x14ac:dyDescent="0.2">
      <c r="A97" t="s">
        <v>221</v>
      </c>
      <c r="B97" t="s">
        <v>21</v>
      </c>
      <c r="C97" t="s">
        <v>39</v>
      </c>
      <c r="D97" s="6">
        <v>23</v>
      </c>
      <c r="E97" s="5">
        <v>12000</v>
      </c>
      <c r="F97" t="s">
        <v>222</v>
      </c>
      <c r="G97" s="7">
        <v>46032</v>
      </c>
      <c r="H97" s="5">
        <v>0</v>
      </c>
      <c r="I9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7" t="b">
        <f>((ISNUMBER(Table3[[#This Row],[Quantity]]) )* (Table3[[#This Row],[Quantity]]&gt;0))=1</f>
        <v>1</v>
      </c>
      <c r="K97" t="b">
        <f>((Table3[[#This Row],[Quantity]]&gt;=Table3[[#This Row],[Return Qty]])*(ISNUMBER(Table3[[#This Row],[Quantity]])))=1</f>
        <v>1</v>
      </c>
      <c r="L97" t="b">
        <f>ISNUMBER(Table3[[#This Row],[Unit Price]])</f>
        <v>1</v>
      </c>
      <c r="M97" t="b">
        <f>ISNUMBER(Table3[[#This Row],[Order Date]])</f>
        <v>1</v>
      </c>
      <c r="N97">
        <f>IFERROR(IF(Table3[[#This Row],[Quantity]]*Table3[[#This Row],[Unit Price]]&lt;0, "N/A", Table3[[#This Row],[Quantity]]*Table3[[#This Row],[Unit Price]]), "N/A")</f>
        <v>276000</v>
      </c>
      <c r="O97">
        <f>IFERROR(Table3[[#This Row],[Unit Price]]*Table3[[#This Row],[Return Qty]], "N/A")</f>
        <v>0</v>
      </c>
      <c r="P97">
        <f>IFERROR(IF((Table3[[#This Row],[Revenue before return]]-Table3[[#This Row],[Amount of order  returned]])&lt;0, "N/A", Table3[[#This Row],[Revenue before return]]-Table3[[#This Row],[Amount of order  returned]]), "N/A")</f>
        <v>276000</v>
      </c>
      <c r="Q9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8" spans="1:17" x14ac:dyDescent="0.2">
      <c r="A98" t="s">
        <v>223</v>
      </c>
      <c r="B98" t="s">
        <v>21</v>
      </c>
      <c r="C98" t="s">
        <v>39</v>
      </c>
      <c r="D98" s="6">
        <v>15</v>
      </c>
      <c r="E98" s="5">
        <v>12000</v>
      </c>
      <c r="F98" t="s">
        <v>190</v>
      </c>
      <c r="G98" s="18" t="s">
        <v>224</v>
      </c>
      <c r="H98" s="5">
        <v>0</v>
      </c>
      <c r="I9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8" t="b">
        <f>((ISNUMBER(Table3[[#This Row],[Quantity]]) )* (Table3[[#This Row],[Quantity]]&gt;0))=1</f>
        <v>1</v>
      </c>
      <c r="K98" t="b">
        <f>((Table3[[#This Row],[Quantity]]&gt;=Table3[[#This Row],[Return Qty]])*(ISNUMBER(Table3[[#This Row],[Quantity]])))=1</f>
        <v>1</v>
      </c>
      <c r="L98" t="b">
        <f>ISNUMBER(Table3[[#This Row],[Unit Price]])</f>
        <v>1</v>
      </c>
      <c r="M98" t="b">
        <f>ISNUMBER(Table3[[#This Row],[Order Date]])</f>
        <v>0</v>
      </c>
      <c r="N98">
        <f>IFERROR(IF(Table3[[#This Row],[Quantity]]*Table3[[#This Row],[Unit Price]]&lt;0, "N/A", Table3[[#This Row],[Quantity]]*Table3[[#This Row],[Unit Price]]), "N/A")</f>
        <v>180000</v>
      </c>
      <c r="O98">
        <f>IFERROR(Table3[[#This Row],[Unit Price]]*Table3[[#This Row],[Return Qty]], "N/A")</f>
        <v>0</v>
      </c>
      <c r="P98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9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9" spans="1:17" x14ac:dyDescent="0.2">
      <c r="A99" t="s">
        <v>225</v>
      </c>
      <c r="B99" t="s">
        <v>25</v>
      </c>
      <c r="C99" t="s">
        <v>22</v>
      </c>
      <c r="D99" s="6">
        <v>1</v>
      </c>
      <c r="E99" s="5">
        <v>35000</v>
      </c>
      <c r="F99" t="s">
        <v>226</v>
      </c>
      <c r="G99" s="7">
        <v>46181</v>
      </c>
      <c r="H99" s="5">
        <v>0</v>
      </c>
      <c r="I9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9" t="b">
        <f>((ISNUMBER(Table3[[#This Row],[Quantity]]) )* (Table3[[#This Row],[Quantity]]&gt;0))=1</f>
        <v>1</v>
      </c>
      <c r="K99" t="b">
        <f>((Table3[[#This Row],[Quantity]]&gt;=Table3[[#This Row],[Return Qty]])*(ISNUMBER(Table3[[#This Row],[Quantity]])))=1</f>
        <v>1</v>
      </c>
      <c r="L99" t="b">
        <f>ISNUMBER(Table3[[#This Row],[Unit Price]])</f>
        <v>1</v>
      </c>
      <c r="M99" t="b">
        <f>ISNUMBER(Table3[[#This Row],[Order Date]])</f>
        <v>1</v>
      </c>
      <c r="N99">
        <f>IFERROR(IF(Table3[[#This Row],[Quantity]]*Table3[[#This Row],[Unit Price]]&lt;0, "N/A", Table3[[#This Row],[Quantity]]*Table3[[#This Row],[Unit Price]]), "N/A")</f>
        <v>35000</v>
      </c>
      <c r="O99">
        <f>IFERROR(Table3[[#This Row],[Unit Price]]*Table3[[#This Row],[Return Qty]], "N/A")</f>
        <v>0</v>
      </c>
      <c r="P99">
        <f>IFERROR(IF((Table3[[#This Row],[Revenue before return]]-Table3[[#This Row],[Amount of order  returned]])&lt;0, "N/A", Table3[[#This Row],[Revenue before return]]-Table3[[#This Row],[Amount of order  returned]]), "N/A")</f>
        <v>35000</v>
      </c>
      <c r="Q9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0" spans="1:17" x14ac:dyDescent="0.2">
      <c r="A100" t="s">
        <v>227</v>
      </c>
      <c r="B100" t="s">
        <v>9</v>
      </c>
      <c r="C100" t="s">
        <v>26</v>
      </c>
      <c r="D100" s="6">
        <v>18</v>
      </c>
      <c r="E100" s="5">
        <v>20000</v>
      </c>
      <c r="F100" t="s">
        <v>228</v>
      </c>
      <c r="G100" s="7">
        <v>46034</v>
      </c>
      <c r="H100" s="5">
        <v>0</v>
      </c>
      <c r="I10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0" t="b">
        <f>((ISNUMBER(Table3[[#This Row],[Quantity]]) )* (Table3[[#This Row],[Quantity]]&gt;0))=1</f>
        <v>1</v>
      </c>
      <c r="K100" t="b">
        <f>((Table3[[#This Row],[Quantity]]&gt;=Table3[[#This Row],[Return Qty]])*(ISNUMBER(Table3[[#This Row],[Quantity]])))=1</f>
        <v>1</v>
      </c>
      <c r="L100" t="b">
        <f>ISNUMBER(Table3[[#This Row],[Unit Price]])</f>
        <v>1</v>
      </c>
      <c r="M100" t="b">
        <f>ISNUMBER(Table3[[#This Row],[Order Date]])</f>
        <v>1</v>
      </c>
      <c r="N100">
        <f>IFERROR(IF(Table3[[#This Row],[Quantity]]*Table3[[#This Row],[Unit Price]]&lt;0, "N/A", Table3[[#This Row],[Quantity]]*Table3[[#This Row],[Unit Price]]), "N/A")</f>
        <v>360000</v>
      </c>
      <c r="O100">
        <f>IFERROR(Table3[[#This Row],[Unit Price]]*Table3[[#This Row],[Return Qty]], "N/A")</f>
        <v>0</v>
      </c>
      <c r="P100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10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1" spans="1:17" x14ac:dyDescent="0.2">
      <c r="A101" t="s">
        <v>229</v>
      </c>
      <c r="B101" t="s">
        <v>9</v>
      </c>
      <c r="C101" t="s">
        <v>10</v>
      </c>
      <c r="D101" s="6">
        <v>12</v>
      </c>
      <c r="E101" s="5">
        <v>15000</v>
      </c>
      <c r="F101" t="s">
        <v>230</v>
      </c>
      <c r="G101" s="7">
        <v>46052</v>
      </c>
      <c r="H101" s="5">
        <v>4</v>
      </c>
      <c r="I10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1" t="b">
        <f>((ISNUMBER(Table3[[#This Row],[Quantity]]) )* (Table3[[#This Row],[Quantity]]&gt;0))=1</f>
        <v>1</v>
      </c>
      <c r="K101" t="b">
        <f>((Table3[[#This Row],[Quantity]]&gt;=Table3[[#This Row],[Return Qty]])*(ISNUMBER(Table3[[#This Row],[Quantity]])))=1</f>
        <v>1</v>
      </c>
      <c r="L101" t="b">
        <f>ISNUMBER(Table3[[#This Row],[Unit Price]])</f>
        <v>1</v>
      </c>
      <c r="M101" t="b">
        <f>ISNUMBER(Table3[[#This Row],[Order Date]])</f>
        <v>1</v>
      </c>
      <c r="N101">
        <f>IFERROR(IF(Table3[[#This Row],[Quantity]]*Table3[[#This Row],[Unit Price]]&lt;0, "N/A", Table3[[#This Row],[Quantity]]*Table3[[#This Row],[Unit Price]]), "N/A")</f>
        <v>180000</v>
      </c>
      <c r="O101">
        <f>IFERROR(Table3[[#This Row],[Unit Price]]*Table3[[#This Row],[Return Qty]], "N/A")</f>
        <v>60000</v>
      </c>
      <c r="P101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10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2" spans="1:17" x14ac:dyDescent="0.2">
      <c r="A102" t="s">
        <v>231</v>
      </c>
      <c r="B102" t="s">
        <v>25</v>
      </c>
      <c r="C102" t="s">
        <v>18</v>
      </c>
      <c r="D102" s="6">
        <v>11</v>
      </c>
      <c r="E102" s="5">
        <v>50000</v>
      </c>
      <c r="F102" t="s">
        <v>232</v>
      </c>
      <c r="G102" s="7">
        <v>46101</v>
      </c>
      <c r="H102" s="5">
        <v>0</v>
      </c>
      <c r="I10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2" t="b">
        <f>((ISNUMBER(Table3[[#This Row],[Quantity]]) )* (Table3[[#This Row],[Quantity]]&gt;0))=1</f>
        <v>1</v>
      </c>
      <c r="K102" t="b">
        <f>((Table3[[#This Row],[Quantity]]&gt;=Table3[[#This Row],[Return Qty]])*(ISNUMBER(Table3[[#This Row],[Quantity]])))=1</f>
        <v>1</v>
      </c>
      <c r="L102" t="b">
        <f>ISNUMBER(Table3[[#This Row],[Unit Price]])</f>
        <v>1</v>
      </c>
      <c r="M102" t="b">
        <f>ISNUMBER(Table3[[#This Row],[Order Date]])</f>
        <v>1</v>
      </c>
      <c r="N102">
        <f>IFERROR(IF(Table3[[#This Row],[Quantity]]*Table3[[#This Row],[Unit Price]]&lt;0, "N/A", Table3[[#This Row],[Quantity]]*Table3[[#This Row],[Unit Price]]), "N/A")</f>
        <v>550000</v>
      </c>
      <c r="O102">
        <f>IFERROR(Table3[[#This Row],[Unit Price]]*Table3[[#This Row],[Return Qty]], "N/A")</f>
        <v>0</v>
      </c>
      <c r="P102">
        <f>IFERROR(IF((Table3[[#This Row],[Revenue before return]]-Table3[[#This Row],[Amount of order  returned]])&lt;0, "N/A", Table3[[#This Row],[Revenue before return]]-Table3[[#This Row],[Amount of order  returned]]), "N/A")</f>
        <v>550000</v>
      </c>
      <c r="Q10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3" spans="1:17" x14ac:dyDescent="0.2">
      <c r="A103" t="s">
        <v>233</v>
      </c>
      <c r="B103" t="s">
        <v>9</v>
      </c>
      <c r="C103" t="s">
        <v>22</v>
      </c>
      <c r="D103" s="6">
        <v>4</v>
      </c>
      <c r="E103" s="5">
        <v>35000</v>
      </c>
      <c r="F103" t="s">
        <v>16</v>
      </c>
      <c r="G103" s="7">
        <v>46026</v>
      </c>
      <c r="H103" s="5">
        <v>0</v>
      </c>
      <c r="I10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3" t="b">
        <f>((ISNUMBER(Table3[[#This Row],[Quantity]]) )* (Table3[[#This Row],[Quantity]]&gt;0))=1</f>
        <v>1</v>
      </c>
      <c r="K103" t="b">
        <f>((Table3[[#This Row],[Quantity]]&gt;=Table3[[#This Row],[Return Qty]])*(ISNUMBER(Table3[[#This Row],[Quantity]])))=1</f>
        <v>1</v>
      </c>
      <c r="L103" t="b">
        <f>ISNUMBER(Table3[[#This Row],[Unit Price]])</f>
        <v>1</v>
      </c>
      <c r="M103" t="b">
        <f>ISNUMBER(Table3[[#This Row],[Order Date]])</f>
        <v>1</v>
      </c>
      <c r="N103">
        <f>IFERROR(IF(Table3[[#This Row],[Quantity]]*Table3[[#This Row],[Unit Price]]&lt;0, "N/A", Table3[[#This Row],[Quantity]]*Table3[[#This Row],[Unit Price]]), "N/A")</f>
        <v>140000</v>
      </c>
      <c r="O103">
        <f>IFERROR(Table3[[#This Row],[Unit Price]]*Table3[[#This Row],[Return Qty]], "N/A")</f>
        <v>0</v>
      </c>
      <c r="P103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10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4" spans="1:17" x14ac:dyDescent="0.2">
      <c r="A104" t="s">
        <v>234</v>
      </c>
      <c r="B104" t="s">
        <v>235</v>
      </c>
      <c r="C104" t="s">
        <v>26</v>
      </c>
      <c r="D104" s="6">
        <v>7</v>
      </c>
      <c r="E104" s="5">
        <v>20000</v>
      </c>
      <c r="F104" t="s">
        <v>236</v>
      </c>
      <c r="G104" s="7">
        <v>46118</v>
      </c>
      <c r="H104" s="5">
        <v>0</v>
      </c>
      <c r="I10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0</v>
      </c>
      <c r="J104" t="b">
        <f>((ISNUMBER(Table3[[#This Row],[Quantity]]) )* (Table3[[#This Row],[Quantity]]&gt;0))=1</f>
        <v>1</v>
      </c>
      <c r="K104" t="b">
        <f>((Table3[[#This Row],[Quantity]]&gt;=Table3[[#This Row],[Return Qty]])*(ISNUMBER(Table3[[#This Row],[Quantity]])))=1</f>
        <v>1</v>
      </c>
      <c r="L104" t="b">
        <f>ISNUMBER(Table3[[#This Row],[Unit Price]])</f>
        <v>1</v>
      </c>
      <c r="M104" t="b">
        <f>ISNUMBER(Table3[[#This Row],[Order Date]])</f>
        <v>1</v>
      </c>
      <c r="N104">
        <f>IFERROR(IF(Table3[[#This Row],[Quantity]]*Table3[[#This Row],[Unit Price]]&lt;0, "N/A", Table3[[#This Row],[Quantity]]*Table3[[#This Row],[Unit Price]]), "N/A")</f>
        <v>140000</v>
      </c>
      <c r="O104">
        <f>IFERROR(Table3[[#This Row],[Unit Price]]*Table3[[#This Row],[Return Qty]], "N/A")</f>
        <v>0</v>
      </c>
      <c r="P104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10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05" spans="1:17" x14ac:dyDescent="0.2">
      <c r="A105" t="s">
        <v>237</v>
      </c>
      <c r="B105" t="s">
        <v>25</v>
      </c>
      <c r="C105" t="s">
        <v>45</v>
      </c>
      <c r="D105" s="6">
        <v>12</v>
      </c>
      <c r="E105" s="5">
        <v>20000</v>
      </c>
      <c r="F105" t="s">
        <v>218</v>
      </c>
      <c r="G105" s="7">
        <v>46189</v>
      </c>
      <c r="H105" s="5">
        <v>0</v>
      </c>
      <c r="I10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5" t="b">
        <f>((ISNUMBER(Table3[[#This Row],[Quantity]]) )* (Table3[[#This Row],[Quantity]]&gt;0))=1</f>
        <v>1</v>
      </c>
      <c r="K105" t="b">
        <f>((Table3[[#This Row],[Quantity]]&gt;=Table3[[#This Row],[Return Qty]])*(ISNUMBER(Table3[[#This Row],[Quantity]])))=1</f>
        <v>1</v>
      </c>
      <c r="L105" t="b">
        <f>ISNUMBER(Table3[[#This Row],[Unit Price]])</f>
        <v>1</v>
      </c>
      <c r="M105" t="b">
        <f>ISNUMBER(Table3[[#This Row],[Order Date]])</f>
        <v>1</v>
      </c>
      <c r="N105">
        <f>IFERROR(IF(Table3[[#This Row],[Quantity]]*Table3[[#This Row],[Unit Price]]&lt;0, "N/A", Table3[[#This Row],[Quantity]]*Table3[[#This Row],[Unit Price]]), "N/A")</f>
        <v>240000</v>
      </c>
      <c r="O105">
        <f>IFERROR(Table3[[#This Row],[Unit Price]]*Table3[[#This Row],[Return Qty]], "N/A")</f>
        <v>0</v>
      </c>
      <c r="P105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10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6" spans="1:17" x14ac:dyDescent="0.2">
      <c r="A106" t="s">
        <v>238</v>
      </c>
      <c r="B106" t="s">
        <v>14</v>
      </c>
      <c r="C106" t="s">
        <v>39</v>
      </c>
      <c r="D106" s="6">
        <v>24</v>
      </c>
      <c r="E106" s="5">
        <v>12000</v>
      </c>
      <c r="F106" t="s">
        <v>92</v>
      </c>
      <c r="G106" s="7">
        <v>46125</v>
      </c>
      <c r="H106" s="5">
        <v>3</v>
      </c>
      <c r="I10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6" t="b">
        <f>((ISNUMBER(Table3[[#This Row],[Quantity]]) )* (Table3[[#This Row],[Quantity]]&gt;0))=1</f>
        <v>1</v>
      </c>
      <c r="K106" t="b">
        <f>((Table3[[#This Row],[Quantity]]&gt;=Table3[[#This Row],[Return Qty]])*(ISNUMBER(Table3[[#This Row],[Quantity]])))=1</f>
        <v>1</v>
      </c>
      <c r="L106" t="b">
        <f>ISNUMBER(Table3[[#This Row],[Unit Price]])</f>
        <v>1</v>
      </c>
      <c r="M106" t="b">
        <f>ISNUMBER(Table3[[#This Row],[Order Date]])</f>
        <v>1</v>
      </c>
      <c r="N106">
        <f>IFERROR(IF(Table3[[#This Row],[Quantity]]*Table3[[#This Row],[Unit Price]]&lt;0, "N/A", Table3[[#This Row],[Quantity]]*Table3[[#This Row],[Unit Price]]), "N/A")</f>
        <v>288000</v>
      </c>
      <c r="O106">
        <f>IFERROR(Table3[[#This Row],[Unit Price]]*Table3[[#This Row],[Return Qty]], "N/A")</f>
        <v>36000</v>
      </c>
      <c r="P106">
        <f>IFERROR(IF((Table3[[#This Row],[Revenue before return]]-Table3[[#This Row],[Amount of order  returned]])&lt;0, "N/A", Table3[[#This Row],[Revenue before return]]-Table3[[#This Row],[Amount of order  returned]]), "N/A")</f>
        <v>252000</v>
      </c>
      <c r="Q10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7" spans="1:17" x14ac:dyDescent="0.2">
      <c r="A107" t="s">
        <v>240</v>
      </c>
      <c r="B107" t="s">
        <v>25</v>
      </c>
      <c r="C107" t="s">
        <v>22</v>
      </c>
      <c r="D107" s="6">
        <v>23</v>
      </c>
      <c r="E107" s="5">
        <v>35000</v>
      </c>
      <c r="F107" t="s">
        <v>241</v>
      </c>
      <c r="G107" s="7">
        <v>46048</v>
      </c>
      <c r="H107" s="5">
        <v>1</v>
      </c>
      <c r="I10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7" t="b">
        <f>((ISNUMBER(Table3[[#This Row],[Quantity]]) )* (Table3[[#This Row],[Quantity]]&gt;0))=1</f>
        <v>1</v>
      </c>
      <c r="K107" t="b">
        <f>((Table3[[#This Row],[Quantity]]&gt;=Table3[[#This Row],[Return Qty]])*(ISNUMBER(Table3[[#This Row],[Quantity]])))=1</f>
        <v>1</v>
      </c>
      <c r="L107" t="b">
        <f>ISNUMBER(Table3[[#This Row],[Unit Price]])</f>
        <v>1</v>
      </c>
      <c r="M107" t="b">
        <f>ISNUMBER(Table3[[#This Row],[Order Date]])</f>
        <v>1</v>
      </c>
      <c r="N107">
        <f>IFERROR(IF(Table3[[#This Row],[Quantity]]*Table3[[#This Row],[Unit Price]]&lt;0, "N/A", Table3[[#This Row],[Quantity]]*Table3[[#This Row],[Unit Price]]), "N/A")</f>
        <v>805000</v>
      </c>
      <c r="O107">
        <f>IFERROR(Table3[[#This Row],[Unit Price]]*Table3[[#This Row],[Return Qty]], "N/A")</f>
        <v>35000</v>
      </c>
      <c r="P107">
        <f>IFERROR(IF((Table3[[#This Row],[Revenue before return]]-Table3[[#This Row],[Amount of order  returned]])&lt;0, "N/A", Table3[[#This Row],[Revenue before return]]-Table3[[#This Row],[Amount of order  returned]]), "N/A")</f>
        <v>770000</v>
      </c>
      <c r="Q10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8" spans="1:17" x14ac:dyDescent="0.2">
      <c r="A108" t="s">
        <v>242</v>
      </c>
      <c r="B108" t="s">
        <v>14</v>
      </c>
      <c r="C108" t="s">
        <v>22</v>
      </c>
      <c r="D108" s="6">
        <v>19</v>
      </c>
      <c r="E108" s="5">
        <v>35000</v>
      </c>
      <c r="F108" t="s">
        <v>209</v>
      </c>
      <c r="G108" s="7">
        <v>46129</v>
      </c>
      <c r="H108" s="5">
        <v>0</v>
      </c>
      <c r="I10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8" t="b">
        <f>((ISNUMBER(Table3[[#This Row],[Quantity]]) )* (Table3[[#This Row],[Quantity]]&gt;0))=1</f>
        <v>1</v>
      </c>
      <c r="K108" t="b">
        <f>((Table3[[#This Row],[Quantity]]&gt;=Table3[[#This Row],[Return Qty]])*(ISNUMBER(Table3[[#This Row],[Quantity]])))=1</f>
        <v>1</v>
      </c>
      <c r="L108" t="b">
        <f>ISNUMBER(Table3[[#This Row],[Unit Price]])</f>
        <v>1</v>
      </c>
      <c r="M108" t="b">
        <f>ISNUMBER(Table3[[#This Row],[Order Date]])</f>
        <v>1</v>
      </c>
      <c r="N108">
        <f>IFERROR(IF(Table3[[#This Row],[Quantity]]*Table3[[#This Row],[Unit Price]]&lt;0, "N/A", Table3[[#This Row],[Quantity]]*Table3[[#This Row],[Unit Price]]), "N/A")</f>
        <v>665000</v>
      </c>
      <c r="O108">
        <f>IFERROR(Table3[[#This Row],[Unit Price]]*Table3[[#This Row],[Return Qty]], "N/A")</f>
        <v>0</v>
      </c>
      <c r="P108">
        <f>IFERROR(IF((Table3[[#This Row],[Revenue before return]]-Table3[[#This Row],[Amount of order  returned]])&lt;0, "N/A", Table3[[#This Row],[Revenue before return]]-Table3[[#This Row],[Amount of order  returned]]), "N/A")</f>
        <v>665000</v>
      </c>
      <c r="Q10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9" spans="1:17" x14ac:dyDescent="0.2">
      <c r="A109" t="s">
        <v>243</v>
      </c>
      <c r="B109" t="s">
        <v>9</v>
      </c>
      <c r="C109" t="s">
        <v>10</v>
      </c>
      <c r="D109" s="6">
        <v>6</v>
      </c>
      <c r="E109" s="5">
        <v>15000</v>
      </c>
      <c r="F109" t="s">
        <v>244</v>
      </c>
      <c r="G109" s="7">
        <v>46035</v>
      </c>
      <c r="H109" s="5">
        <v>0</v>
      </c>
      <c r="I10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9" t="b">
        <f>((ISNUMBER(Table3[[#This Row],[Quantity]]) )* (Table3[[#This Row],[Quantity]]&gt;0))=1</f>
        <v>1</v>
      </c>
      <c r="K109" t="b">
        <f>((Table3[[#This Row],[Quantity]]&gt;=Table3[[#This Row],[Return Qty]])*(ISNUMBER(Table3[[#This Row],[Quantity]])))=1</f>
        <v>1</v>
      </c>
      <c r="L109" t="b">
        <f>ISNUMBER(Table3[[#This Row],[Unit Price]])</f>
        <v>1</v>
      </c>
      <c r="M109" t="b">
        <f>ISNUMBER(Table3[[#This Row],[Order Date]])</f>
        <v>1</v>
      </c>
      <c r="N109">
        <f>IFERROR(IF(Table3[[#This Row],[Quantity]]*Table3[[#This Row],[Unit Price]]&lt;0, "N/A", Table3[[#This Row],[Quantity]]*Table3[[#This Row],[Unit Price]]), "N/A")</f>
        <v>90000</v>
      </c>
      <c r="O109">
        <f>IFERROR(Table3[[#This Row],[Unit Price]]*Table3[[#This Row],[Return Qty]], "N/A")</f>
        <v>0</v>
      </c>
      <c r="P109">
        <f>IFERROR(IF((Table3[[#This Row],[Revenue before return]]-Table3[[#This Row],[Amount of order  returned]])&lt;0, "N/A", Table3[[#This Row],[Revenue before return]]-Table3[[#This Row],[Amount of order  returned]]), "N/A")</f>
        <v>90000</v>
      </c>
      <c r="Q10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10" spans="1:17" x14ac:dyDescent="0.2">
      <c r="A110" t="s">
        <v>245</v>
      </c>
      <c r="B110" t="s">
        <v>9</v>
      </c>
      <c r="C110" t="s">
        <v>26</v>
      </c>
      <c r="D110" s="6">
        <v>4</v>
      </c>
      <c r="E110" s="5" t="s">
        <v>11</v>
      </c>
      <c r="F110" t="s">
        <v>246</v>
      </c>
      <c r="G110" s="7">
        <v>46181</v>
      </c>
      <c r="H110" s="5">
        <v>0</v>
      </c>
      <c r="I11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10" t="b">
        <f>((ISNUMBER(Table3[[#This Row],[Quantity]]) )* (Table3[[#This Row],[Quantity]]&gt;0))=1</f>
        <v>1</v>
      </c>
      <c r="K110" t="b">
        <f>((Table3[[#This Row],[Quantity]]&gt;=Table3[[#This Row],[Return Qty]])*(ISNUMBER(Table3[[#This Row],[Quantity]])))=1</f>
        <v>1</v>
      </c>
      <c r="L110" t="b">
        <f>ISNUMBER(Table3[[#This Row],[Unit Price]])</f>
        <v>0</v>
      </c>
      <c r="M110" t="b">
        <f>ISNUMBER(Table3[[#This Row],[Order Date]])</f>
        <v>1</v>
      </c>
      <c r="N110" t="str">
        <f>IFERROR(IF(Table3[[#This Row],[Quantity]]*Table3[[#This Row],[Unit Price]]&lt;0, "N/A", Table3[[#This Row],[Quantity]]*Table3[[#This Row],[Unit Price]]), "N/A")</f>
        <v>N/A</v>
      </c>
      <c r="O110" t="str">
        <f>IFERROR(Table3[[#This Row],[Unit Price]]*Table3[[#This Row],[Return Qty]], "N/A")</f>
        <v>N/A</v>
      </c>
      <c r="P110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11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11" spans="1:17" x14ac:dyDescent="0.2">
      <c r="A111" t="s">
        <v>247</v>
      </c>
      <c r="B111" t="s">
        <v>25</v>
      </c>
      <c r="C111" t="s">
        <v>18</v>
      </c>
      <c r="D111" s="6">
        <v>11</v>
      </c>
      <c r="E111" s="5">
        <v>50000</v>
      </c>
      <c r="F111" t="s">
        <v>205</v>
      </c>
      <c r="G111" s="7">
        <v>46154</v>
      </c>
      <c r="H111" s="5">
        <v>4</v>
      </c>
      <c r="I11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11" t="b">
        <f>((ISNUMBER(Table3[[#This Row],[Quantity]]) )* (Table3[[#This Row],[Quantity]]&gt;0))=1</f>
        <v>1</v>
      </c>
      <c r="K111" t="b">
        <f>((Table3[[#This Row],[Quantity]]&gt;=Table3[[#This Row],[Return Qty]])*(ISNUMBER(Table3[[#This Row],[Quantity]])))=1</f>
        <v>1</v>
      </c>
      <c r="L111" t="b">
        <f>ISNUMBER(Table3[[#This Row],[Unit Price]])</f>
        <v>1</v>
      </c>
      <c r="M111" t="b">
        <f>ISNUMBER(Table3[[#This Row],[Order Date]])</f>
        <v>1</v>
      </c>
      <c r="N111">
        <f>IFERROR(IF(Table3[[#This Row],[Quantity]]*Table3[[#This Row],[Unit Price]]&lt;0, "N/A", Table3[[#This Row],[Quantity]]*Table3[[#This Row],[Unit Price]]), "N/A")</f>
        <v>550000</v>
      </c>
      <c r="O111">
        <f>IFERROR(Table3[[#This Row],[Unit Price]]*Table3[[#This Row],[Return Qty]], "N/A")</f>
        <v>200000</v>
      </c>
      <c r="P111">
        <f>IFERROR(IF((Table3[[#This Row],[Revenue before return]]-Table3[[#This Row],[Amount of order  returned]])&lt;0, "N/A", Table3[[#This Row],[Revenue before return]]-Table3[[#This Row],[Amount of order  returned]]), "N/A")</f>
        <v>350000</v>
      </c>
      <c r="Q11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12" spans="1:17" x14ac:dyDescent="0.2">
      <c r="A112" t="s">
        <v>248</v>
      </c>
      <c r="B112" t="s">
        <v>9</v>
      </c>
      <c r="C112" t="s">
        <v>26</v>
      </c>
      <c r="D112" s="6">
        <v>24</v>
      </c>
      <c r="E112" s="5">
        <v>20000</v>
      </c>
      <c r="F112" t="s">
        <v>249</v>
      </c>
      <c r="G112" s="7">
        <v>46100</v>
      </c>
      <c r="H112" s="5">
        <v>3</v>
      </c>
      <c r="I11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12" t="b">
        <f>((ISNUMBER(Table3[[#This Row],[Quantity]]) )* (Table3[[#This Row],[Quantity]]&gt;0))=1</f>
        <v>1</v>
      </c>
      <c r="K112" t="b">
        <f>((Table3[[#This Row],[Quantity]]&gt;=Table3[[#This Row],[Return Qty]])*(ISNUMBER(Table3[[#This Row],[Quantity]])))=1</f>
        <v>1</v>
      </c>
      <c r="L112" t="b">
        <f>ISNUMBER(Table3[[#This Row],[Unit Price]])</f>
        <v>1</v>
      </c>
      <c r="M112" t="b">
        <f>ISNUMBER(Table3[[#This Row],[Order Date]])</f>
        <v>1</v>
      </c>
      <c r="N112">
        <f>IFERROR(IF(Table3[[#This Row],[Quantity]]*Table3[[#This Row],[Unit Price]]&lt;0, "N/A", Table3[[#This Row],[Quantity]]*Table3[[#This Row],[Unit Price]]), "N/A")</f>
        <v>480000</v>
      </c>
      <c r="O112">
        <f>IFERROR(Table3[[#This Row],[Unit Price]]*Table3[[#This Row],[Return Qty]], "N/A")</f>
        <v>60000</v>
      </c>
      <c r="P112">
        <f>IFERROR(IF((Table3[[#This Row],[Revenue before return]]-Table3[[#This Row],[Amount of order  returned]])&lt;0, "N/A", Table3[[#This Row],[Revenue before return]]-Table3[[#This Row],[Amount of order  returned]]), "N/A")</f>
        <v>420000</v>
      </c>
      <c r="Q11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13" spans="1:17" x14ac:dyDescent="0.2">
      <c r="A113" t="s">
        <v>250</v>
      </c>
      <c r="B113" t="s">
        <v>21</v>
      </c>
      <c r="C113" t="s">
        <v>22</v>
      </c>
      <c r="D113" s="6">
        <v>1</v>
      </c>
      <c r="E113" s="5">
        <v>35000</v>
      </c>
      <c r="F113" t="s">
        <v>11</v>
      </c>
      <c r="G113" s="7">
        <v>46101</v>
      </c>
      <c r="H113" s="5">
        <v>0</v>
      </c>
      <c r="I11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13" t="b">
        <f>((ISNUMBER(Table3[[#This Row],[Quantity]]) )* (Table3[[#This Row],[Quantity]]&gt;0))=1</f>
        <v>1</v>
      </c>
      <c r="K113" t="b">
        <f>((Table3[[#This Row],[Quantity]]&gt;=Table3[[#This Row],[Return Qty]])*(ISNUMBER(Table3[[#This Row],[Quantity]])))=1</f>
        <v>1</v>
      </c>
      <c r="L113" t="b">
        <f>ISNUMBER(Table3[[#This Row],[Unit Price]])</f>
        <v>1</v>
      </c>
      <c r="M113" t="b">
        <f>ISNUMBER(Table3[[#This Row],[Order Date]])</f>
        <v>1</v>
      </c>
      <c r="N113">
        <f>IFERROR(IF(Table3[[#This Row],[Quantity]]*Table3[[#This Row],[Unit Price]]&lt;0, "N/A", Table3[[#This Row],[Quantity]]*Table3[[#This Row],[Unit Price]]), "N/A")</f>
        <v>35000</v>
      </c>
      <c r="O113">
        <f>IFERROR(Table3[[#This Row],[Unit Price]]*Table3[[#This Row],[Return Qty]], "N/A")</f>
        <v>0</v>
      </c>
      <c r="P113">
        <f>IFERROR(IF((Table3[[#This Row],[Revenue before return]]-Table3[[#This Row],[Amount of order  returned]])&lt;0, "N/A", Table3[[#This Row],[Revenue before return]]-Table3[[#This Row],[Amount of order  returned]]), "N/A")</f>
        <v>35000</v>
      </c>
      <c r="Q11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14" spans="1:17" x14ac:dyDescent="0.2">
      <c r="A114" t="s">
        <v>252</v>
      </c>
      <c r="B114" t="s">
        <v>21</v>
      </c>
      <c r="C114" t="s">
        <v>18</v>
      </c>
      <c r="D114" s="6">
        <v>5</v>
      </c>
      <c r="E114" s="5">
        <v>50000</v>
      </c>
      <c r="F114" t="s">
        <v>253</v>
      </c>
      <c r="G114" s="7">
        <v>46040</v>
      </c>
      <c r="H114" s="5">
        <v>0</v>
      </c>
      <c r="I11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14" t="b">
        <f>((ISNUMBER(Table3[[#This Row],[Quantity]]) )* (Table3[[#This Row],[Quantity]]&gt;0))=1</f>
        <v>1</v>
      </c>
      <c r="K114" t="b">
        <f>((Table3[[#This Row],[Quantity]]&gt;=Table3[[#This Row],[Return Qty]])*(ISNUMBER(Table3[[#This Row],[Quantity]])))=1</f>
        <v>1</v>
      </c>
      <c r="L114" t="b">
        <f>ISNUMBER(Table3[[#This Row],[Unit Price]])</f>
        <v>1</v>
      </c>
      <c r="M114" t="b">
        <f>ISNUMBER(Table3[[#This Row],[Order Date]])</f>
        <v>1</v>
      </c>
      <c r="N114">
        <f>IFERROR(IF(Table3[[#This Row],[Quantity]]*Table3[[#This Row],[Unit Price]]&lt;0, "N/A", Table3[[#This Row],[Quantity]]*Table3[[#This Row],[Unit Price]]), "N/A")</f>
        <v>250000</v>
      </c>
      <c r="O114">
        <f>IFERROR(Table3[[#This Row],[Unit Price]]*Table3[[#This Row],[Return Qty]], "N/A")</f>
        <v>0</v>
      </c>
      <c r="P114">
        <f>IFERROR(IF((Table3[[#This Row],[Revenue before return]]-Table3[[#This Row],[Amount of order  returned]])&lt;0, "N/A", Table3[[#This Row],[Revenue before return]]-Table3[[#This Row],[Amount of order  returned]]), "N/A")</f>
        <v>250000</v>
      </c>
      <c r="Q11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15" spans="1:17" x14ac:dyDescent="0.2">
      <c r="A115" t="s">
        <v>254</v>
      </c>
      <c r="B115" t="s">
        <v>21</v>
      </c>
      <c r="C115" t="s">
        <v>22</v>
      </c>
      <c r="D115" s="6">
        <v>13</v>
      </c>
      <c r="E115" s="5">
        <v>35000</v>
      </c>
      <c r="F115" t="s">
        <v>255</v>
      </c>
      <c r="G115" s="7">
        <v>46145</v>
      </c>
      <c r="H115" s="5">
        <v>2</v>
      </c>
      <c r="I11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15" t="b">
        <f>((ISNUMBER(Table3[[#This Row],[Quantity]]) )* (Table3[[#This Row],[Quantity]]&gt;0))=1</f>
        <v>1</v>
      </c>
      <c r="K115" t="b">
        <f>((Table3[[#This Row],[Quantity]]&gt;=Table3[[#This Row],[Return Qty]])*(ISNUMBER(Table3[[#This Row],[Quantity]])))=1</f>
        <v>1</v>
      </c>
      <c r="L115" t="b">
        <f>ISNUMBER(Table3[[#This Row],[Unit Price]])</f>
        <v>1</v>
      </c>
      <c r="M115" t="b">
        <f>ISNUMBER(Table3[[#This Row],[Order Date]])</f>
        <v>1</v>
      </c>
      <c r="N115">
        <f>IFERROR(IF(Table3[[#This Row],[Quantity]]*Table3[[#This Row],[Unit Price]]&lt;0, "N/A", Table3[[#This Row],[Quantity]]*Table3[[#This Row],[Unit Price]]), "N/A")</f>
        <v>455000</v>
      </c>
      <c r="O115">
        <f>IFERROR(Table3[[#This Row],[Unit Price]]*Table3[[#This Row],[Return Qty]], "N/A")</f>
        <v>70000</v>
      </c>
      <c r="P115">
        <f>IFERROR(IF((Table3[[#This Row],[Revenue before return]]-Table3[[#This Row],[Amount of order  returned]])&lt;0, "N/A", Table3[[#This Row],[Revenue before return]]-Table3[[#This Row],[Amount of order  returned]]), "N/A")</f>
        <v>385000</v>
      </c>
      <c r="Q11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16" spans="1:17" x14ac:dyDescent="0.2">
      <c r="A116" t="s">
        <v>256</v>
      </c>
      <c r="B116" t="s">
        <v>21</v>
      </c>
      <c r="C116" t="s">
        <v>45</v>
      </c>
      <c r="D116" s="6">
        <v>5</v>
      </c>
      <c r="E116" s="5">
        <v>20000</v>
      </c>
      <c r="F116" t="s">
        <v>257</v>
      </c>
      <c r="G116" s="7">
        <v>46126</v>
      </c>
      <c r="H116" s="5">
        <v>0</v>
      </c>
      <c r="I11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16" t="b">
        <f>((ISNUMBER(Table3[[#This Row],[Quantity]]) )* (Table3[[#This Row],[Quantity]]&gt;0))=1</f>
        <v>1</v>
      </c>
      <c r="K116" t="b">
        <f>((Table3[[#This Row],[Quantity]]&gt;=Table3[[#This Row],[Return Qty]])*(ISNUMBER(Table3[[#This Row],[Quantity]])))=1</f>
        <v>1</v>
      </c>
      <c r="L116" t="b">
        <f>ISNUMBER(Table3[[#This Row],[Unit Price]])</f>
        <v>1</v>
      </c>
      <c r="M116" t="b">
        <f>ISNUMBER(Table3[[#This Row],[Order Date]])</f>
        <v>1</v>
      </c>
      <c r="N116">
        <f>IFERROR(IF(Table3[[#This Row],[Quantity]]*Table3[[#This Row],[Unit Price]]&lt;0, "N/A", Table3[[#This Row],[Quantity]]*Table3[[#This Row],[Unit Price]]), "N/A")</f>
        <v>100000</v>
      </c>
      <c r="O116">
        <f>IFERROR(Table3[[#This Row],[Unit Price]]*Table3[[#This Row],[Return Qty]], "N/A")</f>
        <v>0</v>
      </c>
      <c r="P116">
        <f>IFERROR(IF((Table3[[#This Row],[Revenue before return]]-Table3[[#This Row],[Amount of order  returned]])&lt;0, "N/A", Table3[[#This Row],[Revenue before return]]-Table3[[#This Row],[Amount of order  returned]]), "N/A")</f>
        <v>100000</v>
      </c>
      <c r="Q11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17" spans="1:17" x14ac:dyDescent="0.2">
      <c r="A117" t="s">
        <v>258</v>
      </c>
      <c r="B117" t="s">
        <v>9</v>
      </c>
      <c r="C117" t="s">
        <v>32</v>
      </c>
      <c r="D117" s="6">
        <v>25</v>
      </c>
      <c r="E117" s="5">
        <v>8000</v>
      </c>
      <c r="F117" t="s">
        <v>125</v>
      </c>
      <c r="G117" s="7">
        <v>46045</v>
      </c>
      <c r="H117" s="5">
        <v>0</v>
      </c>
      <c r="I11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17" t="b">
        <f>((ISNUMBER(Table3[[#This Row],[Quantity]]) )* (Table3[[#This Row],[Quantity]]&gt;0))=1</f>
        <v>1</v>
      </c>
      <c r="K117" t="b">
        <f>((Table3[[#This Row],[Quantity]]&gt;=Table3[[#This Row],[Return Qty]])*(ISNUMBER(Table3[[#This Row],[Quantity]])))=1</f>
        <v>1</v>
      </c>
      <c r="L117" t="b">
        <f>ISNUMBER(Table3[[#This Row],[Unit Price]])</f>
        <v>1</v>
      </c>
      <c r="M117" t="b">
        <f>ISNUMBER(Table3[[#This Row],[Order Date]])</f>
        <v>1</v>
      </c>
      <c r="N117">
        <f>IFERROR(IF(Table3[[#This Row],[Quantity]]*Table3[[#This Row],[Unit Price]]&lt;0, "N/A", Table3[[#This Row],[Quantity]]*Table3[[#This Row],[Unit Price]]), "N/A")</f>
        <v>200000</v>
      </c>
      <c r="O117">
        <f>IFERROR(Table3[[#This Row],[Unit Price]]*Table3[[#This Row],[Return Qty]], "N/A")</f>
        <v>0</v>
      </c>
      <c r="P117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11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18" spans="1:17" x14ac:dyDescent="0.2">
      <c r="A118" t="s">
        <v>259</v>
      </c>
      <c r="B118" t="s">
        <v>25</v>
      </c>
      <c r="C118" t="s">
        <v>10</v>
      </c>
      <c r="D118" s="6">
        <v>6</v>
      </c>
      <c r="E118" s="5">
        <v>15000</v>
      </c>
      <c r="F118" t="s">
        <v>11</v>
      </c>
      <c r="G118" s="7">
        <v>46126</v>
      </c>
      <c r="H118" s="5">
        <v>0</v>
      </c>
      <c r="I11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18" t="b">
        <f>((ISNUMBER(Table3[[#This Row],[Quantity]]) )* (Table3[[#This Row],[Quantity]]&gt;0))=1</f>
        <v>1</v>
      </c>
      <c r="K118" t="b">
        <f>((Table3[[#This Row],[Quantity]]&gt;=Table3[[#This Row],[Return Qty]])*(ISNUMBER(Table3[[#This Row],[Quantity]])))=1</f>
        <v>1</v>
      </c>
      <c r="L118" t="b">
        <f>ISNUMBER(Table3[[#This Row],[Unit Price]])</f>
        <v>1</v>
      </c>
      <c r="M118" t="b">
        <f>ISNUMBER(Table3[[#This Row],[Order Date]])</f>
        <v>1</v>
      </c>
      <c r="N118">
        <f>IFERROR(IF(Table3[[#This Row],[Quantity]]*Table3[[#This Row],[Unit Price]]&lt;0, "N/A", Table3[[#This Row],[Quantity]]*Table3[[#This Row],[Unit Price]]), "N/A")</f>
        <v>90000</v>
      </c>
      <c r="O118">
        <f>IFERROR(Table3[[#This Row],[Unit Price]]*Table3[[#This Row],[Return Qty]], "N/A")</f>
        <v>0</v>
      </c>
      <c r="P118">
        <f>IFERROR(IF((Table3[[#This Row],[Revenue before return]]-Table3[[#This Row],[Amount of order  returned]])&lt;0, "N/A", Table3[[#This Row],[Revenue before return]]-Table3[[#This Row],[Amount of order  returned]]), "N/A")</f>
        <v>90000</v>
      </c>
      <c r="Q11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19" spans="1:17" x14ac:dyDescent="0.2">
      <c r="A119" t="s">
        <v>260</v>
      </c>
      <c r="B119" t="s">
        <v>21</v>
      </c>
      <c r="C119" t="s">
        <v>18</v>
      </c>
      <c r="D119" s="6">
        <v>5</v>
      </c>
      <c r="E119" s="5">
        <v>50000</v>
      </c>
      <c r="F119" t="s">
        <v>261</v>
      </c>
      <c r="G119" s="7">
        <v>46190</v>
      </c>
      <c r="H119" s="5">
        <v>1</v>
      </c>
      <c r="I11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19" t="b">
        <f>((ISNUMBER(Table3[[#This Row],[Quantity]]) )* (Table3[[#This Row],[Quantity]]&gt;0))=1</f>
        <v>1</v>
      </c>
      <c r="K119" t="b">
        <f>((Table3[[#This Row],[Quantity]]&gt;=Table3[[#This Row],[Return Qty]])*(ISNUMBER(Table3[[#This Row],[Quantity]])))=1</f>
        <v>1</v>
      </c>
      <c r="L119" t="b">
        <f>ISNUMBER(Table3[[#This Row],[Unit Price]])</f>
        <v>1</v>
      </c>
      <c r="M119" t="b">
        <f>ISNUMBER(Table3[[#This Row],[Order Date]])</f>
        <v>1</v>
      </c>
      <c r="N119">
        <f>IFERROR(IF(Table3[[#This Row],[Quantity]]*Table3[[#This Row],[Unit Price]]&lt;0, "N/A", Table3[[#This Row],[Quantity]]*Table3[[#This Row],[Unit Price]]), "N/A")</f>
        <v>250000</v>
      </c>
      <c r="O119">
        <f>IFERROR(Table3[[#This Row],[Unit Price]]*Table3[[#This Row],[Return Qty]], "N/A")</f>
        <v>50000</v>
      </c>
      <c r="P119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11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20" spans="1:17" x14ac:dyDescent="0.2">
      <c r="A120" t="s">
        <v>262</v>
      </c>
      <c r="B120" t="s">
        <v>21</v>
      </c>
      <c r="C120" t="s">
        <v>70</v>
      </c>
      <c r="D120" s="6">
        <v>13</v>
      </c>
      <c r="E120" s="5">
        <v>28000</v>
      </c>
      <c r="F120" t="s">
        <v>263</v>
      </c>
      <c r="G120" s="7">
        <v>46046</v>
      </c>
      <c r="H120" s="5">
        <v>0</v>
      </c>
      <c r="I12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20" t="b">
        <f>((ISNUMBER(Table3[[#This Row],[Quantity]]) )* (Table3[[#This Row],[Quantity]]&gt;0))=1</f>
        <v>1</v>
      </c>
      <c r="K120" t="b">
        <f>((Table3[[#This Row],[Quantity]]&gt;=Table3[[#This Row],[Return Qty]])*(ISNUMBER(Table3[[#This Row],[Quantity]])))=1</f>
        <v>1</v>
      </c>
      <c r="L120" t="b">
        <f>ISNUMBER(Table3[[#This Row],[Unit Price]])</f>
        <v>1</v>
      </c>
      <c r="M120" t="b">
        <f>ISNUMBER(Table3[[#This Row],[Order Date]])</f>
        <v>1</v>
      </c>
      <c r="N120">
        <f>IFERROR(IF(Table3[[#This Row],[Quantity]]*Table3[[#This Row],[Unit Price]]&lt;0, "N/A", Table3[[#This Row],[Quantity]]*Table3[[#This Row],[Unit Price]]), "N/A")</f>
        <v>364000</v>
      </c>
      <c r="O120">
        <f>IFERROR(Table3[[#This Row],[Unit Price]]*Table3[[#This Row],[Return Qty]], "N/A")</f>
        <v>0</v>
      </c>
      <c r="P120">
        <f>IFERROR(IF((Table3[[#This Row],[Revenue before return]]-Table3[[#This Row],[Amount of order  returned]])&lt;0, "N/A", Table3[[#This Row],[Revenue before return]]-Table3[[#This Row],[Amount of order  returned]]), "N/A")</f>
        <v>364000</v>
      </c>
      <c r="Q12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21" spans="1:17" x14ac:dyDescent="0.2">
      <c r="A121" t="s">
        <v>264</v>
      </c>
      <c r="B121" t="s">
        <v>21</v>
      </c>
      <c r="C121" t="s">
        <v>22</v>
      </c>
      <c r="D121" s="6">
        <v>16</v>
      </c>
      <c r="E121" s="5">
        <v>35000</v>
      </c>
      <c r="F121" t="s">
        <v>266</v>
      </c>
      <c r="G121" s="18" t="s">
        <v>224</v>
      </c>
      <c r="H121" s="5">
        <v>0</v>
      </c>
      <c r="I12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21" t="b">
        <f>((ISNUMBER(Table3[[#This Row],[Quantity]]) )* (Table3[[#This Row],[Quantity]]&gt;0))=1</f>
        <v>1</v>
      </c>
      <c r="K121" t="b">
        <f>((Table3[[#This Row],[Quantity]]&gt;=Table3[[#This Row],[Return Qty]])*(ISNUMBER(Table3[[#This Row],[Quantity]])))=1</f>
        <v>1</v>
      </c>
      <c r="L121" t="b">
        <f>ISNUMBER(Table3[[#This Row],[Unit Price]])</f>
        <v>1</v>
      </c>
      <c r="M121" t="b">
        <f>ISNUMBER(Table3[[#This Row],[Order Date]])</f>
        <v>0</v>
      </c>
      <c r="N121">
        <f>IFERROR(IF(Table3[[#This Row],[Quantity]]*Table3[[#This Row],[Unit Price]]&lt;0, "N/A", Table3[[#This Row],[Quantity]]*Table3[[#This Row],[Unit Price]]), "N/A")</f>
        <v>560000</v>
      </c>
      <c r="O121">
        <f>IFERROR(Table3[[#This Row],[Unit Price]]*Table3[[#This Row],[Return Qty]], "N/A")</f>
        <v>0</v>
      </c>
      <c r="P121">
        <f>IFERROR(IF((Table3[[#This Row],[Revenue before return]]-Table3[[#This Row],[Amount of order  returned]])&lt;0, "N/A", Table3[[#This Row],[Revenue before return]]-Table3[[#This Row],[Amount of order  returned]]), "N/A")</f>
        <v>560000</v>
      </c>
      <c r="Q12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22" spans="1:17" x14ac:dyDescent="0.2">
      <c r="A122" t="s">
        <v>267</v>
      </c>
      <c r="B122" t="s">
        <v>9</v>
      </c>
      <c r="C122" t="s">
        <v>32</v>
      </c>
      <c r="D122" s="6">
        <v>2</v>
      </c>
      <c r="E122" s="5">
        <v>8000</v>
      </c>
      <c r="F122" t="s">
        <v>268</v>
      </c>
      <c r="G122" s="7">
        <v>46051</v>
      </c>
      <c r="H122" s="5">
        <v>0</v>
      </c>
      <c r="I12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22" t="b">
        <f>((ISNUMBER(Table3[[#This Row],[Quantity]]) )* (Table3[[#This Row],[Quantity]]&gt;0))=1</f>
        <v>1</v>
      </c>
      <c r="K122" t="b">
        <f>((Table3[[#This Row],[Quantity]]&gt;=Table3[[#This Row],[Return Qty]])*(ISNUMBER(Table3[[#This Row],[Quantity]])))=1</f>
        <v>1</v>
      </c>
      <c r="L122" t="b">
        <f>ISNUMBER(Table3[[#This Row],[Unit Price]])</f>
        <v>1</v>
      </c>
      <c r="M122" t="b">
        <f>ISNUMBER(Table3[[#This Row],[Order Date]])</f>
        <v>1</v>
      </c>
      <c r="N122">
        <f>IFERROR(IF(Table3[[#This Row],[Quantity]]*Table3[[#This Row],[Unit Price]]&lt;0, "N/A", Table3[[#This Row],[Quantity]]*Table3[[#This Row],[Unit Price]]), "N/A")</f>
        <v>16000</v>
      </c>
      <c r="O122">
        <f>IFERROR(Table3[[#This Row],[Unit Price]]*Table3[[#This Row],[Return Qty]], "N/A")</f>
        <v>0</v>
      </c>
      <c r="P122">
        <f>IFERROR(IF((Table3[[#This Row],[Revenue before return]]-Table3[[#This Row],[Amount of order  returned]])&lt;0, "N/A", Table3[[#This Row],[Revenue before return]]-Table3[[#This Row],[Amount of order  returned]]), "N/A")</f>
        <v>16000</v>
      </c>
      <c r="Q12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23" spans="1:17" x14ac:dyDescent="0.2">
      <c r="A123" t="s">
        <v>269</v>
      </c>
      <c r="B123" t="s">
        <v>25</v>
      </c>
      <c r="C123" t="s">
        <v>39</v>
      </c>
      <c r="D123" s="6">
        <v>8</v>
      </c>
      <c r="E123" s="5">
        <v>12000</v>
      </c>
      <c r="F123" t="s">
        <v>23</v>
      </c>
      <c r="G123" s="7">
        <v>46157</v>
      </c>
      <c r="H123" s="5">
        <v>0</v>
      </c>
      <c r="I12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23" t="b">
        <f>((ISNUMBER(Table3[[#This Row],[Quantity]]) )* (Table3[[#This Row],[Quantity]]&gt;0))=1</f>
        <v>1</v>
      </c>
      <c r="K123" t="b">
        <f>((Table3[[#This Row],[Quantity]]&gt;=Table3[[#This Row],[Return Qty]])*(ISNUMBER(Table3[[#This Row],[Quantity]])))=1</f>
        <v>1</v>
      </c>
      <c r="L123" t="b">
        <f>ISNUMBER(Table3[[#This Row],[Unit Price]])</f>
        <v>1</v>
      </c>
      <c r="M123" t="b">
        <f>ISNUMBER(Table3[[#This Row],[Order Date]])</f>
        <v>1</v>
      </c>
      <c r="N123">
        <f>IFERROR(IF(Table3[[#This Row],[Quantity]]*Table3[[#This Row],[Unit Price]]&lt;0, "N/A", Table3[[#This Row],[Quantity]]*Table3[[#This Row],[Unit Price]]), "N/A")</f>
        <v>96000</v>
      </c>
      <c r="O123">
        <f>IFERROR(Table3[[#This Row],[Unit Price]]*Table3[[#This Row],[Return Qty]], "N/A")</f>
        <v>0</v>
      </c>
      <c r="P123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12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24" spans="1:17" x14ac:dyDescent="0.2">
      <c r="A124" t="s">
        <v>271</v>
      </c>
      <c r="B124" t="s">
        <v>14</v>
      </c>
      <c r="C124" t="s">
        <v>22</v>
      </c>
      <c r="D124" s="6">
        <v>13</v>
      </c>
      <c r="E124" s="5">
        <v>35000</v>
      </c>
      <c r="F124" t="s">
        <v>272</v>
      </c>
      <c r="G124" s="7">
        <v>46116</v>
      </c>
      <c r="H124" s="5">
        <v>0</v>
      </c>
      <c r="I12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24" t="b">
        <f>((ISNUMBER(Table3[[#This Row],[Quantity]]) )* (Table3[[#This Row],[Quantity]]&gt;0))=1</f>
        <v>1</v>
      </c>
      <c r="K124" t="b">
        <f>((Table3[[#This Row],[Quantity]]&gt;=Table3[[#This Row],[Return Qty]])*(ISNUMBER(Table3[[#This Row],[Quantity]])))=1</f>
        <v>1</v>
      </c>
      <c r="L124" t="b">
        <f>ISNUMBER(Table3[[#This Row],[Unit Price]])</f>
        <v>1</v>
      </c>
      <c r="M124" t="b">
        <f>ISNUMBER(Table3[[#This Row],[Order Date]])</f>
        <v>1</v>
      </c>
      <c r="N124">
        <f>IFERROR(IF(Table3[[#This Row],[Quantity]]*Table3[[#This Row],[Unit Price]]&lt;0, "N/A", Table3[[#This Row],[Quantity]]*Table3[[#This Row],[Unit Price]]), "N/A")</f>
        <v>455000</v>
      </c>
      <c r="O124">
        <f>IFERROR(Table3[[#This Row],[Unit Price]]*Table3[[#This Row],[Return Qty]], "N/A")</f>
        <v>0</v>
      </c>
      <c r="P124">
        <f>IFERROR(IF((Table3[[#This Row],[Revenue before return]]-Table3[[#This Row],[Amount of order  returned]])&lt;0, "N/A", Table3[[#This Row],[Revenue before return]]-Table3[[#This Row],[Amount of order  returned]]), "N/A")</f>
        <v>455000</v>
      </c>
      <c r="Q12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25" spans="1:17" x14ac:dyDescent="0.2">
      <c r="A125" t="s">
        <v>273</v>
      </c>
      <c r="B125" t="s">
        <v>9</v>
      </c>
      <c r="C125" t="s">
        <v>26</v>
      </c>
      <c r="D125" s="6">
        <v>5</v>
      </c>
      <c r="E125" s="5">
        <v>20000</v>
      </c>
      <c r="F125" t="s">
        <v>274</v>
      </c>
      <c r="G125" s="7">
        <v>46125</v>
      </c>
      <c r="H125" s="5">
        <v>0</v>
      </c>
      <c r="I12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25" t="b">
        <f>((ISNUMBER(Table3[[#This Row],[Quantity]]) )* (Table3[[#This Row],[Quantity]]&gt;0))=1</f>
        <v>1</v>
      </c>
      <c r="K125" t="b">
        <f>((Table3[[#This Row],[Quantity]]&gt;=Table3[[#This Row],[Return Qty]])*(ISNUMBER(Table3[[#This Row],[Quantity]])))=1</f>
        <v>1</v>
      </c>
      <c r="L125" t="b">
        <f>ISNUMBER(Table3[[#This Row],[Unit Price]])</f>
        <v>1</v>
      </c>
      <c r="M125" t="b">
        <f>ISNUMBER(Table3[[#This Row],[Order Date]])</f>
        <v>1</v>
      </c>
      <c r="N125">
        <f>IFERROR(IF(Table3[[#This Row],[Quantity]]*Table3[[#This Row],[Unit Price]]&lt;0, "N/A", Table3[[#This Row],[Quantity]]*Table3[[#This Row],[Unit Price]]), "N/A")</f>
        <v>100000</v>
      </c>
      <c r="O125">
        <f>IFERROR(Table3[[#This Row],[Unit Price]]*Table3[[#This Row],[Return Qty]], "N/A")</f>
        <v>0</v>
      </c>
      <c r="P125">
        <f>IFERROR(IF((Table3[[#This Row],[Revenue before return]]-Table3[[#This Row],[Amount of order  returned]])&lt;0, "N/A", Table3[[#This Row],[Revenue before return]]-Table3[[#This Row],[Amount of order  returned]]), "N/A")</f>
        <v>100000</v>
      </c>
      <c r="Q12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26" spans="1:17" x14ac:dyDescent="0.2">
      <c r="A126" t="s">
        <v>275</v>
      </c>
      <c r="B126" t="s">
        <v>14</v>
      </c>
      <c r="C126" t="s">
        <v>18</v>
      </c>
      <c r="D126" s="6">
        <v>17</v>
      </c>
      <c r="E126" s="5">
        <v>50000</v>
      </c>
      <c r="F126" t="s">
        <v>276</v>
      </c>
      <c r="G126" s="7">
        <v>46055</v>
      </c>
      <c r="H126" s="5">
        <v>0</v>
      </c>
      <c r="I12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26" t="b">
        <f>((ISNUMBER(Table3[[#This Row],[Quantity]]) )* (Table3[[#This Row],[Quantity]]&gt;0))=1</f>
        <v>1</v>
      </c>
      <c r="K126" t="b">
        <f>((Table3[[#This Row],[Quantity]]&gt;=Table3[[#This Row],[Return Qty]])*(ISNUMBER(Table3[[#This Row],[Quantity]])))=1</f>
        <v>1</v>
      </c>
      <c r="L126" t="b">
        <f>ISNUMBER(Table3[[#This Row],[Unit Price]])</f>
        <v>1</v>
      </c>
      <c r="M126" t="b">
        <f>ISNUMBER(Table3[[#This Row],[Order Date]])</f>
        <v>1</v>
      </c>
      <c r="N126">
        <f>IFERROR(IF(Table3[[#This Row],[Quantity]]*Table3[[#This Row],[Unit Price]]&lt;0, "N/A", Table3[[#This Row],[Quantity]]*Table3[[#This Row],[Unit Price]]), "N/A")</f>
        <v>850000</v>
      </c>
      <c r="O126">
        <f>IFERROR(Table3[[#This Row],[Unit Price]]*Table3[[#This Row],[Return Qty]], "N/A")</f>
        <v>0</v>
      </c>
      <c r="P126">
        <f>IFERROR(IF((Table3[[#This Row],[Revenue before return]]-Table3[[#This Row],[Amount of order  returned]])&lt;0, "N/A", Table3[[#This Row],[Revenue before return]]-Table3[[#This Row],[Amount of order  returned]]), "N/A")</f>
        <v>850000</v>
      </c>
      <c r="Q12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27" spans="1:17" x14ac:dyDescent="0.2">
      <c r="A127" t="s">
        <v>277</v>
      </c>
      <c r="B127" t="s">
        <v>21</v>
      </c>
      <c r="C127" t="s">
        <v>70</v>
      </c>
      <c r="D127" s="6">
        <v>1</v>
      </c>
      <c r="E127" s="5">
        <v>28000</v>
      </c>
      <c r="F127" t="s">
        <v>148</v>
      </c>
      <c r="G127" s="7">
        <v>46062</v>
      </c>
      <c r="H127" s="5">
        <v>0</v>
      </c>
      <c r="I12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27" t="b">
        <f>((ISNUMBER(Table3[[#This Row],[Quantity]]) )* (Table3[[#This Row],[Quantity]]&gt;0))=1</f>
        <v>1</v>
      </c>
      <c r="K127" t="b">
        <f>((Table3[[#This Row],[Quantity]]&gt;=Table3[[#This Row],[Return Qty]])*(ISNUMBER(Table3[[#This Row],[Quantity]])))=1</f>
        <v>1</v>
      </c>
      <c r="L127" t="b">
        <f>ISNUMBER(Table3[[#This Row],[Unit Price]])</f>
        <v>1</v>
      </c>
      <c r="M127" t="b">
        <f>ISNUMBER(Table3[[#This Row],[Order Date]])</f>
        <v>1</v>
      </c>
      <c r="N127">
        <f>IFERROR(IF(Table3[[#This Row],[Quantity]]*Table3[[#This Row],[Unit Price]]&lt;0, "N/A", Table3[[#This Row],[Quantity]]*Table3[[#This Row],[Unit Price]]), "N/A")</f>
        <v>28000</v>
      </c>
      <c r="O127">
        <f>IFERROR(Table3[[#This Row],[Unit Price]]*Table3[[#This Row],[Return Qty]], "N/A")</f>
        <v>0</v>
      </c>
      <c r="P127">
        <f>IFERROR(IF((Table3[[#This Row],[Revenue before return]]-Table3[[#This Row],[Amount of order  returned]])&lt;0, "N/A", Table3[[#This Row],[Revenue before return]]-Table3[[#This Row],[Amount of order  returned]]), "N/A")</f>
        <v>28000</v>
      </c>
      <c r="Q12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28" spans="1:17" x14ac:dyDescent="0.2">
      <c r="A128" t="s">
        <v>278</v>
      </c>
      <c r="B128" t="s">
        <v>14</v>
      </c>
      <c r="C128" t="s">
        <v>26</v>
      </c>
      <c r="D128" s="6">
        <v>21</v>
      </c>
      <c r="E128" s="5">
        <v>20000</v>
      </c>
      <c r="F128" t="s">
        <v>148</v>
      </c>
      <c r="G128" s="18" t="s">
        <v>224</v>
      </c>
      <c r="H128" s="5">
        <v>4</v>
      </c>
      <c r="I12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28" t="b">
        <f>((ISNUMBER(Table3[[#This Row],[Quantity]]) )* (Table3[[#This Row],[Quantity]]&gt;0))=1</f>
        <v>1</v>
      </c>
      <c r="K128" t="b">
        <f>((Table3[[#This Row],[Quantity]]&gt;=Table3[[#This Row],[Return Qty]])*(ISNUMBER(Table3[[#This Row],[Quantity]])))=1</f>
        <v>1</v>
      </c>
      <c r="L128" t="b">
        <f>ISNUMBER(Table3[[#This Row],[Unit Price]])</f>
        <v>1</v>
      </c>
      <c r="M128" t="b">
        <f>ISNUMBER(Table3[[#This Row],[Order Date]])</f>
        <v>0</v>
      </c>
      <c r="N128">
        <f>IFERROR(IF(Table3[[#This Row],[Quantity]]*Table3[[#This Row],[Unit Price]]&lt;0, "N/A", Table3[[#This Row],[Quantity]]*Table3[[#This Row],[Unit Price]]), "N/A")</f>
        <v>420000</v>
      </c>
      <c r="O128">
        <f>IFERROR(Table3[[#This Row],[Unit Price]]*Table3[[#This Row],[Return Qty]], "N/A")</f>
        <v>80000</v>
      </c>
      <c r="P128">
        <f>IFERROR(IF((Table3[[#This Row],[Revenue before return]]-Table3[[#This Row],[Amount of order  returned]])&lt;0, "N/A", Table3[[#This Row],[Revenue before return]]-Table3[[#This Row],[Amount of order  returned]]), "N/A")</f>
        <v>340000</v>
      </c>
      <c r="Q12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29" spans="1:17" x14ac:dyDescent="0.2">
      <c r="A129" t="s">
        <v>279</v>
      </c>
      <c r="B129" t="s">
        <v>14</v>
      </c>
      <c r="C129" t="s">
        <v>39</v>
      </c>
      <c r="D129" s="6">
        <v>19</v>
      </c>
      <c r="E129" s="5">
        <v>12000</v>
      </c>
      <c r="F129" t="s">
        <v>280</v>
      </c>
      <c r="G129" s="7">
        <v>46189</v>
      </c>
      <c r="H129" s="5">
        <v>0</v>
      </c>
      <c r="I12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29" t="b">
        <f>((ISNUMBER(Table3[[#This Row],[Quantity]]) )* (Table3[[#This Row],[Quantity]]&gt;0))=1</f>
        <v>1</v>
      </c>
      <c r="K129" t="b">
        <f>((Table3[[#This Row],[Quantity]]&gt;=Table3[[#This Row],[Return Qty]])*(ISNUMBER(Table3[[#This Row],[Quantity]])))=1</f>
        <v>1</v>
      </c>
      <c r="L129" t="b">
        <f>ISNUMBER(Table3[[#This Row],[Unit Price]])</f>
        <v>1</v>
      </c>
      <c r="M129" t="b">
        <f>ISNUMBER(Table3[[#This Row],[Order Date]])</f>
        <v>1</v>
      </c>
      <c r="N129">
        <f>IFERROR(IF(Table3[[#This Row],[Quantity]]*Table3[[#This Row],[Unit Price]]&lt;0, "N/A", Table3[[#This Row],[Quantity]]*Table3[[#This Row],[Unit Price]]), "N/A")</f>
        <v>228000</v>
      </c>
      <c r="O129">
        <f>IFERROR(Table3[[#This Row],[Unit Price]]*Table3[[#This Row],[Return Qty]], "N/A")</f>
        <v>0</v>
      </c>
      <c r="P129">
        <f>IFERROR(IF((Table3[[#This Row],[Revenue before return]]-Table3[[#This Row],[Amount of order  returned]])&lt;0, "N/A", Table3[[#This Row],[Revenue before return]]-Table3[[#This Row],[Amount of order  returned]]), "N/A")</f>
        <v>228000</v>
      </c>
      <c r="Q12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30" spans="1:17" x14ac:dyDescent="0.2">
      <c r="A130" t="s">
        <v>281</v>
      </c>
      <c r="B130" t="s">
        <v>9</v>
      </c>
      <c r="C130" t="s">
        <v>45</v>
      </c>
      <c r="D130" s="6">
        <v>22</v>
      </c>
      <c r="E130" s="5">
        <v>20000</v>
      </c>
      <c r="F130" t="s">
        <v>282</v>
      </c>
      <c r="G130" s="7">
        <v>46122</v>
      </c>
      <c r="H130" s="5">
        <v>28</v>
      </c>
      <c r="I13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30" t="b">
        <f>((ISNUMBER(Table3[[#This Row],[Quantity]]) )* (Table3[[#This Row],[Quantity]]&gt;0))=1</f>
        <v>1</v>
      </c>
      <c r="K130" t="b">
        <f>((Table3[[#This Row],[Quantity]]&gt;=Table3[[#This Row],[Return Qty]])*(ISNUMBER(Table3[[#This Row],[Quantity]])))=1</f>
        <v>0</v>
      </c>
      <c r="L130" t="b">
        <f>ISNUMBER(Table3[[#This Row],[Unit Price]])</f>
        <v>1</v>
      </c>
      <c r="M130" t="b">
        <f>ISNUMBER(Table3[[#This Row],[Order Date]])</f>
        <v>1</v>
      </c>
      <c r="N130">
        <f>IFERROR(IF(Table3[[#This Row],[Quantity]]*Table3[[#This Row],[Unit Price]]&lt;0, "N/A", Table3[[#This Row],[Quantity]]*Table3[[#This Row],[Unit Price]]), "N/A")</f>
        <v>440000</v>
      </c>
      <c r="O130">
        <f>IFERROR(Table3[[#This Row],[Unit Price]]*Table3[[#This Row],[Return Qty]], "N/A")</f>
        <v>560000</v>
      </c>
      <c r="P130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13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31" spans="1:17" x14ac:dyDescent="0.2">
      <c r="A131" t="s">
        <v>283</v>
      </c>
      <c r="B131" t="s">
        <v>21</v>
      </c>
      <c r="C131" t="s">
        <v>32</v>
      </c>
      <c r="D131" s="6">
        <v>9</v>
      </c>
      <c r="E131" s="5">
        <v>8000</v>
      </c>
      <c r="F131" t="s">
        <v>103</v>
      </c>
      <c r="G131" s="7">
        <v>46152</v>
      </c>
      <c r="H131" s="5">
        <v>2</v>
      </c>
      <c r="I13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31" t="b">
        <f>((ISNUMBER(Table3[[#This Row],[Quantity]]) )* (Table3[[#This Row],[Quantity]]&gt;0))=1</f>
        <v>1</v>
      </c>
      <c r="K131" t="b">
        <f>((Table3[[#This Row],[Quantity]]&gt;=Table3[[#This Row],[Return Qty]])*(ISNUMBER(Table3[[#This Row],[Quantity]])))=1</f>
        <v>1</v>
      </c>
      <c r="L131" t="b">
        <f>ISNUMBER(Table3[[#This Row],[Unit Price]])</f>
        <v>1</v>
      </c>
      <c r="M131" t="b">
        <f>ISNUMBER(Table3[[#This Row],[Order Date]])</f>
        <v>1</v>
      </c>
      <c r="N131">
        <f>IFERROR(IF(Table3[[#This Row],[Quantity]]*Table3[[#This Row],[Unit Price]]&lt;0, "N/A", Table3[[#This Row],[Quantity]]*Table3[[#This Row],[Unit Price]]), "N/A")</f>
        <v>72000</v>
      </c>
      <c r="O131">
        <f>IFERROR(Table3[[#This Row],[Unit Price]]*Table3[[#This Row],[Return Qty]], "N/A")</f>
        <v>16000</v>
      </c>
      <c r="P131">
        <f>IFERROR(IF((Table3[[#This Row],[Revenue before return]]-Table3[[#This Row],[Amount of order  returned]])&lt;0, "N/A", Table3[[#This Row],[Revenue before return]]-Table3[[#This Row],[Amount of order  returned]]), "N/A")</f>
        <v>56000</v>
      </c>
      <c r="Q13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32" spans="1:17" x14ac:dyDescent="0.2">
      <c r="A132" t="s">
        <v>284</v>
      </c>
      <c r="B132" t="s">
        <v>14</v>
      </c>
      <c r="C132" t="s">
        <v>22</v>
      </c>
      <c r="D132" s="6">
        <v>6</v>
      </c>
      <c r="E132" s="5">
        <v>35000</v>
      </c>
      <c r="F132" t="s">
        <v>285</v>
      </c>
      <c r="G132" s="7">
        <v>46152</v>
      </c>
      <c r="H132" s="5">
        <v>0</v>
      </c>
      <c r="I13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32" t="b">
        <f>((ISNUMBER(Table3[[#This Row],[Quantity]]) )* (Table3[[#This Row],[Quantity]]&gt;0))=1</f>
        <v>1</v>
      </c>
      <c r="K132" t="b">
        <f>((Table3[[#This Row],[Quantity]]&gt;=Table3[[#This Row],[Return Qty]])*(ISNUMBER(Table3[[#This Row],[Quantity]])))=1</f>
        <v>1</v>
      </c>
      <c r="L132" t="b">
        <f>ISNUMBER(Table3[[#This Row],[Unit Price]])</f>
        <v>1</v>
      </c>
      <c r="M132" t="b">
        <f>ISNUMBER(Table3[[#This Row],[Order Date]])</f>
        <v>1</v>
      </c>
      <c r="N132">
        <f>IFERROR(IF(Table3[[#This Row],[Quantity]]*Table3[[#This Row],[Unit Price]]&lt;0, "N/A", Table3[[#This Row],[Quantity]]*Table3[[#This Row],[Unit Price]]), "N/A")</f>
        <v>210000</v>
      </c>
      <c r="O132">
        <f>IFERROR(Table3[[#This Row],[Unit Price]]*Table3[[#This Row],[Return Qty]], "N/A")</f>
        <v>0</v>
      </c>
      <c r="P132">
        <f>IFERROR(IF((Table3[[#This Row],[Revenue before return]]-Table3[[#This Row],[Amount of order  returned]])&lt;0, "N/A", Table3[[#This Row],[Revenue before return]]-Table3[[#This Row],[Amount of order  returned]]), "N/A")</f>
        <v>210000</v>
      </c>
      <c r="Q13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33" spans="1:17" x14ac:dyDescent="0.2">
      <c r="A133" t="s">
        <v>286</v>
      </c>
      <c r="B133" t="s">
        <v>14</v>
      </c>
      <c r="C133" t="s">
        <v>45</v>
      </c>
      <c r="D133" s="6">
        <v>11</v>
      </c>
      <c r="E133" s="5">
        <v>20000</v>
      </c>
      <c r="F133" t="s">
        <v>287</v>
      </c>
      <c r="G133" s="7">
        <v>46134</v>
      </c>
      <c r="H133" s="5">
        <v>5</v>
      </c>
      <c r="I13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33" t="b">
        <f>((ISNUMBER(Table3[[#This Row],[Quantity]]) )* (Table3[[#This Row],[Quantity]]&gt;0))=1</f>
        <v>1</v>
      </c>
      <c r="K133" t="b">
        <f>((Table3[[#This Row],[Quantity]]&gt;=Table3[[#This Row],[Return Qty]])*(ISNUMBER(Table3[[#This Row],[Quantity]])))=1</f>
        <v>1</v>
      </c>
      <c r="L133" t="b">
        <f>ISNUMBER(Table3[[#This Row],[Unit Price]])</f>
        <v>1</v>
      </c>
      <c r="M133" t="b">
        <f>ISNUMBER(Table3[[#This Row],[Order Date]])</f>
        <v>1</v>
      </c>
      <c r="N133">
        <f>IFERROR(IF(Table3[[#This Row],[Quantity]]*Table3[[#This Row],[Unit Price]]&lt;0, "N/A", Table3[[#This Row],[Quantity]]*Table3[[#This Row],[Unit Price]]), "N/A")</f>
        <v>220000</v>
      </c>
      <c r="O133">
        <f>IFERROR(Table3[[#This Row],[Unit Price]]*Table3[[#This Row],[Return Qty]], "N/A")</f>
        <v>100000</v>
      </c>
      <c r="P133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13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34" spans="1:17" x14ac:dyDescent="0.2">
      <c r="A134" t="s">
        <v>288</v>
      </c>
      <c r="B134" t="s">
        <v>14</v>
      </c>
      <c r="C134" t="s">
        <v>18</v>
      </c>
      <c r="D134" s="6">
        <v>15</v>
      </c>
      <c r="E134" s="5">
        <v>50000</v>
      </c>
      <c r="F134" t="s">
        <v>121</v>
      </c>
      <c r="G134" s="7">
        <v>46140</v>
      </c>
      <c r="H134" s="5">
        <v>0</v>
      </c>
      <c r="I13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34" t="b">
        <f>((ISNUMBER(Table3[[#This Row],[Quantity]]) )* (Table3[[#This Row],[Quantity]]&gt;0))=1</f>
        <v>1</v>
      </c>
      <c r="K134" t="b">
        <f>((Table3[[#This Row],[Quantity]]&gt;=Table3[[#This Row],[Return Qty]])*(ISNUMBER(Table3[[#This Row],[Quantity]])))=1</f>
        <v>1</v>
      </c>
      <c r="L134" t="b">
        <f>ISNUMBER(Table3[[#This Row],[Unit Price]])</f>
        <v>1</v>
      </c>
      <c r="M134" t="b">
        <f>ISNUMBER(Table3[[#This Row],[Order Date]])</f>
        <v>1</v>
      </c>
      <c r="N134">
        <f>IFERROR(IF(Table3[[#This Row],[Quantity]]*Table3[[#This Row],[Unit Price]]&lt;0, "N/A", Table3[[#This Row],[Quantity]]*Table3[[#This Row],[Unit Price]]), "N/A")</f>
        <v>750000</v>
      </c>
      <c r="O134">
        <f>IFERROR(Table3[[#This Row],[Unit Price]]*Table3[[#This Row],[Return Qty]], "N/A")</f>
        <v>0</v>
      </c>
      <c r="P134">
        <f>IFERROR(IF((Table3[[#This Row],[Revenue before return]]-Table3[[#This Row],[Amount of order  returned]])&lt;0, "N/A", Table3[[#This Row],[Revenue before return]]-Table3[[#This Row],[Amount of order  returned]]), "N/A")</f>
        <v>750000</v>
      </c>
      <c r="Q13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35" spans="1:17" x14ac:dyDescent="0.2">
      <c r="A135" t="s">
        <v>289</v>
      </c>
      <c r="B135" t="s">
        <v>25</v>
      </c>
      <c r="C135" t="s">
        <v>22</v>
      </c>
      <c r="D135" s="6">
        <v>21</v>
      </c>
      <c r="E135" s="5">
        <v>35000</v>
      </c>
      <c r="F135" t="s">
        <v>290</v>
      </c>
      <c r="G135" s="7">
        <v>46165</v>
      </c>
      <c r="H135" s="5">
        <v>0</v>
      </c>
      <c r="I13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35" t="b">
        <f>((ISNUMBER(Table3[[#This Row],[Quantity]]) )* (Table3[[#This Row],[Quantity]]&gt;0))=1</f>
        <v>1</v>
      </c>
      <c r="K135" t="b">
        <f>((Table3[[#This Row],[Quantity]]&gt;=Table3[[#This Row],[Return Qty]])*(ISNUMBER(Table3[[#This Row],[Quantity]])))=1</f>
        <v>1</v>
      </c>
      <c r="L135" t="b">
        <f>ISNUMBER(Table3[[#This Row],[Unit Price]])</f>
        <v>1</v>
      </c>
      <c r="M135" t="b">
        <f>ISNUMBER(Table3[[#This Row],[Order Date]])</f>
        <v>1</v>
      </c>
      <c r="N135">
        <f>IFERROR(IF(Table3[[#This Row],[Quantity]]*Table3[[#This Row],[Unit Price]]&lt;0, "N/A", Table3[[#This Row],[Quantity]]*Table3[[#This Row],[Unit Price]]), "N/A")</f>
        <v>735000</v>
      </c>
      <c r="O135">
        <f>IFERROR(Table3[[#This Row],[Unit Price]]*Table3[[#This Row],[Return Qty]], "N/A")</f>
        <v>0</v>
      </c>
      <c r="P135">
        <f>IFERROR(IF((Table3[[#This Row],[Revenue before return]]-Table3[[#This Row],[Amount of order  returned]])&lt;0, "N/A", Table3[[#This Row],[Revenue before return]]-Table3[[#This Row],[Amount of order  returned]]), "N/A")</f>
        <v>735000</v>
      </c>
      <c r="Q13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36" spans="1:17" x14ac:dyDescent="0.2">
      <c r="A136" t="s">
        <v>291</v>
      </c>
      <c r="B136" t="s">
        <v>25</v>
      </c>
      <c r="C136" t="s">
        <v>32</v>
      </c>
      <c r="D136" s="6">
        <v>20</v>
      </c>
      <c r="E136" s="5">
        <v>8000</v>
      </c>
      <c r="F136" t="s">
        <v>292</v>
      </c>
      <c r="G136" s="7">
        <v>46148</v>
      </c>
      <c r="H136" s="5">
        <v>0</v>
      </c>
      <c r="I13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36" t="b">
        <f>((ISNUMBER(Table3[[#This Row],[Quantity]]) )* (Table3[[#This Row],[Quantity]]&gt;0))=1</f>
        <v>1</v>
      </c>
      <c r="K136" t="b">
        <f>((Table3[[#This Row],[Quantity]]&gt;=Table3[[#This Row],[Return Qty]])*(ISNUMBER(Table3[[#This Row],[Quantity]])))=1</f>
        <v>1</v>
      </c>
      <c r="L136" t="b">
        <f>ISNUMBER(Table3[[#This Row],[Unit Price]])</f>
        <v>1</v>
      </c>
      <c r="M136" t="b">
        <f>ISNUMBER(Table3[[#This Row],[Order Date]])</f>
        <v>1</v>
      </c>
      <c r="N136">
        <f>IFERROR(IF(Table3[[#This Row],[Quantity]]*Table3[[#This Row],[Unit Price]]&lt;0, "N/A", Table3[[#This Row],[Quantity]]*Table3[[#This Row],[Unit Price]]), "N/A")</f>
        <v>160000</v>
      </c>
      <c r="O136">
        <f>IFERROR(Table3[[#This Row],[Unit Price]]*Table3[[#This Row],[Return Qty]], "N/A")</f>
        <v>0</v>
      </c>
      <c r="P136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13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37" spans="1:17" x14ac:dyDescent="0.2">
      <c r="A137" t="s">
        <v>293</v>
      </c>
      <c r="B137" t="s">
        <v>25</v>
      </c>
      <c r="C137" t="s">
        <v>26</v>
      </c>
      <c r="D137" s="6">
        <v>10</v>
      </c>
      <c r="E137" s="5">
        <v>20000</v>
      </c>
      <c r="F137" t="s">
        <v>294</v>
      </c>
      <c r="G137" s="7">
        <v>46120</v>
      </c>
      <c r="H137" s="5">
        <v>0</v>
      </c>
      <c r="I13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37" t="b">
        <f>((ISNUMBER(Table3[[#This Row],[Quantity]]) )* (Table3[[#This Row],[Quantity]]&gt;0))=1</f>
        <v>1</v>
      </c>
      <c r="K137" t="b">
        <f>((Table3[[#This Row],[Quantity]]&gt;=Table3[[#This Row],[Return Qty]])*(ISNUMBER(Table3[[#This Row],[Quantity]])))=1</f>
        <v>1</v>
      </c>
      <c r="L137" t="b">
        <f>ISNUMBER(Table3[[#This Row],[Unit Price]])</f>
        <v>1</v>
      </c>
      <c r="M137" t="b">
        <f>ISNUMBER(Table3[[#This Row],[Order Date]])</f>
        <v>1</v>
      </c>
      <c r="N137">
        <f>IFERROR(IF(Table3[[#This Row],[Quantity]]*Table3[[#This Row],[Unit Price]]&lt;0, "N/A", Table3[[#This Row],[Quantity]]*Table3[[#This Row],[Unit Price]]), "N/A")</f>
        <v>200000</v>
      </c>
      <c r="O137">
        <f>IFERROR(Table3[[#This Row],[Unit Price]]*Table3[[#This Row],[Return Qty]], "N/A")</f>
        <v>0</v>
      </c>
      <c r="P137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13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38" spans="1:17" x14ac:dyDescent="0.2">
      <c r="A138" t="s">
        <v>295</v>
      </c>
      <c r="B138" t="s">
        <v>25</v>
      </c>
      <c r="C138" t="s">
        <v>18</v>
      </c>
      <c r="D138" s="6">
        <v>17</v>
      </c>
      <c r="E138" s="5">
        <v>25000</v>
      </c>
      <c r="F138" t="s">
        <v>296</v>
      </c>
      <c r="G138" s="7">
        <v>46144</v>
      </c>
      <c r="H138" s="5">
        <v>0</v>
      </c>
      <c r="I13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38" t="b">
        <f>((ISNUMBER(Table3[[#This Row],[Quantity]]) )* (Table3[[#This Row],[Quantity]]&gt;0))=1</f>
        <v>1</v>
      </c>
      <c r="K138" t="b">
        <f>((Table3[[#This Row],[Quantity]]&gt;=Table3[[#This Row],[Return Qty]])*(ISNUMBER(Table3[[#This Row],[Quantity]])))=1</f>
        <v>1</v>
      </c>
      <c r="L138" t="b">
        <f>ISNUMBER(Table3[[#This Row],[Unit Price]])</f>
        <v>1</v>
      </c>
      <c r="M138" t="b">
        <f>ISNUMBER(Table3[[#This Row],[Order Date]])</f>
        <v>1</v>
      </c>
      <c r="N138">
        <f>IFERROR(IF(Table3[[#This Row],[Quantity]]*Table3[[#This Row],[Unit Price]]&lt;0, "N/A", Table3[[#This Row],[Quantity]]*Table3[[#This Row],[Unit Price]]), "N/A")</f>
        <v>425000</v>
      </c>
      <c r="O138">
        <f>IFERROR(Table3[[#This Row],[Unit Price]]*Table3[[#This Row],[Return Qty]], "N/A")</f>
        <v>0</v>
      </c>
      <c r="P138">
        <f>IFERROR(IF((Table3[[#This Row],[Revenue before return]]-Table3[[#This Row],[Amount of order  returned]])&lt;0, "N/A", Table3[[#This Row],[Revenue before return]]-Table3[[#This Row],[Amount of order  returned]]), "N/A")</f>
        <v>425000</v>
      </c>
      <c r="Q13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39" spans="1:17" x14ac:dyDescent="0.2">
      <c r="A139" t="s">
        <v>297</v>
      </c>
      <c r="B139" t="s">
        <v>14</v>
      </c>
      <c r="C139" t="s">
        <v>22</v>
      </c>
      <c r="D139" s="6">
        <v>13</v>
      </c>
      <c r="E139" s="5">
        <v>35000</v>
      </c>
      <c r="F139" t="s">
        <v>88</v>
      </c>
      <c r="G139" s="7">
        <v>46193</v>
      </c>
      <c r="H139" s="5">
        <v>0</v>
      </c>
      <c r="I13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39" t="b">
        <f>((ISNUMBER(Table3[[#This Row],[Quantity]]) )* (Table3[[#This Row],[Quantity]]&gt;0))=1</f>
        <v>1</v>
      </c>
      <c r="K139" t="b">
        <f>((Table3[[#This Row],[Quantity]]&gt;=Table3[[#This Row],[Return Qty]])*(ISNUMBER(Table3[[#This Row],[Quantity]])))=1</f>
        <v>1</v>
      </c>
      <c r="L139" t="b">
        <f>ISNUMBER(Table3[[#This Row],[Unit Price]])</f>
        <v>1</v>
      </c>
      <c r="M139" t="b">
        <f>ISNUMBER(Table3[[#This Row],[Order Date]])</f>
        <v>1</v>
      </c>
      <c r="N139">
        <f>IFERROR(IF(Table3[[#This Row],[Quantity]]*Table3[[#This Row],[Unit Price]]&lt;0, "N/A", Table3[[#This Row],[Quantity]]*Table3[[#This Row],[Unit Price]]), "N/A")</f>
        <v>455000</v>
      </c>
      <c r="O139">
        <f>IFERROR(Table3[[#This Row],[Unit Price]]*Table3[[#This Row],[Return Qty]], "N/A")</f>
        <v>0</v>
      </c>
      <c r="P139">
        <f>IFERROR(IF((Table3[[#This Row],[Revenue before return]]-Table3[[#This Row],[Amount of order  returned]])&lt;0, "N/A", Table3[[#This Row],[Revenue before return]]-Table3[[#This Row],[Amount of order  returned]]), "N/A")</f>
        <v>455000</v>
      </c>
      <c r="Q13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40" spans="1:17" x14ac:dyDescent="0.2">
      <c r="A140" t="s">
        <v>298</v>
      </c>
      <c r="B140" t="s">
        <v>14</v>
      </c>
      <c r="C140" t="s">
        <v>70</v>
      </c>
      <c r="D140" s="6">
        <v>24</v>
      </c>
      <c r="E140" s="5">
        <v>28000</v>
      </c>
      <c r="F140" t="s">
        <v>159</v>
      </c>
      <c r="G140" s="7">
        <v>46069</v>
      </c>
      <c r="H140" s="5">
        <v>0</v>
      </c>
      <c r="I14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40" t="b">
        <f>((ISNUMBER(Table3[[#This Row],[Quantity]]) )* (Table3[[#This Row],[Quantity]]&gt;0))=1</f>
        <v>1</v>
      </c>
      <c r="K140" t="b">
        <f>((Table3[[#This Row],[Quantity]]&gt;=Table3[[#This Row],[Return Qty]])*(ISNUMBER(Table3[[#This Row],[Quantity]])))=1</f>
        <v>1</v>
      </c>
      <c r="L140" t="b">
        <f>ISNUMBER(Table3[[#This Row],[Unit Price]])</f>
        <v>1</v>
      </c>
      <c r="M140" t="b">
        <f>ISNUMBER(Table3[[#This Row],[Order Date]])</f>
        <v>1</v>
      </c>
      <c r="N140">
        <f>IFERROR(IF(Table3[[#This Row],[Quantity]]*Table3[[#This Row],[Unit Price]]&lt;0, "N/A", Table3[[#This Row],[Quantity]]*Table3[[#This Row],[Unit Price]]), "N/A")</f>
        <v>672000</v>
      </c>
      <c r="O140">
        <f>IFERROR(Table3[[#This Row],[Unit Price]]*Table3[[#This Row],[Return Qty]], "N/A")</f>
        <v>0</v>
      </c>
      <c r="P140">
        <f>IFERROR(IF((Table3[[#This Row],[Revenue before return]]-Table3[[#This Row],[Amount of order  returned]])&lt;0, "N/A", Table3[[#This Row],[Revenue before return]]-Table3[[#This Row],[Amount of order  returned]]), "N/A")</f>
        <v>672000</v>
      </c>
      <c r="Q14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41" spans="1:17" x14ac:dyDescent="0.2">
      <c r="A141" t="s">
        <v>299</v>
      </c>
      <c r="B141" t="s">
        <v>21</v>
      </c>
      <c r="C141" t="s">
        <v>32</v>
      </c>
      <c r="D141" s="6">
        <v>2</v>
      </c>
      <c r="E141" s="5">
        <v>8000</v>
      </c>
      <c r="F141" t="s">
        <v>300</v>
      </c>
      <c r="G141" s="7">
        <v>46107</v>
      </c>
      <c r="H141" s="5">
        <v>0</v>
      </c>
      <c r="I14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41" t="b">
        <f>((ISNUMBER(Table3[[#This Row],[Quantity]]) )* (Table3[[#This Row],[Quantity]]&gt;0))=1</f>
        <v>1</v>
      </c>
      <c r="K141" t="b">
        <f>((Table3[[#This Row],[Quantity]]&gt;=Table3[[#This Row],[Return Qty]])*(ISNUMBER(Table3[[#This Row],[Quantity]])))=1</f>
        <v>1</v>
      </c>
      <c r="L141" t="b">
        <f>ISNUMBER(Table3[[#This Row],[Unit Price]])</f>
        <v>1</v>
      </c>
      <c r="M141" t="b">
        <f>ISNUMBER(Table3[[#This Row],[Order Date]])</f>
        <v>1</v>
      </c>
      <c r="N141">
        <f>IFERROR(IF(Table3[[#This Row],[Quantity]]*Table3[[#This Row],[Unit Price]]&lt;0, "N/A", Table3[[#This Row],[Quantity]]*Table3[[#This Row],[Unit Price]]), "N/A")</f>
        <v>16000</v>
      </c>
      <c r="O141">
        <f>IFERROR(Table3[[#This Row],[Unit Price]]*Table3[[#This Row],[Return Qty]], "N/A")</f>
        <v>0</v>
      </c>
      <c r="P141">
        <f>IFERROR(IF((Table3[[#This Row],[Revenue before return]]-Table3[[#This Row],[Amount of order  returned]])&lt;0, "N/A", Table3[[#This Row],[Revenue before return]]-Table3[[#This Row],[Amount of order  returned]]), "N/A")</f>
        <v>16000</v>
      </c>
      <c r="Q14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42" spans="1:17" x14ac:dyDescent="0.2">
      <c r="A142" t="s">
        <v>301</v>
      </c>
      <c r="B142" t="s">
        <v>14</v>
      </c>
      <c r="C142" t="s">
        <v>26</v>
      </c>
      <c r="D142" s="6">
        <v>3</v>
      </c>
      <c r="E142" s="5">
        <v>20000</v>
      </c>
      <c r="F142" t="s">
        <v>302</v>
      </c>
      <c r="G142" s="7">
        <v>46161</v>
      </c>
      <c r="H142" s="5">
        <v>2</v>
      </c>
      <c r="I14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42" t="b">
        <f>((ISNUMBER(Table3[[#This Row],[Quantity]]) )* (Table3[[#This Row],[Quantity]]&gt;0))=1</f>
        <v>1</v>
      </c>
      <c r="K142" t="b">
        <f>((Table3[[#This Row],[Quantity]]&gt;=Table3[[#This Row],[Return Qty]])*(ISNUMBER(Table3[[#This Row],[Quantity]])))=1</f>
        <v>1</v>
      </c>
      <c r="L142" t="b">
        <f>ISNUMBER(Table3[[#This Row],[Unit Price]])</f>
        <v>1</v>
      </c>
      <c r="M142" t="b">
        <f>ISNUMBER(Table3[[#This Row],[Order Date]])</f>
        <v>1</v>
      </c>
      <c r="N142">
        <f>IFERROR(IF(Table3[[#This Row],[Quantity]]*Table3[[#This Row],[Unit Price]]&lt;0, "N/A", Table3[[#This Row],[Quantity]]*Table3[[#This Row],[Unit Price]]), "N/A")</f>
        <v>60000</v>
      </c>
      <c r="O142">
        <f>IFERROR(Table3[[#This Row],[Unit Price]]*Table3[[#This Row],[Return Qty]], "N/A")</f>
        <v>40000</v>
      </c>
      <c r="P142">
        <f>IFERROR(IF((Table3[[#This Row],[Revenue before return]]-Table3[[#This Row],[Amount of order  returned]])&lt;0, "N/A", Table3[[#This Row],[Revenue before return]]-Table3[[#This Row],[Amount of order  returned]]), "N/A")</f>
        <v>20000</v>
      </c>
      <c r="Q14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43" spans="1:17" x14ac:dyDescent="0.2">
      <c r="A143" t="s">
        <v>303</v>
      </c>
      <c r="B143" t="s">
        <v>304</v>
      </c>
      <c r="C143" t="s">
        <v>39</v>
      </c>
      <c r="D143" s="6">
        <v>24</v>
      </c>
      <c r="E143" s="5">
        <v>12000</v>
      </c>
      <c r="F143" t="s">
        <v>300</v>
      </c>
      <c r="G143" s="7">
        <v>46110</v>
      </c>
      <c r="H143" s="5">
        <v>0</v>
      </c>
      <c r="I14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43" t="b">
        <f>((ISNUMBER(Table3[[#This Row],[Quantity]]) )* (Table3[[#This Row],[Quantity]]&gt;0))=1</f>
        <v>1</v>
      </c>
      <c r="K143" t="b">
        <f>((Table3[[#This Row],[Quantity]]&gt;=Table3[[#This Row],[Return Qty]])*(ISNUMBER(Table3[[#This Row],[Quantity]])))=1</f>
        <v>1</v>
      </c>
      <c r="L143" t="b">
        <f>ISNUMBER(Table3[[#This Row],[Unit Price]])</f>
        <v>1</v>
      </c>
      <c r="M143" t="b">
        <f>ISNUMBER(Table3[[#This Row],[Order Date]])</f>
        <v>1</v>
      </c>
      <c r="N143">
        <f>IFERROR(IF(Table3[[#This Row],[Quantity]]*Table3[[#This Row],[Unit Price]]&lt;0, "N/A", Table3[[#This Row],[Quantity]]*Table3[[#This Row],[Unit Price]]), "N/A")</f>
        <v>288000</v>
      </c>
      <c r="O143">
        <f>IFERROR(Table3[[#This Row],[Unit Price]]*Table3[[#This Row],[Return Qty]], "N/A")</f>
        <v>0</v>
      </c>
      <c r="P143">
        <f>IFERROR(IF((Table3[[#This Row],[Revenue before return]]-Table3[[#This Row],[Amount of order  returned]])&lt;0, "N/A", Table3[[#This Row],[Revenue before return]]-Table3[[#This Row],[Amount of order  returned]]), "N/A")</f>
        <v>288000</v>
      </c>
      <c r="Q14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44" spans="1:17" x14ac:dyDescent="0.2">
      <c r="A144" t="s">
        <v>305</v>
      </c>
      <c r="B144" t="s">
        <v>25</v>
      </c>
      <c r="C144" t="s">
        <v>39</v>
      </c>
      <c r="D144" s="6">
        <v>25</v>
      </c>
      <c r="E144" s="5">
        <v>12000</v>
      </c>
      <c r="F144" t="s">
        <v>306</v>
      </c>
      <c r="G144" s="7">
        <v>46070</v>
      </c>
      <c r="H144" s="5">
        <v>0</v>
      </c>
      <c r="I14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44" t="b">
        <f>((ISNUMBER(Table3[[#This Row],[Quantity]]) )* (Table3[[#This Row],[Quantity]]&gt;0))=1</f>
        <v>1</v>
      </c>
      <c r="K144" t="b">
        <f>((Table3[[#This Row],[Quantity]]&gt;=Table3[[#This Row],[Return Qty]])*(ISNUMBER(Table3[[#This Row],[Quantity]])))=1</f>
        <v>1</v>
      </c>
      <c r="L144" t="b">
        <f>ISNUMBER(Table3[[#This Row],[Unit Price]])</f>
        <v>1</v>
      </c>
      <c r="M144" t="b">
        <f>ISNUMBER(Table3[[#This Row],[Order Date]])</f>
        <v>1</v>
      </c>
      <c r="N144">
        <f>IFERROR(IF(Table3[[#This Row],[Quantity]]*Table3[[#This Row],[Unit Price]]&lt;0, "N/A", Table3[[#This Row],[Quantity]]*Table3[[#This Row],[Unit Price]]), "N/A")</f>
        <v>300000</v>
      </c>
      <c r="O144">
        <f>IFERROR(Table3[[#This Row],[Unit Price]]*Table3[[#This Row],[Return Qty]], "N/A")</f>
        <v>0</v>
      </c>
      <c r="P144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14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45" spans="1:17" x14ac:dyDescent="0.2">
      <c r="A145" t="s">
        <v>307</v>
      </c>
      <c r="B145" t="s">
        <v>9</v>
      </c>
      <c r="C145" t="s">
        <v>26</v>
      </c>
      <c r="D145" s="6">
        <v>23</v>
      </c>
      <c r="E145" s="5">
        <v>20000</v>
      </c>
      <c r="F145" t="s">
        <v>308</v>
      </c>
      <c r="G145" s="7">
        <v>46065</v>
      </c>
      <c r="H145" s="5">
        <v>0</v>
      </c>
      <c r="I14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45" t="b">
        <f>((ISNUMBER(Table3[[#This Row],[Quantity]]) )* (Table3[[#This Row],[Quantity]]&gt;0))=1</f>
        <v>1</v>
      </c>
      <c r="K145" t="b">
        <f>((Table3[[#This Row],[Quantity]]&gt;=Table3[[#This Row],[Return Qty]])*(ISNUMBER(Table3[[#This Row],[Quantity]])))=1</f>
        <v>1</v>
      </c>
      <c r="L145" t="b">
        <f>ISNUMBER(Table3[[#This Row],[Unit Price]])</f>
        <v>1</v>
      </c>
      <c r="M145" t="b">
        <f>ISNUMBER(Table3[[#This Row],[Order Date]])</f>
        <v>1</v>
      </c>
      <c r="N145">
        <f>IFERROR(IF(Table3[[#This Row],[Quantity]]*Table3[[#This Row],[Unit Price]]&lt;0, "N/A", Table3[[#This Row],[Quantity]]*Table3[[#This Row],[Unit Price]]), "N/A")</f>
        <v>460000</v>
      </c>
      <c r="O145">
        <f>IFERROR(Table3[[#This Row],[Unit Price]]*Table3[[#This Row],[Return Qty]], "N/A")</f>
        <v>0</v>
      </c>
      <c r="P145">
        <f>IFERROR(IF((Table3[[#This Row],[Revenue before return]]-Table3[[#This Row],[Amount of order  returned]])&lt;0, "N/A", Table3[[#This Row],[Revenue before return]]-Table3[[#This Row],[Amount of order  returned]]), "N/A")</f>
        <v>460000</v>
      </c>
      <c r="Q14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46" spans="1:17" x14ac:dyDescent="0.2">
      <c r="A146" t="s">
        <v>309</v>
      </c>
      <c r="B146" t="s">
        <v>9</v>
      </c>
      <c r="C146" t="s">
        <v>39</v>
      </c>
      <c r="D146" s="6">
        <v>5</v>
      </c>
      <c r="E146" s="5">
        <v>12000</v>
      </c>
      <c r="F146" t="s">
        <v>68</v>
      </c>
      <c r="G146" s="7">
        <v>46158</v>
      </c>
      <c r="H146" s="5">
        <v>2</v>
      </c>
      <c r="I14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46" t="b">
        <f>((ISNUMBER(Table3[[#This Row],[Quantity]]) )* (Table3[[#This Row],[Quantity]]&gt;0))=1</f>
        <v>1</v>
      </c>
      <c r="K146" t="b">
        <f>((Table3[[#This Row],[Quantity]]&gt;=Table3[[#This Row],[Return Qty]])*(ISNUMBER(Table3[[#This Row],[Quantity]])))=1</f>
        <v>1</v>
      </c>
      <c r="L146" t="b">
        <f>ISNUMBER(Table3[[#This Row],[Unit Price]])</f>
        <v>1</v>
      </c>
      <c r="M146" t="b">
        <f>ISNUMBER(Table3[[#This Row],[Order Date]])</f>
        <v>1</v>
      </c>
      <c r="N146">
        <f>IFERROR(IF(Table3[[#This Row],[Quantity]]*Table3[[#This Row],[Unit Price]]&lt;0, "N/A", Table3[[#This Row],[Quantity]]*Table3[[#This Row],[Unit Price]]), "N/A")</f>
        <v>60000</v>
      </c>
      <c r="O146">
        <f>IFERROR(Table3[[#This Row],[Unit Price]]*Table3[[#This Row],[Return Qty]], "N/A")</f>
        <v>24000</v>
      </c>
      <c r="P146">
        <f>IFERROR(IF((Table3[[#This Row],[Revenue before return]]-Table3[[#This Row],[Amount of order  returned]])&lt;0, "N/A", Table3[[#This Row],[Revenue before return]]-Table3[[#This Row],[Amount of order  returned]]), "N/A")</f>
        <v>36000</v>
      </c>
      <c r="Q14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47" spans="1:17" x14ac:dyDescent="0.2">
      <c r="A147" t="s">
        <v>310</v>
      </c>
      <c r="B147" t="s">
        <v>21</v>
      </c>
      <c r="C147" t="s">
        <v>45</v>
      </c>
      <c r="D147" s="6">
        <v>19</v>
      </c>
      <c r="E147" s="5">
        <v>20000</v>
      </c>
      <c r="F147" t="s">
        <v>311</v>
      </c>
      <c r="G147" s="7">
        <v>46084</v>
      </c>
      <c r="H147" s="5">
        <v>24</v>
      </c>
      <c r="I14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47" t="b">
        <f>((ISNUMBER(Table3[[#This Row],[Quantity]]) )* (Table3[[#This Row],[Quantity]]&gt;0))=1</f>
        <v>1</v>
      </c>
      <c r="K147" t="b">
        <f>((Table3[[#This Row],[Quantity]]&gt;=Table3[[#This Row],[Return Qty]])*(ISNUMBER(Table3[[#This Row],[Quantity]])))=1</f>
        <v>0</v>
      </c>
      <c r="L147" t="b">
        <f>ISNUMBER(Table3[[#This Row],[Unit Price]])</f>
        <v>1</v>
      </c>
      <c r="M147" t="b">
        <f>ISNUMBER(Table3[[#This Row],[Order Date]])</f>
        <v>1</v>
      </c>
      <c r="N147">
        <f>IFERROR(IF(Table3[[#This Row],[Quantity]]*Table3[[#This Row],[Unit Price]]&lt;0, "N/A", Table3[[#This Row],[Quantity]]*Table3[[#This Row],[Unit Price]]), "N/A")</f>
        <v>380000</v>
      </c>
      <c r="O147">
        <f>IFERROR(Table3[[#This Row],[Unit Price]]*Table3[[#This Row],[Return Qty]], "N/A")</f>
        <v>480000</v>
      </c>
      <c r="P147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14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48" spans="1:17" x14ac:dyDescent="0.2">
      <c r="A148" t="s">
        <v>312</v>
      </c>
      <c r="B148" t="s">
        <v>9</v>
      </c>
      <c r="C148" t="s">
        <v>39</v>
      </c>
      <c r="D148" s="6">
        <v>5</v>
      </c>
      <c r="E148" s="5">
        <v>12000</v>
      </c>
      <c r="F148" t="s">
        <v>263</v>
      </c>
      <c r="G148" s="7">
        <v>46063</v>
      </c>
      <c r="H148" s="5">
        <v>0</v>
      </c>
      <c r="I14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48" t="b">
        <f>((ISNUMBER(Table3[[#This Row],[Quantity]]) )* (Table3[[#This Row],[Quantity]]&gt;0))=1</f>
        <v>1</v>
      </c>
      <c r="K148" t="b">
        <f>((Table3[[#This Row],[Quantity]]&gt;=Table3[[#This Row],[Return Qty]])*(ISNUMBER(Table3[[#This Row],[Quantity]])))=1</f>
        <v>1</v>
      </c>
      <c r="L148" t="b">
        <f>ISNUMBER(Table3[[#This Row],[Unit Price]])</f>
        <v>1</v>
      </c>
      <c r="M148" t="b">
        <f>ISNUMBER(Table3[[#This Row],[Order Date]])</f>
        <v>1</v>
      </c>
      <c r="N148">
        <f>IFERROR(IF(Table3[[#This Row],[Quantity]]*Table3[[#This Row],[Unit Price]]&lt;0, "N/A", Table3[[#This Row],[Quantity]]*Table3[[#This Row],[Unit Price]]), "N/A")</f>
        <v>60000</v>
      </c>
      <c r="O148">
        <f>IFERROR(Table3[[#This Row],[Unit Price]]*Table3[[#This Row],[Return Qty]], "N/A")</f>
        <v>0</v>
      </c>
      <c r="P148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14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49" spans="1:17" x14ac:dyDescent="0.2">
      <c r="A149" t="s">
        <v>314</v>
      </c>
      <c r="B149" t="s">
        <v>25</v>
      </c>
      <c r="C149" t="s">
        <v>39</v>
      </c>
      <c r="D149" s="6">
        <v>20</v>
      </c>
      <c r="E149" s="5">
        <v>12000</v>
      </c>
      <c r="F149" t="s">
        <v>97</v>
      </c>
      <c r="G149" s="7">
        <v>46126</v>
      </c>
      <c r="H149" s="5">
        <v>0</v>
      </c>
      <c r="I14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49" t="b">
        <f>((ISNUMBER(Table3[[#This Row],[Quantity]]) )* (Table3[[#This Row],[Quantity]]&gt;0))=1</f>
        <v>1</v>
      </c>
      <c r="K149" t="b">
        <f>((Table3[[#This Row],[Quantity]]&gt;=Table3[[#This Row],[Return Qty]])*(ISNUMBER(Table3[[#This Row],[Quantity]])))=1</f>
        <v>1</v>
      </c>
      <c r="L149" t="b">
        <f>ISNUMBER(Table3[[#This Row],[Unit Price]])</f>
        <v>1</v>
      </c>
      <c r="M149" t="b">
        <f>ISNUMBER(Table3[[#This Row],[Order Date]])</f>
        <v>1</v>
      </c>
      <c r="N149">
        <f>IFERROR(IF(Table3[[#This Row],[Quantity]]*Table3[[#This Row],[Unit Price]]&lt;0, "N/A", Table3[[#This Row],[Quantity]]*Table3[[#This Row],[Unit Price]]), "N/A")</f>
        <v>240000</v>
      </c>
      <c r="O149">
        <f>IFERROR(Table3[[#This Row],[Unit Price]]*Table3[[#This Row],[Return Qty]], "N/A")</f>
        <v>0</v>
      </c>
      <c r="P149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14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50" spans="1:17" x14ac:dyDescent="0.2">
      <c r="A150" t="s">
        <v>315</v>
      </c>
      <c r="B150" t="s">
        <v>14</v>
      </c>
      <c r="C150" t="s">
        <v>26</v>
      </c>
      <c r="D150" s="6">
        <v>200</v>
      </c>
      <c r="E150" s="5">
        <v>20000</v>
      </c>
      <c r="F150" t="s">
        <v>276</v>
      </c>
      <c r="G150" s="7">
        <v>46187</v>
      </c>
      <c r="H150" s="5">
        <v>0</v>
      </c>
      <c r="I15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50" t="b">
        <f>((ISNUMBER(Table3[[#This Row],[Quantity]]) )* (Table3[[#This Row],[Quantity]]&gt;0))=1</f>
        <v>1</v>
      </c>
      <c r="K150" t="b">
        <f>((Table3[[#This Row],[Quantity]]&gt;=Table3[[#This Row],[Return Qty]])*(ISNUMBER(Table3[[#This Row],[Quantity]])))=1</f>
        <v>1</v>
      </c>
      <c r="L150" t="b">
        <f>ISNUMBER(Table3[[#This Row],[Unit Price]])</f>
        <v>1</v>
      </c>
      <c r="M150" t="b">
        <f>ISNUMBER(Table3[[#This Row],[Order Date]])</f>
        <v>1</v>
      </c>
      <c r="N150">
        <f>IFERROR(IF(Table3[[#This Row],[Quantity]]*Table3[[#This Row],[Unit Price]]&lt;0, "N/A", Table3[[#This Row],[Quantity]]*Table3[[#This Row],[Unit Price]]), "N/A")</f>
        <v>4000000</v>
      </c>
      <c r="O150">
        <f>IFERROR(Table3[[#This Row],[Unit Price]]*Table3[[#This Row],[Return Qty]], "N/A")</f>
        <v>0</v>
      </c>
      <c r="P150">
        <f>IFERROR(IF((Table3[[#This Row],[Revenue before return]]-Table3[[#This Row],[Amount of order  returned]])&lt;0, "N/A", Table3[[#This Row],[Revenue before return]]-Table3[[#This Row],[Amount of order  returned]]), "N/A")</f>
        <v>4000000</v>
      </c>
      <c r="Q15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51" spans="1:17" x14ac:dyDescent="0.2">
      <c r="A151" t="s">
        <v>316</v>
      </c>
      <c r="B151" t="s">
        <v>25</v>
      </c>
      <c r="C151" t="s">
        <v>70</v>
      </c>
      <c r="D151" s="6">
        <v>23</v>
      </c>
      <c r="E151" s="5">
        <v>28000</v>
      </c>
      <c r="F151" t="s">
        <v>246</v>
      </c>
      <c r="G151" s="7">
        <v>46029</v>
      </c>
      <c r="H151" s="5">
        <v>0</v>
      </c>
      <c r="I15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51" t="b">
        <f>((ISNUMBER(Table3[[#This Row],[Quantity]]) )* (Table3[[#This Row],[Quantity]]&gt;0))=1</f>
        <v>1</v>
      </c>
      <c r="K151" t="b">
        <f>((Table3[[#This Row],[Quantity]]&gt;=Table3[[#This Row],[Return Qty]])*(ISNUMBER(Table3[[#This Row],[Quantity]])))=1</f>
        <v>1</v>
      </c>
      <c r="L151" t="b">
        <f>ISNUMBER(Table3[[#This Row],[Unit Price]])</f>
        <v>1</v>
      </c>
      <c r="M151" t="b">
        <f>ISNUMBER(Table3[[#This Row],[Order Date]])</f>
        <v>1</v>
      </c>
      <c r="N151">
        <f>IFERROR(IF(Table3[[#This Row],[Quantity]]*Table3[[#This Row],[Unit Price]]&lt;0, "N/A", Table3[[#This Row],[Quantity]]*Table3[[#This Row],[Unit Price]]), "N/A")</f>
        <v>644000</v>
      </c>
      <c r="O151">
        <f>IFERROR(Table3[[#This Row],[Unit Price]]*Table3[[#This Row],[Return Qty]], "N/A")</f>
        <v>0</v>
      </c>
      <c r="P151">
        <f>IFERROR(IF((Table3[[#This Row],[Revenue before return]]-Table3[[#This Row],[Amount of order  returned]])&lt;0, "N/A", Table3[[#This Row],[Revenue before return]]-Table3[[#This Row],[Amount of order  returned]]), "N/A")</f>
        <v>644000</v>
      </c>
      <c r="Q15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52" spans="1:17" x14ac:dyDescent="0.2">
      <c r="A152" t="s">
        <v>317</v>
      </c>
      <c r="B152" t="s">
        <v>25</v>
      </c>
      <c r="C152" t="s">
        <v>26</v>
      </c>
      <c r="D152" s="6">
        <v>11</v>
      </c>
      <c r="E152" s="5">
        <v>20000</v>
      </c>
      <c r="F152" t="s">
        <v>318</v>
      </c>
      <c r="G152" s="7">
        <v>46035</v>
      </c>
      <c r="H152" s="5">
        <v>0</v>
      </c>
      <c r="I15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52" t="b">
        <f>((ISNUMBER(Table3[[#This Row],[Quantity]]) )* (Table3[[#This Row],[Quantity]]&gt;0))=1</f>
        <v>1</v>
      </c>
      <c r="K152" t="b">
        <f>((Table3[[#This Row],[Quantity]]&gt;=Table3[[#This Row],[Return Qty]])*(ISNUMBER(Table3[[#This Row],[Quantity]])))=1</f>
        <v>1</v>
      </c>
      <c r="L152" t="b">
        <f>ISNUMBER(Table3[[#This Row],[Unit Price]])</f>
        <v>1</v>
      </c>
      <c r="M152" t="b">
        <f>ISNUMBER(Table3[[#This Row],[Order Date]])</f>
        <v>1</v>
      </c>
      <c r="N152">
        <f>IFERROR(IF(Table3[[#This Row],[Quantity]]*Table3[[#This Row],[Unit Price]]&lt;0, "N/A", Table3[[#This Row],[Quantity]]*Table3[[#This Row],[Unit Price]]), "N/A")</f>
        <v>220000</v>
      </c>
      <c r="O152">
        <f>IFERROR(Table3[[#This Row],[Unit Price]]*Table3[[#This Row],[Return Qty]], "N/A")</f>
        <v>0</v>
      </c>
      <c r="P152">
        <f>IFERROR(IF((Table3[[#This Row],[Revenue before return]]-Table3[[#This Row],[Amount of order  returned]])&lt;0, "N/A", Table3[[#This Row],[Revenue before return]]-Table3[[#This Row],[Amount of order  returned]]), "N/A")</f>
        <v>220000</v>
      </c>
      <c r="Q15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53" spans="1:17" x14ac:dyDescent="0.2">
      <c r="A153" t="s">
        <v>319</v>
      </c>
      <c r="B153" t="s">
        <v>25</v>
      </c>
      <c r="C153" t="s">
        <v>26</v>
      </c>
      <c r="D153" s="6">
        <v>21</v>
      </c>
      <c r="E153" s="5">
        <v>20000</v>
      </c>
      <c r="F153" t="s">
        <v>320</v>
      </c>
      <c r="G153" s="7">
        <v>46200</v>
      </c>
      <c r="H153" s="5">
        <v>0</v>
      </c>
      <c r="I15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53" t="b">
        <f>((ISNUMBER(Table3[[#This Row],[Quantity]]) )* (Table3[[#This Row],[Quantity]]&gt;0))=1</f>
        <v>1</v>
      </c>
      <c r="K153" t="b">
        <f>((Table3[[#This Row],[Quantity]]&gt;=Table3[[#This Row],[Return Qty]])*(ISNUMBER(Table3[[#This Row],[Quantity]])))=1</f>
        <v>1</v>
      </c>
      <c r="L153" t="b">
        <f>ISNUMBER(Table3[[#This Row],[Unit Price]])</f>
        <v>1</v>
      </c>
      <c r="M153" t="b">
        <f>ISNUMBER(Table3[[#This Row],[Order Date]])</f>
        <v>1</v>
      </c>
      <c r="N153">
        <f>IFERROR(IF(Table3[[#This Row],[Quantity]]*Table3[[#This Row],[Unit Price]]&lt;0, "N/A", Table3[[#This Row],[Quantity]]*Table3[[#This Row],[Unit Price]]), "N/A")</f>
        <v>420000</v>
      </c>
      <c r="O153">
        <f>IFERROR(Table3[[#This Row],[Unit Price]]*Table3[[#This Row],[Return Qty]], "N/A")</f>
        <v>0</v>
      </c>
      <c r="P153">
        <f>IFERROR(IF((Table3[[#This Row],[Revenue before return]]-Table3[[#This Row],[Amount of order  returned]])&lt;0, "N/A", Table3[[#This Row],[Revenue before return]]-Table3[[#This Row],[Amount of order  returned]]), "N/A")</f>
        <v>420000</v>
      </c>
      <c r="Q15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54" spans="1:17" x14ac:dyDescent="0.2">
      <c r="A154" t="s">
        <v>321</v>
      </c>
      <c r="B154" t="s">
        <v>21</v>
      </c>
      <c r="C154" t="s">
        <v>70</v>
      </c>
      <c r="D154" s="6">
        <v>10</v>
      </c>
      <c r="E154" s="5" t="s">
        <v>11</v>
      </c>
      <c r="F154" t="s">
        <v>322</v>
      </c>
      <c r="G154" s="7">
        <v>46159</v>
      </c>
      <c r="H154" s="5">
        <v>0</v>
      </c>
      <c r="I15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54" t="b">
        <f>((ISNUMBER(Table3[[#This Row],[Quantity]]) )* (Table3[[#This Row],[Quantity]]&gt;0))=1</f>
        <v>1</v>
      </c>
      <c r="K154" t="b">
        <f>((Table3[[#This Row],[Quantity]]&gt;=Table3[[#This Row],[Return Qty]])*(ISNUMBER(Table3[[#This Row],[Quantity]])))=1</f>
        <v>1</v>
      </c>
      <c r="L154" t="b">
        <f>ISNUMBER(Table3[[#This Row],[Unit Price]])</f>
        <v>0</v>
      </c>
      <c r="M154" t="b">
        <f>ISNUMBER(Table3[[#This Row],[Order Date]])</f>
        <v>1</v>
      </c>
      <c r="N154" t="str">
        <f>IFERROR(IF(Table3[[#This Row],[Quantity]]*Table3[[#This Row],[Unit Price]]&lt;0, "N/A", Table3[[#This Row],[Quantity]]*Table3[[#This Row],[Unit Price]]), "N/A")</f>
        <v>N/A</v>
      </c>
      <c r="O154" t="str">
        <f>IFERROR(Table3[[#This Row],[Unit Price]]*Table3[[#This Row],[Return Qty]], "N/A")</f>
        <v>N/A</v>
      </c>
      <c r="P154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15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55" spans="1:17" x14ac:dyDescent="0.2">
      <c r="A155" t="s">
        <v>323</v>
      </c>
      <c r="B155" t="s">
        <v>14</v>
      </c>
      <c r="C155" t="s">
        <v>26</v>
      </c>
      <c r="D155" s="6">
        <v>3</v>
      </c>
      <c r="E155" s="5">
        <v>20000</v>
      </c>
      <c r="F155" t="s">
        <v>324</v>
      </c>
      <c r="G155" s="7" t="s">
        <v>11</v>
      </c>
      <c r="H155" s="5">
        <v>0</v>
      </c>
      <c r="I15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55" t="b">
        <f>((ISNUMBER(Table3[[#This Row],[Quantity]]) )* (Table3[[#This Row],[Quantity]]&gt;0))=1</f>
        <v>1</v>
      </c>
      <c r="K155" t="b">
        <f>((Table3[[#This Row],[Quantity]]&gt;=Table3[[#This Row],[Return Qty]])*(ISNUMBER(Table3[[#This Row],[Quantity]])))=1</f>
        <v>1</v>
      </c>
      <c r="L155" t="b">
        <f>ISNUMBER(Table3[[#This Row],[Unit Price]])</f>
        <v>1</v>
      </c>
      <c r="M155" t="b">
        <f>ISNUMBER(Table3[[#This Row],[Order Date]])</f>
        <v>0</v>
      </c>
      <c r="N155">
        <f>IFERROR(IF(Table3[[#This Row],[Quantity]]*Table3[[#This Row],[Unit Price]]&lt;0, "N/A", Table3[[#This Row],[Quantity]]*Table3[[#This Row],[Unit Price]]), "N/A")</f>
        <v>60000</v>
      </c>
      <c r="O155">
        <f>IFERROR(Table3[[#This Row],[Unit Price]]*Table3[[#This Row],[Return Qty]], "N/A")</f>
        <v>0</v>
      </c>
      <c r="P155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15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56" spans="1:17" x14ac:dyDescent="0.2">
      <c r="A156" t="s">
        <v>325</v>
      </c>
      <c r="B156" t="s">
        <v>9</v>
      </c>
      <c r="C156" t="s">
        <v>18</v>
      </c>
      <c r="D156" s="6">
        <v>23</v>
      </c>
      <c r="E156" s="5">
        <v>50000</v>
      </c>
      <c r="F156" t="s">
        <v>110</v>
      </c>
      <c r="G156" s="7">
        <v>46095</v>
      </c>
      <c r="H156" s="5">
        <v>1</v>
      </c>
      <c r="I15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56" t="b">
        <f>((ISNUMBER(Table3[[#This Row],[Quantity]]) )* (Table3[[#This Row],[Quantity]]&gt;0))=1</f>
        <v>1</v>
      </c>
      <c r="K156" t="b">
        <f>((Table3[[#This Row],[Quantity]]&gt;=Table3[[#This Row],[Return Qty]])*(ISNUMBER(Table3[[#This Row],[Quantity]])))=1</f>
        <v>1</v>
      </c>
      <c r="L156" t="b">
        <f>ISNUMBER(Table3[[#This Row],[Unit Price]])</f>
        <v>1</v>
      </c>
      <c r="M156" t="b">
        <f>ISNUMBER(Table3[[#This Row],[Order Date]])</f>
        <v>1</v>
      </c>
      <c r="N156">
        <f>IFERROR(IF(Table3[[#This Row],[Quantity]]*Table3[[#This Row],[Unit Price]]&lt;0, "N/A", Table3[[#This Row],[Quantity]]*Table3[[#This Row],[Unit Price]]), "N/A")</f>
        <v>1150000</v>
      </c>
      <c r="O156">
        <f>IFERROR(Table3[[#This Row],[Unit Price]]*Table3[[#This Row],[Return Qty]], "N/A")</f>
        <v>50000</v>
      </c>
      <c r="P156">
        <f>IFERROR(IF((Table3[[#This Row],[Revenue before return]]-Table3[[#This Row],[Amount of order  returned]])&lt;0, "N/A", Table3[[#This Row],[Revenue before return]]-Table3[[#This Row],[Amount of order  returned]]), "N/A")</f>
        <v>1100000</v>
      </c>
      <c r="Q15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57" spans="1:17" x14ac:dyDescent="0.2">
      <c r="A157" t="s">
        <v>326</v>
      </c>
      <c r="B157" t="s">
        <v>14</v>
      </c>
      <c r="C157" t="s">
        <v>26</v>
      </c>
      <c r="D157" s="6">
        <v>9</v>
      </c>
      <c r="E157" s="5">
        <v>20000</v>
      </c>
      <c r="F157" t="s">
        <v>246</v>
      </c>
      <c r="G157" s="7">
        <v>46055</v>
      </c>
      <c r="H157" s="5">
        <v>0</v>
      </c>
      <c r="I15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57" t="b">
        <f>((ISNUMBER(Table3[[#This Row],[Quantity]]) )* (Table3[[#This Row],[Quantity]]&gt;0))=1</f>
        <v>1</v>
      </c>
      <c r="K157" t="b">
        <f>((Table3[[#This Row],[Quantity]]&gt;=Table3[[#This Row],[Return Qty]])*(ISNUMBER(Table3[[#This Row],[Quantity]])))=1</f>
        <v>1</v>
      </c>
      <c r="L157" t="b">
        <f>ISNUMBER(Table3[[#This Row],[Unit Price]])</f>
        <v>1</v>
      </c>
      <c r="M157" t="b">
        <f>ISNUMBER(Table3[[#This Row],[Order Date]])</f>
        <v>1</v>
      </c>
      <c r="N157">
        <f>IFERROR(IF(Table3[[#This Row],[Quantity]]*Table3[[#This Row],[Unit Price]]&lt;0, "N/A", Table3[[#This Row],[Quantity]]*Table3[[#This Row],[Unit Price]]), "N/A")</f>
        <v>180000</v>
      </c>
      <c r="O157">
        <f>IFERROR(Table3[[#This Row],[Unit Price]]*Table3[[#This Row],[Return Qty]], "N/A")</f>
        <v>0</v>
      </c>
      <c r="P157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15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58" spans="1:17" x14ac:dyDescent="0.2">
      <c r="A158" t="s">
        <v>327</v>
      </c>
      <c r="B158" t="s">
        <v>25</v>
      </c>
      <c r="C158" t="s">
        <v>26</v>
      </c>
      <c r="D158" s="6">
        <v>14</v>
      </c>
      <c r="E158" s="5">
        <v>20000</v>
      </c>
      <c r="F158" t="s">
        <v>328</v>
      </c>
      <c r="G158" s="7">
        <v>46178</v>
      </c>
      <c r="H158" s="5">
        <v>0</v>
      </c>
      <c r="I15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58" t="b">
        <f>((ISNUMBER(Table3[[#This Row],[Quantity]]) )* (Table3[[#This Row],[Quantity]]&gt;0))=1</f>
        <v>1</v>
      </c>
      <c r="K158" t="b">
        <f>((Table3[[#This Row],[Quantity]]&gt;=Table3[[#This Row],[Return Qty]])*(ISNUMBER(Table3[[#This Row],[Quantity]])))=1</f>
        <v>1</v>
      </c>
      <c r="L158" t="b">
        <f>ISNUMBER(Table3[[#This Row],[Unit Price]])</f>
        <v>1</v>
      </c>
      <c r="M158" t="b">
        <f>ISNUMBER(Table3[[#This Row],[Order Date]])</f>
        <v>1</v>
      </c>
      <c r="N158">
        <f>IFERROR(IF(Table3[[#This Row],[Quantity]]*Table3[[#This Row],[Unit Price]]&lt;0, "N/A", Table3[[#This Row],[Quantity]]*Table3[[#This Row],[Unit Price]]), "N/A")</f>
        <v>280000</v>
      </c>
      <c r="O158">
        <f>IFERROR(Table3[[#This Row],[Unit Price]]*Table3[[#This Row],[Return Qty]], "N/A")</f>
        <v>0</v>
      </c>
      <c r="P158">
        <f>IFERROR(IF((Table3[[#This Row],[Revenue before return]]-Table3[[#This Row],[Amount of order  returned]])&lt;0, "N/A", Table3[[#This Row],[Revenue before return]]-Table3[[#This Row],[Amount of order  returned]]), "N/A")</f>
        <v>280000</v>
      </c>
      <c r="Q15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59" spans="1:17" x14ac:dyDescent="0.2">
      <c r="A159" t="s">
        <v>329</v>
      </c>
      <c r="B159" t="s">
        <v>14</v>
      </c>
      <c r="C159" t="s">
        <v>32</v>
      </c>
      <c r="D159" s="6">
        <v>11</v>
      </c>
      <c r="E159" s="5">
        <v>8000</v>
      </c>
      <c r="F159" t="s">
        <v>331</v>
      </c>
      <c r="G159" s="7">
        <v>46025</v>
      </c>
      <c r="H159" s="5">
        <v>0</v>
      </c>
      <c r="I15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59" t="b">
        <f>((ISNUMBER(Table3[[#This Row],[Quantity]]) )* (Table3[[#This Row],[Quantity]]&gt;0))=1</f>
        <v>1</v>
      </c>
      <c r="K159" t="b">
        <f>((Table3[[#This Row],[Quantity]]&gt;=Table3[[#This Row],[Return Qty]])*(ISNUMBER(Table3[[#This Row],[Quantity]])))=1</f>
        <v>1</v>
      </c>
      <c r="L159" t="b">
        <f>ISNUMBER(Table3[[#This Row],[Unit Price]])</f>
        <v>1</v>
      </c>
      <c r="M159" t="b">
        <f>ISNUMBER(Table3[[#This Row],[Order Date]])</f>
        <v>1</v>
      </c>
      <c r="N159">
        <f>IFERROR(IF(Table3[[#This Row],[Quantity]]*Table3[[#This Row],[Unit Price]]&lt;0, "N/A", Table3[[#This Row],[Quantity]]*Table3[[#This Row],[Unit Price]]), "N/A")</f>
        <v>88000</v>
      </c>
      <c r="O159">
        <f>IFERROR(Table3[[#This Row],[Unit Price]]*Table3[[#This Row],[Return Qty]], "N/A")</f>
        <v>0</v>
      </c>
      <c r="P159">
        <f>IFERROR(IF((Table3[[#This Row],[Revenue before return]]-Table3[[#This Row],[Amount of order  returned]])&lt;0, "N/A", Table3[[#This Row],[Revenue before return]]-Table3[[#This Row],[Amount of order  returned]]), "N/A")</f>
        <v>88000</v>
      </c>
      <c r="Q15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60" spans="1:17" x14ac:dyDescent="0.2">
      <c r="A160" t="s">
        <v>332</v>
      </c>
      <c r="B160" t="s">
        <v>14</v>
      </c>
      <c r="C160" t="s">
        <v>18</v>
      </c>
      <c r="D160" s="6">
        <v>10</v>
      </c>
      <c r="E160" s="5">
        <v>50000</v>
      </c>
      <c r="F160" t="s">
        <v>333</v>
      </c>
      <c r="G160" s="7">
        <v>46122</v>
      </c>
      <c r="H160" s="5">
        <v>0</v>
      </c>
      <c r="I16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60" t="b">
        <f>((ISNUMBER(Table3[[#This Row],[Quantity]]) )* (Table3[[#This Row],[Quantity]]&gt;0))=1</f>
        <v>1</v>
      </c>
      <c r="K160" t="b">
        <f>((Table3[[#This Row],[Quantity]]&gt;=Table3[[#This Row],[Return Qty]])*(ISNUMBER(Table3[[#This Row],[Quantity]])))=1</f>
        <v>1</v>
      </c>
      <c r="L160" t="b">
        <f>ISNUMBER(Table3[[#This Row],[Unit Price]])</f>
        <v>1</v>
      </c>
      <c r="M160" t="b">
        <f>ISNUMBER(Table3[[#This Row],[Order Date]])</f>
        <v>1</v>
      </c>
      <c r="N160">
        <f>IFERROR(IF(Table3[[#This Row],[Quantity]]*Table3[[#This Row],[Unit Price]]&lt;0, "N/A", Table3[[#This Row],[Quantity]]*Table3[[#This Row],[Unit Price]]), "N/A")</f>
        <v>500000</v>
      </c>
      <c r="O160">
        <f>IFERROR(Table3[[#This Row],[Unit Price]]*Table3[[#This Row],[Return Qty]], "N/A")</f>
        <v>0</v>
      </c>
      <c r="P160">
        <f>IFERROR(IF((Table3[[#This Row],[Revenue before return]]-Table3[[#This Row],[Amount of order  returned]])&lt;0, "N/A", Table3[[#This Row],[Revenue before return]]-Table3[[#This Row],[Amount of order  returned]]), "N/A")</f>
        <v>500000</v>
      </c>
      <c r="Q16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61" spans="1:17" x14ac:dyDescent="0.2">
      <c r="A161" t="s">
        <v>334</v>
      </c>
      <c r="B161" t="s">
        <v>21</v>
      </c>
      <c r="C161" t="s">
        <v>10</v>
      </c>
      <c r="D161" s="6">
        <v>23</v>
      </c>
      <c r="E161" s="5">
        <v>15000</v>
      </c>
      <c r="F161" t="s">
        <v>335</v>
      </c>
      <c r="G161" s="7">
        <v>46066</v>
      </c>
      <c r="H161" s="5">
        <v>2</v>
      </c>
      <c r="I16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61" t="b">
        <f>((ISNUMBER(Table3[[#This Row],[Quantity]]) )* (Table3[[#This Row],[Quantity]]&gt;0))=1</f>
        <v>1</v>
      </c>
      <c r="K161" t="b">
        <f>((Table3[[#This Row],[Quantity]]&gt;=Table3[[#This Row],[Return Qty]])*(ISNUMBER(Table3[[#This Row],[Quantity]])))=1</f>
        <v>1</v>
      </c>
      <c r="L161" t="b">
        <f>ISNUMBER(Table3[[#This Row],[Unit Price]])</f>
        <v>1</v>
      </c>
      <c r="M161" t="b">
        <f>ISNUMBER(Table3[[#This Row],[Order Date]])</f>
        <v>1</v>
      </c>
      <c r="N161">
        <f>IFERROR(IF(Table3[[#This Row],[Quantity]]*Table3[[#This Row],[Unit Price]]&lt;0, "N/A", Table3[[#This Row],[Quantity]]*Table3[[#This Row],[Unit Price]]), "N/A")</f>
        <v>345000</v>
      </c>
      <c r="O161">
        <f>IFERROR(Table3[[#This Row],[Unit Price]]*Table3[[#This Row],[Return Qty]], "N/A")</f>
        <v>30000</v>
      </c>
      <c r="P161">
        <f>IFERROR(IF((Table3[[#This Row],[Revenue before return]]-Table3[[#This Row],[Amount of order  returned]])&lt;0, "N/A", Table3[[#This Row],[Revenue before return]]-Table3[[#This Row],[Amount of order  returned]]), "N/A")</f>
        <v>315000</v>
      </c>
      <c r="Q16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62" spans="1:17" x14ac:dyDescent="0.2">
      <c r="A162" t="s">
        <v>336</v>
      </c>
      <c r="B162" t="s">
        <v>25</v>
      </c>
      <c r="C162" t="s">
        <v>10</v>
      </c>
      <c r="D162" s="6">
        <v>7</v>
      </c>
      <c r="E162" s="5">
        <v>15000</v>
      </c>
      <c r="F162" t="s">
        <v>337</v>
      </c>
      <c r="G162" s="7">
        <v>46042</v>
      </c>
      <c r="H162" s="5">
        <v>0</v>
      </c>
      <c r="I16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62" t="b">
        <f>((ISNUMBER(Table3[[#This Row],[Quantity]]) )* (Table3[[#This Row],[Quantity]]&gt;0))=1</f>
        <v>1</v>
      </c>
      <c r="K162" t="b">
        <f>((Table3[[#This Row],[Quantity]]&gt;=Table3[[#This Row],[Return Qty]])*(ISNUMBER(Table3[[#This Row],[Quantity]])))=1</f>
        <v>1</v>
      </c>
      <c r="L162" t="b">
        <f>ISNUMBER(Table3[[#This Row],[Unit Price]])</f>
        <v>1</v>
      </c>
      <c r="M162" t="b">
        <f>ISNUMBER(Table3[[#This Row],[Order Date]])</f>
        <v>1</v>
      </c>
      <c r="N162">
        <f>IFERROR(IF(Table3[[#This Row],[Quantity]]*Table3[[#This Row],[Unit Price]]&lt;0, "N/A", Table3[[#This Row],[Quantity]]*Table3[[#This Row],[Unit Price]]), "N/A")</f>
        <v>105000</v>
      </c>
      <c r="O162">
        <f>IFERROR(Table3[[#This Row],[Unit Price]]*Table3[[#This Row],[Return Qty]], "N/A")</f>
        <v>0</v>
      </c>
      <c r="P162">
        <f>IFERROR(IF((Table3[[#This Row],[Revenue before return]]-Table3[[#This Row],[Amount of order  returned]])&lt;0, "N/A", Table3[[#This Row],[Revenue before return]]-Table3[[#This Row],[Amount of order  returned]]), "N/A")</f>
        <v>105000</v>
      </c>
      <c r="Q16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63" spans="1:17" x14ac:dyDescent="0.2">
      <c r="A163" t="s">
        <v>338</v>
      </c>
      <c r="B163" t="s">
        <v>25</v>
      </c>
      <c r="C163" t="s">
        <v>22</v>
      </c>
      <c r="D163" s="6">
        <v>3</v>
      </c>
      <c r="E163" s="5">
        <v>35000</v>
      </c>
      <c r="F163" t="s">
        <v>11</v>
      </c>
      <c r="G163" s="7">
        <v>46124</v>
      </c>
      <c r="H163" s="5">
        <v>0</v>
      </c>
      <c r="I16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63" t="b">
        <f>((ISNUMBER(Table3[[#This Row],[Quantity]]) )* (Table3[[#This Row],[Quantity]]&gt;0))=1</f>
        <v>1</v>
      </c>
      <c r="K163" t="b">
        <f>((Table3[[#This Row],[Quantity]]&gt;=Table3[[#This Row],[Return Qty]])*(ISNUMBER(Table3[[#This Row],[Quantity]])))=1</f>
        <v>1</v>
      </c>
      <c r="L163" t="b">
        <f>ISNUMBER(Table3[[#This Row],[Unit Price]])</f>
        <v>1</v>
      </c>
      <c r="M163" t="b">
        <f>ISNUMBER(Table3[[#This Row],[Order Date]])</f>
        <v>1</v>
      </c>
      <c r="N163">
        <f>IFERROR(IF(Table3[[#This Row],[Quantity]]*Table3[[#This Row],[Unit Price]]&lt;0, "N/A", Table3[[#This Row],[Quantity]]*Table3[[#This Row],[Unit Price]]), "N/A")</f>
        <v>105000</v>
      </c>
      <c r="O163">
        <f>IFERROR(Table3[[#This Row],[Unit Price]]*Table3[[#This Row],[Return Qty]], "N/A")</f>
        <v>0</v>
      </c>
      <c r="P163">
        <f>IFERROR(IF((Table3[[#This Row],[Revenue before return]]-Table3[[#This Row],[Amount of order  returned]])&lt;0, "N/A", Table3[[#This Row],[Revenue before return]]-Table3[[#This Row],[Amount of order  returned]]), "N/A")</f>
        <v>105000</v>
      </c>
      <c r="Q16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64" spans="1:17" x14ac:dyDescent="0.2">
      <c r="A164" t="s">
        <v>339</v>
      </c>
      <c r="B164" t="s">
        <v>25</v>
      </c>
      <c r="C164" t="s">
        <v>22</v>
      </c>
      <c r="D164" s="6">
        <v>15</v>
      </c>
      <c r="E164" s="5">
        <v>35000</v>
      </c>
      <c r="F164" t="s">
        <v>340</v>
      </c>
      <c r="G164" s="7">
        <v>46087</v>
      </c>
      <c r="H164" s="5">
        <v>0</v>
      </c>
      <c r="I16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64" t="b">
        <f>((ISNUMBER(Table3[[#This Row],[Quantity]]) )* (Table3[[#This Row],[Quantity]]&gt;0))=1</f>
        <v>1</v>
      </c>
      <c r="K164" t="b">
        <f>((Table3[[#This Row],[Quantity]]&gt;=Table3[[#This Row],[Return Qty]])*(ISNUMBER(Table3[[#This Row],[Quantity]])))=1</f>
        <v>1</v>
      </c>
      <c r="L164" t="b">
        <f>ISNUMBER(Table3[[#This Row],[Unit Price]])</f>
        <v>1</v>
      </c>
      <c r="M164" t="b">
        <f>ISNUMBER(Table3[[#This Row],[Order Date]])</f>
        <v>1</v>
      </c>
      <c r="N164">
        <f>IFERROR(IF(Table3[[#This Row],[Quantity]]*Table3[[#This Row],[Unit Price]]&lt;0, "N/A", Table3[[#This Row],[Quantity]]*Table3[[#This Row],[Unit Price]]), "N/A")</f>
        <v>525000</v>
      </c>
      <c r="O164">
        <f>IFERROR(Table3[[#This Row],[Unit Price]]*Table3[[#This Row],[Return Qty]], "N/A")</f>
        <v>0</v>
      </c>
      <c r="P164">
        <f>IFERROR(IF((Table3[[#This Row],[Revenue before return]]-Table3[[#This Row],[Amount of order  returned]])&lt;0, "N/A", Table3[[#This Row],[Revenue before return]]-Table3[[#This Row],[Amount of order  returned]]), "N/A")</f>
        <v>525000</v>
      </c>
      <c r="Q16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65" spans="1:17" x14ac:dyDescent="0.2">
      <c r="A165" t="s">
        <v>342</v>
      </c>
      <c r="B165" t="s">
        <v>25</v>
      </c>
      <c r="C165" t="s">
        <v>10</v>
      </c>
      <c r="D165" s="6">
        <v>2</v>
      </c>
      <c r="E165" s="5">
        <v>15000</v>
      </c>
      <c r="F165" t="s">
        <v>123</v>
      </c>
      <c r="G165" s="7">
        <v>46123</v>
      </c>
      <c r="H165" s="5">
        <v>0</v>
      </c>
      <c r="I16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65" t="b">
        <f>((ISNUMBER(Table3[[#This Row],[Quantity]]) )* (Table3[[#This Row],[Quantity]]&gt;0))=1</f>
        <v>1</v>
      </c>
      <c r="K165" t="b">
        <f>((Table3[[#This Row],[Quantity]]&gt;=Table3[[#This Row],[Return Qty]])*(ISNUMBER(Table3[[#This Row],[Quantity]])))=1</f>
        <v>1</v>
      </c>
      <c r="L165" t="b">
        <f>ISNUMBER(Table3[[#This Row],[Unit Price]])</f>
        <v>1</v>
      </c>
      <c r="M165" t="b">
        <f>ISNUMBER(Table3[[#This Row],[Order Date]])</f>
        <v>1</v>
      </c>
      <c r="N165">
        <f>IFERROR(IF(Table3[[#This Row],[Quantity]]*Table3[[#This Row],[Unit Price]]&lt;0, "N/A", Table3[[#This Row],[Quantity]]*Table3[[#This Row],[Unit Price]]), "N/A")</f>
        <v>30000</v>
      </c>
      <c r="O165">
        <f>IFERROR(Table3[[#This Row],[Unit Price]]*Table3[[#This Row],[Return Qty]], "N/A")</f>
        <v>0</v>
      </c>
      <c r="P165">
        <f>IFERROR(IF((Table3[[#This Row],[Revenue before return]]-Table3[[#This Row],[Amount of order  returned]])&lt;0, "N/A", Table3[[#This Row],[Revenue before return]]-Table3[[#This Row],[Amount of order  returned]]), "N/A")</f>
        <v>30000</v>
      </c>
      <c r="Q16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66" spans="1:17" x14ac:dyDescent="0.2">
      <c r="A166" t="s">
        <v>343</v>
      </c>
      <c r="B166" t="s">
        <v>9</v>
      </c>
      <c r="C166" t="s">
        <v>18</v>
      </c>
      <c r="D166" s="6">
        <v>10</v>
      </c>
      <c r="E166" s="5" t="s">
        <v>11</v>
      </c>
      <c r="F166" t="s">
        <v>340</v>
      </c>
      <c r="G166" s="7">
        <v>46097</v>
      </c>
      <c r="H166" s="5">
        <v>1</v>
      </c>
      <c r="I16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66" t="b">
        <f>((ISNUMBER(Table3[[#This Row],[Quantity]]) )* (Table3[[#This Row],[Quantity]]&gt;0))=1</f>
        <v>1</v>
      </c>
      <c r="K166" t="b">
        <f>((Table3[[#This Row],[Quantity]]&gt;=Table3[[#This Row],[Return Qty]])*(ISNUMBER(Table3[[#This Row],[Quantity]])))=1</f>
        <v>1</v>
      </c>
      <c r="L166" t="b">
        <f>ISNUMBER(Table3[[#This Row],[Unit Price]])</f>
        <v>0</v>
      </c>
      <c r="M166" t="b">
        <f>ISNUMBER(Table3[[#This Row],[Order Date]])</f>
        <v>1</v>
      </c>
      <c r="N166" t="str">
        <f>IFERROR(IF(Table3[[#This Row],[Quantity]]*Table3[[#This Row],[Unit Price]]&lt;0, "N/A", Table3[[#This Row],[Quantity]]*Table3[[#This Row],[Unit Price]]), "N/A")</f>
        <v>N/A</v>
      </c>
      <c r="O166" t="str">
        <f>IFERROR(Table3[[#This Row],[Unit Price]]*Table3[[#This Row],[Return Qty]], "N/A")</f>
        <v>N/A</v>
      </c>
      <c r="P166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16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67" spans="1:17" x14ac:dyDescent="0.2">
      <c r="A167" t="s">
        <v>344</v>
      </c>
      <c r="B167" t="s">
        <v>25</v>
      </c>
      <c r="C167" t="s">
        <v>45</v>
      </c>
      <c r="D167" s="6">
        <v>17</v>
      </c>
      <c r="E167" s="5">
        <v>20000</v>
      </c>
      <c r="F167" t="s">
        <v>190</v>
      </c>
      <c r="G167" s="7">
        <v>46121</v>
      </c>
      <c r="H167" s="5">
        <v>0</v>
      </c>
      <c r="I16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67" t="b">
        <f>((ISNUMBER(Table3[[#This Row],[Quantity]]) )* (Table3[[#This Row],[Quantity]]&gt;0))=1</f>
        <v>1</v>
      </c>
      <c r="K167" t="b">
        <f>((Table3[[#This Row],[Quantity]]&gt;=Table3[[#This Row],[Return Qty]])*(ISNUMBER(Table3[[#This Row],[Quantity]])))=1</f>
        <v>1</v>
      </c>
      <c r="L167" t="b">
        <f>ISNUMBER(Table3[[#This Row],[Unit Price]])</f>
        <v>1</v>
      </c>
      <c r="M167" t="b">
        <f>ISNUMBER(Table3[[#This Row],[Order Date]])</f>
        <v>1</v>
      </c>
      <c r="N167">
        <f>IFERROR(IF(Table3[[#This Row],[Quantity]]*Table3[[#This Row],[Unit Price]]&lt;0, "N/A", Table3[[#This Row],[Quantity]]*Table3[[#This Row],[Unit Price]]), "N/A")</f>
        <v>340000</v>
      </c>
      <c r="O167">
        <f>IFERROR(Table3[[#This Row],[Unit Price]]*Table3[[#This Row],[Return Qty]], "N/A")</f>
        <v>0</v>
      </c>
      <c r="P167">
        <f>IFERROR(IF((Table3[[#This Row],[Revenue before return]]-Table3[[#This Row],[Amount of order  returned]])&lt;0, "N/A", Table3[[#This Row],[Revenue before return]]-Table3[[#This Row],[Amount of order  returned]]), "N/A")</f>
        <v>340000</v>
      </c>
      <c r="Q16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68" spans="1:17" x14ac:dyDescent="0.2">
      <c r="A168" t="s">
        <v>345</v>
      </c>
      <c r="B168" t="s">
        <v>9</v>
      </c>
      <c r="C168" t="s">
        <v>70</v>
      </c>
      <c r="D168" s="6">
        <v>7</v>
      </c>
      <c r="E168" s="5">
        <v>28000</v>
      </c>
      <c r="F168" t="s">
        <v>346</v>
      </c>
      <c r="G168" s="7">
        <v>46089</v>
      </c>
      <c r="H168" s="5">
        <v>3</v>
      </c>
      <c r="I16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68" t="b">
        <f>((ISNUMBER(Table3[[#This Row],[Quantity]]) )* (Table3[[#This Row],[Quantity]]&gt;0))=1</f>
        <v>1</v>
      </c>
      <c r="K168" t="b">
        <f>((Table3[[#This Row],[Quantity]]&gt;=Table3[[#This Row],[Return Qty]])*(ISNUMBER(Table3[[#This Row],[Quantity]])))=1</f>
        <v>1</v>
      </c>
      <c r="L168" t="b">
        <f>ISNUMBER(Table3[[#This Row],[Unit Price]])</f>
        <v>1</v>
      </c>
      <c r="M168" t="b">
        <f>ISNUMBER(Table3[[#This Row],[Order Date]])</f>
        <v>1</v>
      </c>
      <c r="N168">
        <f>IFERROR(IF(Table3[[#This Row],[Quantity]]*Table3[[#This Row],[Unit Price]]&lt;0, "N/A", Table3[[#This Row],[Quantity]]*Table3[[#This Row],[Unit Price]]), "N/A")</f>
        <v>196000</v>
      </c>
      <c r="O168">
        <f>IFERROR(Table3[[#This Row],[Unit Price]]*Table3[[#This Row],[Return Qty]], "N/A")</f>
        <v>84000</v>
      </c>
      <c r="P168">
        <f>IFERROR(IF((Table3[[#This Row],[Revenue before return]]-Table3[[#This Row],[Amount of order  returned]])&lt;0, "N/A", Table3[[#This Row],[Revenue before return]]-Table3[[#This Row],[Amount of order  returned]]), "N/A")</f>
        <v>112000</v>
      </c>
      <c r="Q16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69" spans="1:17" x14ac:dyDescent="0.2">
      <c r="A169" t="s">
        <v>347</v>
      </c>
      <c r="B169" t="s">
        <v>25</v>
      </c>
      <c r="C169" t="s">
        <v>39</v>
      </c>
      <c r="D169" s="6">
        <v>24</v>
      </c>
      <c r="E169" s="5">
        <v>12000</v>
      </c>
      <c r="F169" t="s">
        <v>134</v>
      </c>
      <c r="G169" s="7">
        <v>46067</v>
      </c>
      <c r="H169" s="5">
        <v>2</v>
      </c>
      <c r="I16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69" t="b">
        <f>((ISNUMBER(Table3[[#This Row],[Quantity]]) )* (Table3[[#This Row],[Quantity]]&gt;0))=1</f>
        <v>1</v>
      </c>
      <c r="K169" t="b">
        <f>((Table3[[#This Row],[Quantity]]&gt;=Table3[[#This Row],[Return Qty]])*(ISNUMBER(Table3[[#This Row],[Quantity]])))=1</f>
        <v>1</v>
      </c>
      <c r="L169" t="b">
        <f>ISNUMBER(Table3[[#This Row],[Unit Price]])</f>
        <v>1</v>
      </c>
      <c r="M169" t="b">
        <f>ISNUMBER(Table3[[#This Row],[Order Date]])</f>
        <v>1</v>
      </c>
      <c r="N169">
        <f>IFERROR(IF(Table3[[#This Row],[Quantity]]*Table3[[#This Row],[Unit Price]]&lt;0, "N/A", Table3[[#This Row],[Quantity]]*Table3[[#This Row],[Unit Price]]), "N/A")</f>
        <v>288000</v>
      </c>
      <c r="O169">
        <f>IFERROR(Table3[[#This Row],[Unit Price]]*Table3[[#This Row],[Return Qty]], "N/A")</f>
        <v>24000</v>
      </c>
      <c r="P169">
        <f>IFERROR(IF((Table3[[#This Row],[Revenue before return]]-Table3[[#This Row],[Amount of order  returned]])&lt;0, "N/A", Table3[[#This Row],[Revenue before return]]-Table3[[#This Row],[Amount of order  returned]]), "N/A")</f>
        <v>264000</v>
      </c>
      <c r="Q16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70" spans="1:17" x14ac:dyDescent="0.2">
      <c r="A170" t="s">
        <v>349</v>
      </c>
      <c r="B170" t="s">
        <v>9</v>
      </c>
      <c r="C170" t="s">
        <v>22</v>
      </c>
      <c r="D170" s="6">
        <v>12</v>
      </c>
      <c r="E170" s="5">
        <v>35000</v>
      </c>
      <c r="F170" t="s">
        <v>40</v>
      </c>
      <c r="G170" s="7">
        <v>46113</v>
      </c>
      <c r="H170" s="5">
        <v>5</v>
      </c>
      <c r="I17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70" t="b">
        <f>((ISNUMBER(Table3[[#This Row],[Quantity]]) )* (Table3[[#This Row],[Quantity]]&gt;0))=1</f>
        <v>1</v>
      </c>
      <c r="K170" t="b">
        <f>((Table3[[#This Row],[Quantity]]&gt;=Table3[[#This Row],[Return Qty]])*(ISNUMBER(Table3[[#This Row],[Quantity]])))=1</f>
        <v>1</v>
      </c>
      <c r="L170" t="b">
        <f>ISNUMBER(Table3[[#This Row],[Unit Price]])</f>
        <v>1</v>
      </c>
      <c r="M170" t="b">
        <f>ISNUMBER(Table3[[#This Row],[Order Date]])</f>
        <v>1</v>
      </c>
      <c r="N170">
        <f>IFERROR(IF(Table3[[#This Row],[Quantity]]*Table3[[#This Row],[Unit Price]]&lt;0, "N/A", Table3[[#This Row],[Quantity]]*Table3[[#This Row],[Unit Price]]), "N/A")</f>
        <v>420000</v>
      </c>
      <c r="O170">
        <f>IFERROR(Table3[[#This Row],[Unit Price]]*Table3[[#This Row],[Return Qty]], "N/A")</f>
        <v>175000</v>
      </c>
      <c r="P170">
        <f>IFERROR(IF((Table3[[#This Row],[Revenue before return]]-Table3[[#This Row],[Amount of order  returned]])&lt;0, "N/A", Table3[[#This Row],[Revenue before return]]-Table3[[#This Row],[Amount of order  returned]]), "N/A")</f>
        <v>245000</v>
      </c>
      <c r="Q17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71" spans="1:17" x14ac:dyDescent="0.2">
      <c r="A171" t="s">
        <v>351</v>
      </c>
      <c r="B171" t="s">
        <v>9</v>
      </c>
      <c r="C171" t="s">
        <v>70</v>
      </c>
      <c r="D171" s="6">
        <v>22</v>
      </c>
      <c r="E171" s="5">
        <v>28000</v>
      </c>
      <c r="F171" t="s">
        <v>352</v>
      </c>
      <c r="G171" s="7">
        <v>46106</v>
      </c>
      <c r="H171" s="5">
        <v>0</v>
      </c>
      <c r="I17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71" t="b">
        <f>((ISNUMBER(Table3[[#This Row],[Quantity]]) )* (Table3[[#This Row],[Quantity]]&gt;0))=1</f>
        <v>1</v>
      </c>
      <c r="K171" t="b">
        <f>((Table3[[#This Row],[Quantity]]&gt;=Table3[[#This Row],[Return Qty]])*(ISNUMBER(Table3[[#This Row],[Quantity]])))=1</f>
        <v>1</v>
      </c>
      <c r="L171" t="b">
        <f>ISNUMBER(Table3[[#This Row],[Unit Price]])</f>
        <v>1</v>
      </c>
      <c r="M171" t="b">
        <f>ISNUMBER(Table3[[#This Row],[Order Date]])</f>
        <v>1</v>
      </c>
      <c r="N171">
        <f>IFERROR(IF(Table3[[#This Row],[Quantity]]*Table3[[#This Row],[Unit Price]]&lt;0, "N/A", Table3[[#This Row],[Quantity]]*Table3[[#This Row],[Unit Price]]), "N/A")</f>
        <v>616000</v>
      </c>
      <c r="O171">
        <f>IFERROR(Table3[[#This Row],[Unit Price]]*Table3[[#This Row],[Return Qty]], "N/A")</f>
        <v>0</v>
      </c>
      <c r="P171">
        <f>IFERROR(IF((Table3[[#This Row],[Revenue before return]]-Table3[[#This Row],[Amount of order  returned]])&lt;0, "N/A", Table3[[#This Row],[Revenue before return]]-Table3[[#This Row],[Amount of order  returned]]), "N/A")</f>
        <v>616000</v>
      </c>
      <c r="Q17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72" spans="1:17" x14ac:dyDescent="0.2">
      <c r="A172" t="s">
        <v>353</v>
      </c>
      <c r="B172" t="s">
        <v>9</v>
      </c>
      <c r="C172" t="s">
        <v>26</v>
      </c>
      <c r="D172" s="6">
        <v>10</v>
      </c>
      <c r="E172" s="5">
        <v>20000</v>
      </c>
      <c r="F172" t="s">
        <v>355</v>
      </c>
      <c r="G172" s="7">
        <v>46065</v>
      </c>
      <c r="H172" s="5">
        <v>0</v>
      </c>
      <c r="I17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72" t="b">
        <f>((ISNUMBER(Table3[[#This Row],[Quantity]]) )* (Table3[[#This Row],[Quantity]]&gt;0))=1</f>
        <v>1</v>
      </c>
      <c r="K172" t="b">
        <f>((Table3[[#This Row],[Quantity]]&gt;=Table3[[#This Row],[Return Qty]])*(ISNUMBER(Table3[[#This Row],[Quantity]])))=1</f>
        <v>1</v>
      </c>
      <c r="L172" t="b">
        <f>ISNUMBER(Table3[[#This Row],[Unit Price]])</f>
        <v>1</v>
      </c>
      <c r="M172" t="b">
        <f>ISNUMBER(Table3[[#This Row],[Order Date]])</f>
        <v>1</v>
      </c>
      <c r="N172">
        <f>IFERROR(IF(Table3[[#This Row],[Quantity]]*Table3[[#This Row],[Unit Price]]&lt;0, "N/A", Table3[[#This Row],[Quantity]]*Table3[[#This Row],[Unit Price]]), "N/A")</f>
        <v>200000</v>
      </c>
      <c r="O172">
        <f>IFERROR(Table3[[#This Row],[Unit Price]]*Table3[[#This Row],[Return Qty]], "N/A")</f>
        <v>0</v>
      </c>
      <c r="P172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17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73" spans="1:17" x14ac:dyDescent="0.2">
      <c r="A173" t="s">
        <v>356</v>
      </c>
      <c r="B173" t="s">
        <v>9</v>
      </c>
      <c r="C173" t="s">
        <v>70</v>
      </c>
      <c r="D173" s="6">
        <v>7</v>
      </c>
      <c r="E173" s="5">
        <v>28000</v>
      </c>
      <c r="F173" t="s">
        <v>128</v>
      </c>
      <c r="G173" s="7">
        <v>46077</v>
      </c>
      <c r="H173" s="5">
        <v>0</v>
      </c>
      <c r="I17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73" t="b">
        <f>((ISNUMBER(Table3[[#This Row],[Quantity]]) )* (Table3[[#This Row],[Quantity]]&gt;0))=1</f>
        <v>1</v>
      </c>
      <c r="K173" t="b">
        <f>((Table3[[#This Row],[Quantity]]&gt;=Table3[[#This Row],[Return Qty]])*(ISNUMBER(Table3[[#This Row],[Quantity]])))=1</f>
        <v>1</v>
      </c>
      <c r="L173" t="b">
        <f>ISNUMBER(Table3[[#This Row],[Unit Price]])</f>
        <v>1</v>
      </c>
      <c r="M173" t="b">
        <f>ISNUMBER(Table3[[#This Row],[Order Date]])</f>
        <v>1</v>
      </c>
      <c r="N173">
        <f>IFERROR(IF(Table3[[#This Row],[Quantity]]*Table3[[#This Row],[Unit Price]]&lt;0, "N/A", Table3[[#This Row],[Quantity]]*Table3[[#This Row],[Unit Price]]), "N/A")</f>
        <v>196000</v>
      </c>
      <c r="O173">
        <f>IFERROR(Table3[[#This Row],[Unit Price]]*Table3[[#This Row],[Return Qty]], "N/A")</f>
        <v>0</v>
      </c>
      <c r="P173">
        <f>IFERROR(IF((Table3[[#This Row],[Revenue before return]]-Table3[[#This Row],[Amount of order  returned]])&lt;0, "N/A", Table3[[#This Row],[Revenue before return]]-Table3[[#This Row],[Amount of order  returned]]), "N/A")</f>
        <v>196000</v>
      </c>
      <c r="Q17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74" spans="1:17" x14ac:dyDescent="0.2">
      <c r="A174" t="s">
        <v>357</v>
      </c>
      <c r="B174" t="s">
        <v>358</v>
      </c>
      <c r="C174" t="s">
        <v>39</v>
      </c>
      <c r="D174" s="6">
        <v>23</v>
      </c>
      <c r="E174" s="5">
        <v>12000</v>
      </c>
      <c r="F174" t="s">
        <v>337</v>
      </c>
      <c r="G174" s="7">
        <v>46135</v>
      </c>
      <c r="H174" s="5">
        <v>0</v>
      </c>
      <c r="I17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74" t="b">
        <f>((ISNUMBER(Table3[[#This Row],[Quantity]]) )* (Table3[[#This Row],[Quantity]]&gt;0))=1</f>
        <v>1</v>
      </c>
      <c r="K174" t="b">
        <f>((Table3[[#This Row],[Quantity]]&gt;=Table3[[#This Row],[Return Qty]])*(ISNUMBER(Table3[[#This Row],[Quantity]])))=1</f>
        <v>1</v>
      </c>
      <c r="L174" t="b">
        <f>ISNUMBER(Table3[[#This Row],[Unit Price]])</f>
        <v>1</v>
      </c>
      <c r="M174" t="b">
        <f>ISNUMBER(Table3[[#This Row],[Order Date]])</f>
        <v>1</v>
      </c>
      <c r="N174">
        <f>IFERROR(IF(Table3[[#This Row],[Quantity]]*Table3[[#This Row],[Unit Price]]&lt;0, "N/A", Table3[[#This Row],[Quantity]]*Table3[[#This Row],[Unit Price]]), "N/A")</f>
        <v>276000</v>
      </c>
      <c r="O174">
        <f>IFERROR(Table3[[#This Row],[Unit Price]]*Table3[[#This Row],[Return Qty]], "N/A")</f>
        <v>0</v>
      </c>
      <c r="P174">
        <f>IFERROR(IF((Table3[[#This Row],[Revenue before return]]-Table3[[#This Row],[Amount of order  returned]])&lt;0, "N/A", Table3[[#This Row],[Revenue before return]]-Table3[[#This Row],[Amount of order  returned]]), "N/A")</f>
        <v>276000</v>
      </c>
      <c r="Q17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75" spans="1:17" x14ac:dyDescent="0.2">
      <c r="A175" t="s">
        <v>359</v>
      </c>
      <c r="B175" t="s">
        <v>9</v>
      </c>
      <c r="C175" t="s">
        <v>22</v>
      </c>
      <c r="D175" s="6">
        <v>13</v>
      </c>
      <c r="E175" s="5">
        <v>35000</v>
      </c>
      <c r="F175" t="s">
        <v>95</v>
      </c>
      <c r="G175" s="7">
        <v>46088</v>
      </c>
      <c r="H175" s="5">
        <v>1</v>
      </c>
      <c r="I17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75" t="b">
        <f>((ISNUMBER(Table3[[#This Row],[Quantity]]) )* (Table3[[#This Row],[Quantity]]&gt;0))=1</f>
        <v>1</v>
      </c>
      <c r="K175" t="b">
        <f>((Table3[[#This Row],[Quantity]]&gt;=Table3[[#This Row],[Return Qty]])*(ISNUMBER(Table3[[#This Row],[Quantity]])))=1</f>
        <v>1</v>
      </c>
      <c r="L175" t="b">
        <f>ISNUMBER(Table3[[#This Row],[Unit Price]])</f>
        <v>1</v>
      </c>
      <c r="M175" t="b">
        <f>ISNUMBER(Table3[[#This Row],[Order Date]])</f>
        <v>1</v>
      </c>
      <c r="N175">
        <f>IFERROR(IF(Table3[[#This Row],[Quantity]]*Table3[[#This Row],[Unit Price]]&lt;0, "N/A", Table3[[#This Row],[Quantity]]*Table3[[#This Row],[Unit Price]]), "N/A")</f>
        <v>455000</v>
      </c>
      <c r="O175">
        <f>IFERROR(Table3[[#This Row],[Unit Price]]*Table3[[#This Row],[Return Qty]], "N/A")</f>
        <v>35000</v>
      </c>
      <c r="P175">
        <f>IFERROR(IF((Table3[[#This Row],[Revenue before return]]-Table3[[#This Row],[Amount of order  returned]])&lt;0, "N/A", Table3[[#This Row],[Revenue before return]]-Table3[[#This Row],[Amount of order  returned]]), "N/A")</f>
        <v>420000</v>
      </c>
      <c r="Q17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76" spans="1:17" x14ac:dyDescent="0.2">
      <c r="A176" t="s">
        <v>360</v>
      </c>
      <c r="B176" t="s">
        <v>9</v>
      </c>
      <c r="C176" t="s">
        <v>39</v>
      </c>
      <c r="D176" s="6">
        <v>11</v>
      </c>
      <c r="E176" s="5">
        <v>12000</v>
      </c>
      <c r="F176" t="s">
        <v>222</v>
      </c>
      <c r="G176" s="7">
        <v>46185</v>
      </c>
      <c r="H176" s="5">
        <v>0</v>
      </c>
      <c r="I17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76" t="b">
        <f>((ISNUMBER(Table3[[#This Row],[Quantity]]) )* (Table3[[#This Row],[Quantity]]&gt;0))=1</f>
        <v>1</v>
      </c>
      <c r="K176" t="b">
        <f>((Table3[[#This Row],[Quantity]]&gt;=Table3[[#This Row],[Return Qty]])*(ISNUMBER(Table3[[#This Row],[Quantity]])))=1</f>
        <v>1</v>
      </c>
      <c r="L176" t="b">
        <f>ISNUMBER(Table3[[#This Row],[Unit Price]])</f>
        <v>1</v>
      </c>
      <c r="M176" t="b">
        <f>ISNUMBER(Table3[[#This Row],[Order Date]])</f>
        <v>1</v>
      </c>
      <c r="N176">
        <f>IFERROR(IF(Table3[[#This Row],[Quantity]]*Table3[[#This Row],[Unit Price]]&lt;0, "N/A", Table3[[#This Row],[Quantity]]*Table3[[#This Row],[Unit Price]]), "N/A")</f>
        <v>132000</v>
      </c>
      <c r="O176">
        <f>IFERROR(Table3[[#This Row],[Unit Price]]*Table3[[#This Row],[Return Qty]], "N/A")</f>
        <v>0</v>
      </c>
      <c r="P176">
        <f>IFERROR(IF((Table3[[#This Row],[Revenue before return]]-Table3[[#This Row],[Amount of order  returned]])&lt;0, "N/A", Table3[[#This Row],[Revenue before return]]-Table3[[#This Row],[Amount of order  returned]]), "N/A")</f>
        <v>132000</v>
      </c>
      <c r="Q17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77" spans="1:17" x14ac:dyDescent="0.2">
      <c r="A177" t="s">
        <v>361</v>
      </c>
      <c r="B177" t="s">
        <v>185</v>
      </c>
      <c r="C177" t="s">
        <v>70</v>
      </c>
      <c r="D177" s="6">
        <v>19</v>
      </c>
      <c r="E177" s="5">
        <v>28000</v>
      </c>
      <c r="F177" t="s">
        <v>12</v>
      </c>
      <c r="G177" s="7">
        <v>46110</v>
      </c>
      <c r="H177" s="5">
        <v>3</v>
      </c>
      <c r="I17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77" t="b">
        <f>((ISNUMBER(Table3[[#This Row],[Quantity]]) )* (Table3[[#This Row],[Quantity]]&gt;0))=1</f>
        <v>1</v>
      </c>
      <c r="K177" t="b">
        <f>((Table3[[#This Row],[Quantity]]&gt;=Table3[[#This Row],[Return Qty]])*(ISNUMBER(Table3[[#This Row],[Quantity]])))=1</f>
        <v>1</v>
      </c>
      <c r="L177" t="b">
        <f>ISNUMBER(Table3[[#This Row],[Unit Price]])</f>
        <v>1</v>
      </c>
      <c r="M177" t="b">
        <f>ISNUMBER(Table3[[#This Row],[Order Date]])</f>
        <v>1</v>
      </c>
      <c r="N177">
        <f>IFERROR(IF(Table3[[#This Row],[Quantity]]*Table3[[#This Row],[Unit Price]]&lt;0, "N/A", Table3[[#This Row],[Quantity]]*Table3[[#This Row],[Unit Price]]), "N/A")</f>
        <v>532000</v>
      </c>
      <c r="O177">
        <f>IFERROR(Table3[[#This Row],[Unit Price]]*Table3[[#This Row],[Return Qty]], "N/A")</f>
        <v>84000</v>
      </c>
      <c r="P177">
        <f>IFERROR(IF((Table3[[#This Row],[Revenue before return]]-Table3[[#This Row],[Amount of order  returned]])&lt;0, "N/A", Table3[[#This Row],[Revenue before return]]-Table3[[#This Row],[Amount of order  returned]]), "N/A")</f>
        <v>448000</v>
      </c>
      <c r="Q17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78" spans="1:17" x14ac:dyDescent="0.2">
      <c r="A178" t="s">
        <v>362</v>
      </c>
      <c r="B178" t="s">
        <v>363</v>
      </c>
      <c r="C178" t="s">
        <v>32</v>
      </c>
      <c r="D178" s="6">
        <v>4</v>
      </c>
      <c r="E178" s="5">
        <v>8000</v>
      </c>
      <c r="F178" t="s">
        <v>364</v>
      </c>
      <c r="G178" s="7">
        <v>46198</v>
      </c>
      <c r="H178" s="5">
        <v>0</v>
      </c>
      <c r="I17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0</v>
      </c>
      <c r="J178" t="b">
        <f>((ISNUMBER(Table3[[#This Row],[Quantity]]) )* (Table3[[#This Row],[Quantity]]&gt;0))=1</f>
        <v>1</v>
      </c>
      <c r="K178" t="b">
        <f>((Table3[[#This Row],[Quantity]]&gt;=Table3[[#This Row],[Return Qty]])*(ISNUMBER(Table3[[#This Row],[Quantity]])))=1</f>
        <v>1</v>
      </c>
      <c r="L178" t="b">
        <f>ISNUMBER(Table3[[#This Row],[Unit Price]])</f>
        <v>1</v>
      </c>
      <c r="M178" t="b">
        <f>ISNUMBER(Table3[[#This Row],[Order Date]])</f>
        <v>1</v>
      </c>
      <c r="N178">
        <f>IFERROR(IF(Table3[[#This Row],[Quantity]]*Table3[[#This Row],[Unit Price]]&lt;0, "N/A", Table3[[#This Row],[Quantity]]*Table3[[#This Row],[Unit Price]]), "N/A")</f>
        <v>32000</v>
      </c>
      <c r="O178">
        <f>IFERROR(Table3[[#This Row],[Unit Price]]*Table3[[#This Row],[Return Qty]], "N/A")</f>
        <v>0</v>
      </c>
      <c r="P178">
        <f>IFERROR(IF((Table3[[#This Row],[Revenue before return]]-Table3[[#This Row],[Amount of order  returned]])&lt;0, "N/A", Table3[[#This Row],[Revenue before return]]-Table3[[#This Row],[Amount of order  returned]]), "N/A")</f>
        <v>32000</v>
      </c>
      <c r="Q17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79" spans="1:17" x14ac:dyDescent="0.2">
      <c r="A179" t="s">
        <v>365</v>
      </c>
      <c r="B179" t="s">
        <v>21</v>
      </c>
      <c r="C179" t="s">
        <v>26</v>
      </c>
      <c r="D179" s="6">
        <v>10</v>
      </c>
      <c r="E179" s="5">
        <v>20000</v>
      </c>
      <c r="F179" t="s">
        <v>366</v>
      </c>
      <c r="G179" s="7">
        <v>46050</v>
      </c>
      <c r="H179" s="5">
        <v>2</v>
      </c>
      <c r="I17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79" t="b">
        <f>((ISNUMBER(Table3[[#This Row],[Quantity]]) )* (Table3[[#This Row],[Quantity]]&gt;0))=1</f>
        <v>1</v>
      </c>
      <c r="K179" t="b">
        <f>((Table3[[#This Row],[Quantity]]&gt;=Table3[[#This Row],[Return Qty]])*(ISNUMBER(Table3[[#This Row],[Quantity]])))=1</f>
        <v>1</v>
      </c>
      <c r="L179" t="b">
        <f>ISNUMBER(Table3[[#This Row],[Unit Price]])</f>
        <v>1</v>
      </c>
      <c r="M179" t="b">
        <f>ISNUMBER(Table3[[#This Row],[Order Date]])</f>
        <v>1</v>
      </c>
      <c r="N179">
        <f>IFERROR(IF(Table3[[#This Row],[Quantity]]*Table3[[#This Row],[Unit Price]]&lt;0, "N/A", Table3[[#This Row],[Quantity]]*Table3[[#This Row],[Unit Price]]), "N/A")</f>
        <v>200000</v>
      </c>
      <c r="O179">
        <f>IFERROR(Table3[[#This Row],[Unit Price]]*Table3[[#This Row],[Return Qty]], "N/A")</f>
        <v>40000</v>
      </c>
      <c r="P179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17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80" spans="1:17" x14ac:dyDescent="0.2">
      <c r="A180" t="s">
        <v>367</v>
      </c>
      <c r="B180" t="s">
        <v>21</v>
      </c>
      <c r="C180" t="s">
        <v>22</v>
      </c>
      <c r="D180" s="6" t="s">
        <v>11</v>
      </c>
      <c r="E180" s="5">
        <v>35000</v>
      </c>
      <c r="F180" t="s">
        <v>368</v>
      </c>
      <c r="G180" s="7">
        <v>46082</v>
      </c>
      <c r="H180" s="5">
        <v>3</v>
      </c>
      <c r="I18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80" t="b">
        <f>((ISNUMBER(Table3[[#This Row],[Quantity]]) )* (Table3[[#This Row],[Quantity]]&gt;0))=1</f>
        <v>0</v>
      </c>
      <c r="K180" t="b">
        <f>((Table3[[#This Row],[Quantity]]&gt;=Table3[[#This Row],[Return Qty]])*(ISNUMBER(Table3[[#This Row],[Quantity]])))=1</f>
        <v>0</v>
      </c>
      <c r="L180" t="b">
        <f>ISNUMBER(Table3[[#This Row],[Unit Price]])</f>
        <v>1</v>
      </c>
      <c r="M180" t="b">
        <f>ISNUMBER(Table3[[#This Row],[Order Date]])</f>
        <v>1</v>
      </c>
      <c r="N180" t="str">
        <f>IFERROR(IF(Table3[[#This Row],[Quantity]]*Table3[[#This Row],[Unit Price]]&lt;0, "N/A", Table3[[#This Row],[Quantity]]*Table3[[#This Row],[Unit Price]]), "N/A")</f>
        <v>N/A</v>
      </c>
      <c r="O180">
        <f>IFERROR(Table3[[#This Row],[Unit Price]]*Table3[[#This Row],[Return Qty]], "N/A")</f>
        <v>105000</v>
      </c>
      <c r="P180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18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81" spans="1:17" x14ac:dyDescent="0.2">
      <c r="A181" t="s">
        <v>370</v>
      </c>
      <c r="B181" t="s">
        <v>21</v>
      </c>
      <c r="C181" t="s">
        <v>26</v>
      </c>
      <c r="D181" s="6">
        <v>25</v>
      </c>
      <c r="E181" s="5">
        <v>20000</v>
      </c>
      <c r="F181" t="s">
        <v>134</v>
      </c>
      <c r="G181" s="7">
        <v>46129</v>
      </c>
      <c r="H181" s="5">
        <v>0</v>
      </c>
      <c r="I18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81" t="b">
        <f>((ISNUMBER(Table3[[#This Row],[Quantity]]) )* (Table3[[#This Row],[Quantity]]&gt;0))=1</f>
        <v>1</v>
      </c>
      <c r="K181" t="b">
        <f>((Table3[[#This Row],[Quantity]]&gt;=Table3[[#This Row],[Return Qty]])*(ISNUMBER(Table3[[#This Row],[Quantity]])))=1</f>
        <v>1</v>
      </c>
      <c r="L181" t="b">
        <f>ISNUMBER(Table3[[#This Row],[Unit Price]])</f>
        <v>1</v>
      </c>
      <c r="M181" t="b">
        <f>ISNUMBER(Table3[[#This Row],[Order Date]])</f>
        <v>1</v>
      </c>
      <c r="N181">
        <f>IFERROR(IF(Table3[[#This Row],[Quantity]]*Table3[[#This Row],[Unit Price]]&lt;0, "N/A", Table3[[#This Row],[Quantity]]*Table3[[#This Row],[Unit Price]]), "N/A")</f>
        <v>500000</v>
      </c>
      <c r="O181">
        <f>IFERROR(Table3[[#This Row],[Unit Price]]*Table3[[#This Row],[Return Qty]], "N/A")</f>
        <v>0</v>
      </c>
      <c r="P181">
        <f>IFERROR(IF((Table3[[#This Row],[Revenue before return]]-Table3[[#This Row],[Amount of order  returned]])&lt;0, "N/A", Table3[[#This Row],[Revenue before return]]-Table3[[#This Row],[Amount of order  returned]]), "N/A")</f>
        <v>500000</v>
      </c>
      <c r="Q18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82" spans="1:17" x14ac:dyDescent="0.2">
      <c r="A182" t="s">
        <v>371</v>
      </c>
      <c r="B182" t="s">
        <v>14</v>
      </c>
      <c r="C182" t="s">
        <v>10</v>
      </c>
      <c r="D182" s="6">
        <v>18</v>
      </c>
      <c r="E182" s="5">
        <v>15000</v>
      </c>
      <c r="F182" t="s">
        <v>372</v>
      </c>
      <c r="G182" s="7">
        <v>46028</v>
      </c>
      <c r="H182" s="5">
        <v>0</v>
      </c>
      <c r="I18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82" t="b">
        <f>((ISNUMBER(Table3[[#This Row],[Quantity]]) )* (Table3[[#This Row],[Quantity]]&gt;0))=1</f>
        <v>1</v>
      </c>
      <c r="K182" t="b">
        <f>((Table3[[#This Row],[Quantity]]&gt;=Table3[[#This Row],[Return Qty]])*(ISNUMBER(Table3[[#This Row],[Quantity]])))=1</f>
        <v>1</v>
      </c>
      <c r="L182" t="b">
        <f>ISNUMBER(Table3[[#This Row],[Unit Price]])</f>
        <v>1</v>
      </c>
      <c r="M182" t="b">
        <f>ISNUMBER(Table3[[#This Row],[Order Date]])</f>
        <v>1</v>
      </c>
      <c r="N182">
        <f>IFERROR(IF(Table3[[#This Row],[Quantity]]*Table3[[#This Row],[Unit Price]]&lt;0, "N/A", Table3[[#This Row],[Quantity]]*Table3[[#This Row],[Unit Price]]), "N/A")</f>
        <v>270000</v>
      </c>
      <c r="O182">
        <f>IFERROR(Table3[[#This Row],[Unit Price]]*Table3[[#This Row],[Return Qty]], "N/A")</f>
        <v>0</v>
      </c>
      <c r="P182">
        <f>IFERROR(IF((Table3[[#This Row],[Revenue before return]]-Table3[[#This Row],[Amount of order  returned]])&lt;0, "N/A", Table3[[#This Row],[Revenue before return]]-Table3[[#This Row],[Amount of order  returned]]), "N/A")</f>
        <v>270000</v>
      </c>
      <c r="Q18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83" spans="1:17" x14ac:dyDescent="0.2">
      <c r="A183" t="s">
        <v>373</v>
      </c>
      <c r="B183" t="s">
        <v>14</v>
      </c>
      <c r="C183" t="s">
        <v>70</v>
      </c>
      <c r="D183" s="6">
        <v>17</v>
      </c>
      <c r="E183" s="5">
        <v>28000</v>
      </c>
      <c r="F183" t="s">
        <v>374</v>
      </c>
      <c r="G183" s="7">
        <v>46091</v>
      </c>
      <c r="H183" s="5">
        <v>0</v>
      </c>
      <c r="I18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83" t="b">
        <f>((ISNUMBER(Table3[[#This Row],[Quantity]]) )* (Table3[[#This Row],[Quantity]]&gt;0))=1</f>
        <v>1</v>
      </c>
      <c r="K183" t="b">
        <f>((Table3[[#This Row],[Quantity]]&gt;=Table3[[#This Row],[Return Qty]])*(ISNUMBER(Table3[[#This Row],[Quantity]])))=1</f>
        <v>1</v>
      </c>
      <c r="L183" t="b">
        <f>ISNUMBER(Table3[[#This Row],[Unit Price]])</f>
        <v>1</v>
      </c>
      <c r="M183" t="b">
        <f>ISNUMBER(Table3[[#This Row],[Order Date]])</f>
        <v>1</v>
      </c>
      <c r="N183">
        <f>IFERROR(IF(Table3[[#This Row],[Quantity]]*Table3[[#This Row],[Unit Price]]&lt;0, "N/A", Table3[[#This Row],[Quantity]]*Table3[[#This Row],[Unit Price]]), "N/A")</f>
        <v>476000</v>
      </c>
      <c r="O183">
        <f>IFERROR(Table3[[#This Row],[Unit Price]]*Table3[[#This Row],[Return Qty]], "N/A")</f>
        <v>0</v>
      </c>
      <c r="P183">
        <f>IFERROR(IF((Table3[[#This Row],[Revenue before return]]-Table3[[#This Row],[Amount of order  returned]])&lt;0, "N/A", Table3[[#This Row],[Revenue before return]]-Table3[[#This Row],[Amount of order  returned]]), "N/A")</f>
        <v>476000</v>
      </c>
      <c r="Q18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84" spans="1:17" x14ac:dyDescent="0.2">
      <c r="A184" t="s">
        <v>375</v>
      </c>
      <c r="B184" t="s">
        <v>9</v>
      </c>
      <c r="C184" t="s">
        <v>18</v>
      </c>
      <c r="D184" s="6">
        <v>4</v>
      </c>
      <c r="E184" s="5">
        <v>50000</v>
      </c>
      <c r="F184" t="s">
        <v>11</v>
      </c>
      <c r="G184" s="7">
        <v>46196</v>
      </c>
      <c r="H184" s="5">
        <v>4</v>
      </c>
      <c r="I18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84" t="b">
        <f>((ISNUMBER(Table3[[#This Row],[Quantity]]) )* (Table3[[#This Row],[Quantity]]&gt;0))=1</f>
        <v>1</v>
      </c>
      <c r="K184" t="b">
        <f>((Table3[[#This Row],[Quantity]]&gt;=Table3[[#This Row],[Return Qty]])*(ISNUMBER(Table3[[#This Row],[Quantity]])))=1</f>
        <v>1</v>
      </c>
      <c r="L184" t="b">
        <f>ISNUMBER(Table3[[#This Row],[Unit Price]])</f>
        <v>1</v>
      </c>
      <c r="M184" t="b">
        <f>ISNUMBER(Table3[[#This Row],[Order Date]])</f>
        <v>1</v>
      </c>
      <c r="N184">
        <f>IFERROR(IF(Table3[[#This Row],[Quantity]]*Table3[[#This Row],[Unit Price]]&lt;0, "N/A", Table3[[#This Row],[Quantity]]*Table3[[#This Row],[Unit Price]]), "N/A")</f>
        <v>200000</v>
      </c>
      <c r="O184">
        <f>IFERROR(Table3[[#This Row],[Unit Price]]*Table3[[#This Row],[Return Qty]], "N/A")</f>
        <v>200000</v>
      </c>
      <c r="P184">
        <f>IFERROR(IF((Table3[[#This Row],[Revenue before return]]-Table3[[#This Row],[Amount of order  returned]])&lt;0, "N/A", Table3[[#This Row],[Revenue before return]]-Table3[[#This Row],[Amount of order  returned]]), "N/A")</f>
        <v>0</v>
      </c>
      <c r="Q18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85" spans="1:17" x14ac:dyDescent="0.2">
      <c r="A185" t="s">
        <v>376</v>
      </c>
      <c r="B185" t="s">
        <v>14</v>
      </c>
      <c r="C185" t="s">
        <v>22</v>
      </c>
      <c r="D185" s="6">
        <v>16</v>
      </c>
      <c r="E185" s="5">
        <v>35000</v>
      </c>
      <c r="F185" t="s">
        <v>377</v>
      </c>
      <c r="G185" s="7">
        <v>46050</v>
      </c>
      <c r="H185" s="5">
        <v>0</v>
      </c>
      <c r="I18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85" t="b">
        <f>((ISNUMBER(Table3[[#This Row],[Quantity]]) )* (Table3[[#This Row],[Quantity]]&gt;0))=1</f>
        <v>1</v>
      </c>
      <c r="K185" t="b">
        <f>((Table3[[#This Row],[Quantity]]&gt;=Table3[[#This Row],[Return Qty]])*(ISNUMBER(Table3[[#This Row],[Quantity]])))=1</f>
        <v>1</v>
      </c>
      <c r="L185" t="b">
        <f>ISNUMBER(Table3[[#This Row],[Unit Price]])</f>
        <v>1</v>
      </c>
      <c r="M185" t="b">
        <f>ISNUMBER(Table3[[#This Row],[Order Date]])</f>
        <v>1</v>
      </c>
      <c r="N185">
        <f>IFERROR(IF(Table3[[#This Row],[Quantity]]*Table3[[#This Row],[Unit Price]]&lt;0, "N/A", Table3[[#This Row],[Quantity]]*Table3[[#This Row],[Unit Price]]), "N/A")</f>
        <v>560000</v>
      </c>
      <c r="O185">
        <f>IFERROR(Table3[[#This Row],[Unit Price]]*Table3[[#This Row],[Return Qty]], "N/A")</f>
        <v>0</v>
      </c>
      <c r="P185">
        <f>IFERROR(IF((Table3[[#This Row],[Revenue before return]]-Table3[[#This Row],[Amount of order  returned]])&lt;0, "N/A", Table3[[#This Row],[Revenue before return]]-Table3[[#This Row],[Amount of order  returned]]), "N/A")</f>
        <v>560000</v>
      </c>
      <c r="Q18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86" spans="1:17" x14ac:dyDescent="0.2">
      <c r="A186" t="s">
        <v>378</v>
      </c>
      <c r="B186" t="s">
        <v>9</v>
      </c>
      <c r="C186" t="s">
        <v>70</v>
      </c>
      <c r="D186" s="6">
        <v>16</v>
      </c>
      <c r="E186" s="5">
        <v>28000</v>
      </c>
      <c r="F186" t="s">
        <v>379</v>
      </c>
      <c r="G186" s="7">
        <v>46108</v>
      </c>
      <c r="H186" s="5">
        <v>0</v>
      </c>
      <c r="I18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86" t="b">
        <f>((ISNUMBER(Table3[[#This Row],[Quantity]]) )* (Table3[[#This Row],[Quantity]]&gt;0))=1</f>
        <v>1</v>
      </c>
      <c r="K186" t="b">
        <f>((Table3[[#This Row],[Quantity]]&gt;=Table3[[#This Row],[Return Qty]])*(ISNUMBER(Table3[[#This Row],[Quantity]])))=1</f>
        <v>1</v>
      </c>
      <c r="L186" t="b">
        <f>ISNUMBER(Table3[[#This Row],[Unit Price]])</f>
        <v>1</v>
      </c>
      <c r="M186" t="b">
        <f>ISNUMBER(Table3[[#This Row],[Order Date]])</f>
        <v>1</v>
      </c>
      <c r="N186">
        <f>IFERROR(IF(Table3[[#This Row],[Quantity]]*Table3[[#This Row],[Unit Price]]&lt;0, "N/A", Table3[[#This Row],[Quantity]]*Table3[[#This Row],[Unit Price]]), "N/A")</f>
        <v>448000</v>
      </c>
      <c r="O186">
        <f>IFERROR(Table3[[#This Row],[Unit Price]]*Table3[[#This Row],[Return Qty]], "N/A")</f>
        <v>0</v>
      </c>
      <c r="P186">
        <f>IFERROR(IF((Table3[[#This Row],[Revenue before return]]-Table3[[#This Row],[Amount of order  returned]])&lt;0, "N/A", Table3[[#This Row],[Revenue before return]]-Table3[[#This Row],[Amount of order  returned]]), "N/A")</f>
        <v>448000</v>
      </c>
      <c r="Q18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87" spans="1:17" x14ac:dyDescent="0.2">
      <c r="A187" t="s">
        <v>380</v>
      </c>
      <c r="B187" t="s">
        <v>25</v>
      </c>
      <c r="C187" t="s">
        <v>39</v>
      </c>
      <c r="D187" s="6">
        <v>4</v>
      </c>
      <c r="E187" s="5">
        <v>12000</v>
      </c>
      <c r="F187" t="s">
        <v>381</v>
      </c>
      <c r="G187" s="7">
        <v>46111</v>
      </c>
      <c r="H187" s="5">
        <v>0</v>
      </c>
      <c r="I18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87" t="b">
        <f>((ISNUMBER(Table3[[#This Row],[Quantity]]) )* (Table3[[#This Row],[Quantity]]&gt;0))=1</f>
        <v>1</v>
      </c>
      <c r="K187" t="b">
        <f>((Table3[[#This Row],[Quantity]]&gt;=Table3[[#This Row],[Return Qty]])*(ISNUMBER(Table3[[#This Row],[Quantity]])))=1</f>
        <v>1</v>
      </c>
      <c r="L187" t="b">
        <f>ISNUMBER(Table3[[#This Row],[Unit Price]])</f>
        <v>1</v>
      </c>
      <c r="M187" t="b">
        <f>ISNUMBER(Table3[[#This Row],[Order Date]])</f>
        <v>1</v>
      </c>
      <c r="N187">
        <f>IFERROR(IF(Table3[[#This Row],[Quantity]]*Table3[[#This Row],[Unit Price]]&lt;0, "N/A", Table3[[#This Row],[Quantity]]*Table3[[#This Row],[Unit Price]]), "N/A")</f>
        <v>48000</v>
      </c>
      <c r="O187">
        <f>IFERROR(Table3[[#This Row],[Unit Price]]*Table3[[#This Row],[Return Qty]], "N/A")</f>
        <v>0</v>
      </c>
      <c r="P187">
        <f>IFERROR(IF((Table3[[#This Row],[Revenue before return]]-Table3[[#This Row],[Amount of order  returned]])&lt;0, "N/A", Table3[[#This Row],[Revenue before return]]-Table3[[#This Row],[Amount of order  returned]]), "N/A")</f>
        <v>48000</v>
      </c>
      <c r="Q18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88" spans="1:17" x14ac:dyDescent="0.2">
      <c r="A188" t="s">
        <v>382</v>
      </c>
      <c r="B188" t="s">
        <v>9</v>
      </c>
      <c r="C188" t="s">
        <v>39</v>
      </c>
      <c r="D188" s="6">
        <v>12</v>
      </c>
      <c r="E188" s="5">
        <v>12000</v>
      </c>
      <c r="F188" t="s">
        <v>195</v>
      </c>
      <c r="G188" s="7">
        <v>46029</v>
      </c>
      <c r="H188" s="5">
        <v>0</v>
      </c>
      <c r="I18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88" t="b">
        <f>((ISNUMBER(Table3[[#This Row],[Quantity]]) )* (Table3[[#This Row],[Quantity]]&gt;0))=1</f>
        <v>1</v>
      </c>
      <c r="K188" t="b">
        <f>((Table3[[#This Row],[Quantity]]&gt;=Table3[[#This Row],[Return Qty]])*(ISNUMBER(Table3[[#This Row],[Quantity]])))=1</f>
        <v>1</v>
      </c>
      <c r="L188" t="b">
        <f>ISNUMBER(Table3[[#This Row],[Unit Price]])</f>
        <v>1</v>
      </c>
      <c r="M188" t="b">
        <f>ISNUMBER(Table3[[#This Row],[Order Date]])</f>
        <v>1</v>
      </c>
      <c r="N188">
        <f>IFERROR(IF(Table3[[#This Row],[Quantity]]*Table3[[#This Row],[Unit Price]]&lt;0, "N/A", Table3[[#This Row],[Quantity]]*Table3[[#This Row],[Unit Price]]), "N/A")</f>
        <v>144000</v>
      </c>
      <c r="O188">
        <f>IFERROR(Table3[[#This Row],[Unit Price]]*Table3[[#This Row],[Return Qty]], "N/A")</f>
        <v>0</v>
      </c>
      <c r="P188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18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89" spans="1:17" x14ac:dyDescent="0.2">
      <c r="A189" t="s">
        <v>383</v>
      </c>
      <c r="B189" t="s">
        <v>14</v>
      </c>
      <c r="C189" t="s">
        <v>39</v>
      </c>
      <c r="D189" s="6">
        <v>22</v>
      </c>
      <c r="E189" s="5">
        <v>12000</v>
      </c>
      <c r="F189" t="s">
        <v>11</v>
      </c>
      <c r="G189" s="7">
        <v>46055</v>
      </c>
      <c r="H189" s="5">
        <v>0</v>
      </c>
      <c r="I18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89" t="b">
        <f>((ISNUMBER(Table3[[#This Row],[Quantity]]) )* (Table3[[#This Row],[Quantity]]&gt;0))=1</f>
        <v>1</v>
      </c>
      <c r="K189" t="b">
        <f>((Table3[[#This Row],[Quantity]]&gt;=Table3[[#This Row],[Return Qty]])*(ISNUMBER(Table3[[#This Row],[Quantity]])))=1</f>
        <v>1</v>
      </c>
      <c r="L189" t="b">
        <f>ISNUMBER(Table3[[#This Row],[Unit Price]])</f>
        <v>1</v>
      </c>
      <c r="M189" t="b">
        <f>ISNUMBER(Table3[[#This Row],[Order Date]])</f>
        <v>1</v>
      </c>
      <c r="N189">
        <f>IFERROR(IF(Table3[[#This Row],[Quantity]]*Table3[[#This Row],[Unit Price]]&lt;0, "N/A", Table3[[#This Row],[Quantity]]*Table3[[#This Row],[Unit Price]]), "N/A")</f>
        <v>264000</v>
      </c>
      <c r="O189">
        <f>IFERROR(Table3[[#This Row],[Unit Price]]*Table3[[#This Row],[Return Qty]], "N/A")</f>
        <v>0</v>
      </c>
      <c r="P189">
        <f>IFERROR(IF((Table3[[#This Row],[Revenue before return]]-Table3[[#This Row],[Amount of order  returned]])&lt;0, "N/A", Table3[[#This Row],[Revenue before return]]-Table3[[#This Row],[Amount of order  returned]]), "N/A")</f>
        <v>264000</v>
      </c>
      <c r="Q18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90" spans="1:17" x14ac:dyDescent="0.2">
      <c r="A190" t="s">
        <v>384</v>
      </c>
      <c r="B190" t="s">
        <v>9</v>
      </c>
      <c r="C190" t="s">
        <v>70</v>
      </c>
      <c r="D190" s="6">
        <v>2</v>
      </c>
      <c r="E190" s="5">
        <v>28000</v>
      </c>
      <c r="F190" t="s">
        <v>214</v>
      </c>
      <c r="G190" s="7">
        <v>46176</v>
      </c>
      <c r="H190" s="5">
        <v>10</v>
      </c>
      <c r="I19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90" t="b">
        <f>((ISNUMBER(Table3[[#This Row],[Quantity]]) )* (Table3[[#This Row],[Quantity]]&gt;0))=1</f>
        <v>1</v>
      </c>
      <c r="K190" t="b">
        <f>((Table3[[#This Row],[Quantity]]&gt;=Table3[[#This Row],[Return Qty]])*(ISNUMBER(Table3[[#This Row],[Quantity]])))=1</f>
        <v>0</v>
      </c>
      <c r="L190" t="b">
        <f>ISNUMBER(Table3[[#This Row],[Unit Price]])</f>
        <v>1</v>
      </c>
      <c r="M190" t="b">
        <f>ISNUMBER(Table3[[#This Row],[Order Date]])</f>
        <v>1</v>
      </c>
      <c r="N190">
        <f>IFERROR(IF(Table3[[#This Row],[Quantity]]*Table3[[#This Row],[Unit Price]]&lt;0, "N/A", Table3[[#This Row],[Quantity]]*Table3[[#This Row],[Unit Price]]), "N/A")</f>
        <v>56000</v>
      </c>
      <c r="O190">
        <f>IFERROR(Table3[[#This Row],[Unit Price]]*Table3[[#This Row],[Return Qty]], "N/A")</f>
        <v>280000</v>
      </c>
      <c r="P190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19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91" spans="1:17" x14ac:dyDescent="0.2">
      <c r="A191" t="s">
        <v>385</v>
      </c>
      <c r="B191" t="s">
        <v>9</v>
      </c>
      <c r="C191" t="s">
        <v>39</v>
      </c>
      <c r="D191" s="6">
        <v>7</v>
      </c>
      <c r="E191" s="5">
        <v>12000</v>
      </c>
      <c r="F191" t="s">
        <v>11</v>
      </c>
      <c r="G191" s="7">
        <v>46157</v>
      </c>
      <c r="H191" s="5">
        <v>0</v>
      </c>
      <c r="I19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91" t="b">
        <f>((ISNUMBER(Table3[[#This Row],[Quantity]]) )* (Table3[[#This Row],[Quantity]]&gt;0))=1</f>
        <v>1</v>
      </c>
      <c r="K191" t="b">
        <f>((Table3[[#This Row],[Quantity]]&gt;=Table3[[#This Row],[Return Qty]])*(ISNUMBER(Table3[[#This Row],[Quantity]])))=1</f>
        <v>1</v>
      </c>
      <c r="L191" t="b">
        <f>ISNUMBER(Table3[[#This Row],[Unit Price]])</f>
        <v>1</v>
      </c>
      <c r="M191" t="b">
        <f>ISNUMBER(Table3[[#This Row],[Order Date]])</f>
        <v>1</v>
      </c>
      <c r="N191">
        <f>IFERROR(IF(Table3[[#This Row],[Quantity]]*Table3[[#This Row],[Unit Price]]&lt;0, "N/A", Table3[[#This Row],[Quantity]]*Table3[[#This Row],[Unit Price]]), "N/A")</f>
        <v>84000</v>
      </c>
      <c r="O191">
        <f>IFERROR(Table3[[#This Row],[Unit Price]]*Table3[[#This Row],[Return Qty]], "N/A")</f>
        <v>0</v>
      </c>
      <c r="P191">
        <f>IFERROR(IF((Table3[[#This Row],[Revenue before return]]-Table3[[#This Row],[Amount of order  returned]])&lt;0, "N/A", Table3[[#This Row],[Revenue before return]]-Table3[[#This Row],[Amount of order  returned]]), "N/A")</f>
        <v>84000</v>
      </c>
      <c r="Q19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92" spans="1:17" x14ac:dyDescent="0.2">
      <c r="A192" t="s">
        <v>386</v>
      </c>
      <c r="B192" t="s">
        <v>14</v>
      </c>
      <c r="C192" t="s">
        <v>32</v>
      </c>
      <c r="D192" s="6">
        <v>19</v>
      </c>
      <c r="E192" s="5">
        <v>8000</v>
      </c>
      <c r="F192" t="s">
        <v>287</v>
      </c>
      <c r="G192" s="7">
        <v>46183</v>
      </c>
      <c r="H192" s="5">
        <v>20</v>
      </c>
      <c r="I19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92" t="b">
        <f>((ISNUMBER(Table3[[#This Row],[Quantity]]) )* (Table3[[#This Row],[Quantity]]&gt;0))=1</f>
        <v>1</v>
      </c>
      <c r="K192" t="b">
        <f>((Table3[[#This Row],[Quantity]]&gt;=Table3[[#This Row],[Return Qty]])*(ISNUMBER(Table3[[#This Row],[Quantity]])))=1</f>
        <v>0</v>
      </c>
      <c r="L192" t="b">
        <f>ISNUMBER(Table3[[#This Row],[Unit Price]])</f>
        <v>1</v>
      </c>
      <c r="M192" t="b">
        <f>ISNUMBER(Table3[[#This Row],[Order Date]])</f>
        <v>1</v>
      </c>
      <c r="N192">
        <f>IFERROR(IF(Table3[[#This Row],[Quantity]]*Table3[[#This Row],[Unit Price]]&lt;0, "N/A", Table3[[#This Row],[Quantity]]*Table3[[#This Row],[Unit Price]]), "N/A")</f>
        <v>152000</v>
      </c>
      <c r="O192">
        <f>IFERROR(Table3[[#This Row],[Unit Price]]*Table3[[#This Row],[Return Qty]], "N/A")</f>
        <v>160000</v>
      </c>
      <c r="P192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19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93" spans="1:17" x14ac:dyDescent="0.2">
      <c r="A193" t="s">
        <v>387</v>
      </c>
      <c r="B193" t="s">
        <v>14</v>
      </c>
      <c r="C193" t="s">
        <v>22</v>
      </c>
      <c r="D193" s="6">
        <v>21</v>
      </c>
      <c r="E193" s="5">
        <v>35000</v>
      </c>
      <c r="F193" t="s">
        <v>117</v>
      </c>
      <c r="G193" s="7">
        <v>46063</v>
      </c>
      <c r="H193" s="5">
        <v>0</v>
      </c>
      <c r="I19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93" t="b">
        <f>((ISNUMBER(Table3[[#This Row],[Quantity]]) )* (Table3[[#This Row],[Quantity]]&gt;0))=1</f>
        <v>1</v>
      </c>
      <c r="K193" t="b">
        <f>((Table3[[#This Row],[Quantity]]&gt;=Table3[[#This Row],[Return Qty]])*(ISNUMBER(Table3[[#This Row],[Quantity]])))=1</f>
        <v>1</v>
      </c>
      <c r="L193" t="b">
        <f>ISNUMBER(Table3[[#This Row],[Unit Price]])</f>
        <v>1</v>
      </c>
      <c r="M193" t="b">
        <f>ISNUMBER(Table3[[#This Row],[Order Date]])</f>
        <v>1</v>
      </c>
      <c r="N193">
        <f>IFERROR(IF(Table3[[#This Row],[Quantity]]*Table3[[#This Row],[Unit Price]]&lt;0, "N/A", Table3[[#This Row],[Quantity]]*Table3[[#This Row],[Unit Price]]), "N/A")</f>
        <v>735000</v>
      </c>
      <c r="O193">
        <f>IFERROR(Table3[[#This Row],[Unit Price]]*Table3[[#This Row],[Return Qty]], "N/A")</f>
        <v>0</v>
      </c>
      <c r="P193">
        <f>IFERROR(IF((Table3[[#This Row],[Revenue before return]]-Table3[[#This Row],[Amount of order  returned]])&lt;0, "N/A", Table3[[#This Row],[Revenue before return]]-Table3[[#This Row],[Amount of order  returned]]), "N/A")</f>
        <v>735000</v>
      </c>
      <c r="Q19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94" spans="1:17" x14ac:dyDescent="0.2">
      <c r="A194" t="s">
        <v>388</v>
      </c>
      <c r="B194" t="s">
        <v>25</v>
      </c>
      <c r="C194" t="s">
        <v>45</v>
      </c>
      <c r="D194" s="6">
        <v>-9</v>
      </c>
      <c r="E194" s="5">
        <v>20000</v>
      </c>
      <c r="F194" t="s">
        <v>389</v>
      </c>
      <c r="G194" s="7">
        <v>46166</v>
      </c>
      <c r="H194" s="5">
        <v>-7</v>
      </c>
      <c r="I19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94" t="b">
        <f>((ISNUMBER(Table3[[#This Row],[Quantity]]) )* (Table3[[#This Row],[Quantity]]&gt;0))=1</f>
        <v>0</v>
      </c>
      <c r="K194" t="b">
        <f>((Table3[[#This Row],[Quantity]]&gt;=Table3[[#This Row],[Return Qty]])*(ISNUMBER(Table3[[#This Row],[Quantity]])))=1</f>
        <v>0</v>
      </c>
      <c r="L194" t="b">
        <f>ISNUMBER(Table3[[#This Row],[Unit Price]])</f>
        <v>1</v>
      </c>
      <c r="M194" t="b">
        <f>ISNUMBER(Table3[[#This Row],[Order Date]])</f>
        <v>1</v>
      </c>
      <c r="N194" t="str">
        <f>IFERROR(IF(Table3[[#This Row],[Quantity]]*Table3[[#This Row],[Unit Price]]&lt;0, "N/A", Table3[[#This Row],[Quantity]]*Table3[[#This Row],[Unit Price]]), "N/A")</f>
        <v>N/A</v>
      </c>
      <c r="O194">
        <f>IFERROR(Table3[[#This Row],[Unit Price]]*Table3[[#This Row],[Return Qty]], "N/A")</f>
        <v>-140000</v>
      </c>
      <c r="P194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19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95" spans="1:17" x14ac:dyDescent="0.2">
      <c r="A195" t="s">
        <v>390</v>
      </c>
      <c r="B195" t="s">
        <v>21</v>
      </c>
      <c r="C195" t="s">
        <v>22</v>
      </c>
      <c r="D195" s="6">
        <v>17</v>
      </c>
      <c r="E195" s="5">
        <v>35000</v>
      </c>
      <c r="F195" t="s">
        <v>391</v>
      </c>
      <c r="G195" s="7">
        <v>46167</v>
      </c>
      <c r="H195" s="5">
        <v>0</v>
      </c>
      <c r="I19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95" t="b">
        <f>((ISNUMBER(Table3[[#This Row],[Quantity]]) )* (Table3[[#This Row],[Quantity]]&gt;0))=1</f>
        <v>1</v>
      </c>
      <c r="K195" t="b">
        <f>((Table3[[#This Row],[Quantity]]&gt;=Table3[[#This Row],[Return Qty]])*(ISNUMBER(Table3[[#This Row],[Quantity]])))=1</f>
        <v>1</v>
      </c>
      <c r="L195" t="b">
        <f>ISNUMBER(Table3[[#This Row],[Unit Price]])</f>
        <v>1</v>
      </c>
      <c r="M195" t="b">
        <f>ISNUMBER(Table3[[#This Row],[Order Date]])</f>
        <v>1</v>
      </c>
      <c r="N195">
        <f>IFERROR(IF(Table3[[#This Row],[Quantity]]*Table3[[#This Row],[Unit Price]]&lt;0, "N/A", Table3[[#This Row],[Quantity]]*Table3[[#This Row],[Unit Price]]), "N/A")</f>
        <v>595000</v>
      </c>
      <c r="O195">
        <f>IFERROR(Table3[[#This Row],[Unit Price]]*Table3[[#This Row],[Return Qty]], "N/A")</f>
        <v>0</v>
      </c>
      <c r="P195">
        <f>IFERROR(IF((Table3[[#This Row],[Revenue before return]]-Table3[[#This Row],[Amount of order  returned]])&lt;0, "N/A", Table3[[#This Row],[Revenue before return]]-Table3[[#This Row],[Amount of order  returned]]), "N/A")</f>
        <v>595000</v>
      </c>
      <c r="Q19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96" spans="1:17" x14ac:dyDescent="0.2">
      <c r="A196" t="s">
        <v>392</v>
      </c>
      <c r="B196" t="s">
        <v>21</v>
      </c>
      <c r="C196" t="s">
        <v>32</v>
      </c>
      <c r="D196" s="6">
        <v>3</v>
      </c>
      <c r="E196" s="5">
        <v>8000</v>
      </c>
      <c r="F196" t="s">
        <v>393</v>
      </c>
      <c r="G196" s="7">
        <v>46142</v>
      </c>
      <c r="H196" s="5">
        <v>0</v>
      </c>
      <c r="I19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96" t="b">
        <f>((ISNUMBER(Table3[[#This Row],[Quantity]]) )* (Table3[[#This Row],[Quantity]]&gt;0))=1</f>
        <v>1</v>
      </c>
      <c r="K196" t="b">
        <f>((Table3[[#This Row],[Quantity]]&gt;=Table3[[#This Row],[Return Qty]])*(ISNUMBER(Table3[[#This Row],[Quantity]])))=1</f>
        <v>1</v>
      </c>
      <c r="L196" t="b">
        <f>ISNUMBER(Table3[[#This Row],[Unit Price]])</f>
        <v>1</v>
      </c>
      <c r="M196" t="b">
        <f>ISNUMBER(Table3[[#This Row],[Order Date]])</f>
        <v>1</v>
      </c>
      <c r="N196">
        <f>IFERROR(IF(Table3[[#This Row],[Quantity]]*Table3[[#This Row],[Unit Price]]&lt;0, "N/A", Table3[[#This Row],[Quantity]]*Table3[[#This Row],[Unit Price]]), "N/A")</f>
        <v>24000</v>
      </c>
      <c r="O196">
        <f>IFERROR(Table3[[#This Row],[Unit Price]]*Table3[[#This Row],[Return Qty]], "N/A")</f>
        <v>0</v>
      </c>
      <c r="P196">
        <f>IFERROR(IF((Table3[[#This Row],[Revenue before return]]-Table3[[#This Row],[Amount of order  returned]])&lt;0, "N/A", Table3[[#This Row],[Revenue before return]]-Table3[[#This Row],[Amount of order  returned]]), "N/A")</f>
        <v>24000</v>
      </c>
      <c r="Q19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97" spans="1:17" x14ac:dyDescent="0.2">
      <c r="A197" t="s">
        <v>394</v>
      </c>
      <c r="B197" t="s">
        <v>9</v>
      </c>
      <c r="C197" t="s">
        <v>39</v>
      </c>
      <c r="D197" s="6">
        <v>8</v>
      </c>
      <c r="E197" s="5">
        <v>12000</v>
      </c>
      <c r="F197" t="s">
        <v>11</v>
      </c>
      <c r="G197" s="7">
        <v>46027</v>
      </c>
      <c r="H197" s="5">
        <v>0</v>
      </c>
      <c r="I19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97" t="b">
        <f>((ISNUMBER(Table3[[#This Row],[Quantity]]) )* (Table3[[#This Row],[Quantity]]&gt;0))=1</f>
        <v>1</v>
      </c>
      <c r="K197" t="b">
        <f>((Table3[[#This Row],[Quantity]]&gt;=Table3[[#This Row],[Return Qty]])*(ISNUMBER(Table3[[#This Row],[Quantity]])))=1</f>
        <v>1</v>
      </c>
      <c r="L197" t="b">
        <f>ISNUMBER(Table3[[#This Row],[Unit Price]])</f>
        <v>1</v>
      </c>
      <c r="M197" t="b">
        <f>ISNUMBER(Table3[[#This Row],[Order Date]])</f>
        <v>1</v>
      </c>
      <c r="N197">
        <f>IFERROR(IF(Table3[[#This Row],[Quantity]]*Table3[[#This Row],[Unit Price]]&lt;0, "N/A", Table3[[#This Row],[Quantity]]*Table3[[#This Row],[Unit Price]]), "N/A")</f>
        <v>96000</v>
      </c>
      <c r="O197">
        <f>IFERROR(Table3[[#This Row],[Unit Price]]*Table3[[#This Row],[Return Qty]], "N/A")</f>
        <v>0</v>
      </c>
      <c r="P197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19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98" spans="1:17" x14ac:dyDescent="0.2">
      <c r="A198" t="s">
        <v>395</v>
      </c>
      <c r="B198" t="s">
        <v>14</v>
      </c>
      <c r="C198" t="s">
        <v>18</v>
      </c>
      <c r="D198" s="6">
        <v>14</v>
      </c>
      <c r="E198" s="5">
        <v>50000</v>
      </c>
      <c r="F198" t="s">
        <v>12</v>
      </c>
      <c r="G198" s="7">
        <v>46099</v>
      </c>
      <c r="H198" s="5">
        <v>0</v>
      </c>
      <c r="I19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98" t="b">
        <f>((ISNUMBER(Table3[[#This Row],[Quantity]]) )* (Table3[[#This Row],[Quantity]]&gt;0))=1</f>
        <v>1</v>
      </c>
      <c r="K198" t="b">
        <f>((Table3[[#This Row],[Quantity]]&gt;=Table3[[#This Row],[Return Qty]])*(ISNUMBER(Table3[[#This Row],[Quantity]])))=1</f>
        <v>1</v>
      </c>
      <c r="L198" t="b">
        <f>ISNUMBER(Table3[[#This Row],[Unit Price]])</f>
        <v>1</v>
      </c>
      <c r="M198" t="b">
        <f>ISNUMBER(Table3[[#This Row],[Order Date]])</f>
        <v>1</v>
      </c>
      <c r="N198">
        <f>IFERROR(IF(Table3[[#This Row],[Quantity]]*Table3[[#This Row],[Unit Price]]&lt;0, "N/A", Table3[[#This Row],[Quantity]]*Table3[[#This Row],[Unit Price]]), "N/A")</f>
        <v>700000</v>
      </c>
      <c r="O198">
        <f>IFERROR(Table3[[#This Row],[Unit Price]]*Table3[[#This Row],[Return Qty]], "N/A")</f>
        <v>0</v>
      </c>
      <c r="P198">
        <f>IFERROR(IF((Table3[[#This Row],[Revenue before return]]-Table3[[#This Row],[Amount of order  returned]])&lt;0, "N/A", Table3[[#This Row],[Revenue before return]]-Table3[[#This Row],[Amount of order  returned]]), "N/A")</f>
        <v>700000</v>
      </c>
      <c r="Q19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99" spans="1:17" x14ac:dyDescent="0.2">
      <c r="A199" t="s">
        <v>396</v>
      </c>
      <c r="B199" t="s">
        <v>14</v>
      </c>
      <c r="C199" t="s">
        <v>22</v>
      </c>
      <c r="D199" s="6">
        <v>3</v>
      </c>
      <c r="E199" s="5">
        <v>35000</v>
      </c>
      <c r="F199" t="s">
        <v>333</v>
      </c>
      <c r="G199" s="7">
        <v>46147</v>
      </c>
      <c r="H199" s="5">
        <v>0</v>
      </c>
      <c r="I19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99" t="b">
        <f>((ISNUMBER(Table3[[#This Row],[Quantity]]) )* (Table3[[#This Row],[Quantity]]&gt;0))=1</f>
        <v>1</v>
      </c>
      <c r="K199" t="b">
        <f>((Table3[[#This Row],[Quantity]]&gt;=Table3[[#This Row],[Return Qty]])*(ISNUMBER(Table3[[#This Row],[Quantity]])))=1</f>
        <v>1</v>
      </c>
      <c r="L199" t="b">
        <f>ISNUMBER(Table3[[#This Row],[Unit Price]])</f>
        <v>1</v>
      </c>
      <c r="M199" t="b">
        <f>ISNUMBER(Table3[[#This Row],[Order Date]])</f>
        <v>1</v>
      </c>
      <c r="N199">
        <f>IFERROR(IF(Table3[[#This Row],[Quantity]]*Table3[[#This Row],[Unit Price]]&lt;0, "N/A", Table3[[#This Row],[Quantity]]*Table3[[#This Row],[Unit Price]]), "N/A")</f>
        <v>105000</v>
      </c>
      <c r="O199">
        <f>IFERROR(Table3[[#This Row],[Unit Price]]*Table3[[#This Row],[Return Qty]], "N/A")</f>
        <v>0</v>
      </c>
      <c r="P199">
        <f>IFERROR(IF((Table3[[#This Row],[Revenue before return]]-Table3[[#This Row],[Amount of order  returned]])&lt;0, "N/A", Table3[[#This Row],[Revenue before return]]-Table3[[#This Row],[Amount of order  returned]]), "N/A")</f>
        <v>105000</v>
      </c>
      <c r="Q19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00" spans="1:17" x14ac:dyDescent="0.2">
      <c r="A200" t="s">
        <v>397</v>
      </c>
      <c r="B200" t="s">
        <v>14</v>
      </c>
      <c r="C200" t="s">
        <v>10</v>
      </c>
      <c r="D200" s="6">
        <v>24</v>
      </c>
      <c r="E200" s="5">
        <v>15000</v>
      </c>
      <c r="F200" t="s">
        <v>11</v>
      </c>
      <c r="G200" s="7">
        <v>46104</v>
      </c>
      <c r="H200" s="5">
        <v>2</v>
      </c>
      <c r="I20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00" t="b">
        <f>((ISNUMBER(Table3[[#This Row],[Quantity]]) )* (Table3[[#This Row],[Quantity]]&gt;0))=1</f>
        <v>1</v>
      </c>
      <c r="K200" t="b">
        <f>((Table3[[#This Row],[Quantity]]&gt;=Table3[[#This Row],[Return Qty]])*(ISNUMBER(Table3[[#This Row],[Quantity]])))=1</f>
        <v>1</v>
      </c>
      <c r="L200" t="b">
        <f>ISNUMBER(Table3[[#This Row],[Unit Price]])</f>
        <v>1</v>
      </c>
      <c r="M200" t="b">
        <f>ISNUMBER(Table3[[#This Row],[Order Date]])</f>
        <v>1</v>
      </c>
      <c r="N200">
        <f>IFERROR(IF(Table3[[#This Row],[Quantity]]*Table3[[#This Row],[Unit Price]]&lt;0, "N/A", Table3[[#This Row],[Quantity]]*Table3[[#This Row],[Unit Price]]), "N/A")</f>
        <v>360000</v>
      </c>
      <c r="O200">
        <f>IFERROR(Table3[[#This Row],[Unit Price]]*Table3[[#This Row],[Return Qty]], "N/A")</f>
        <v>30000</v>
      </c>
      <c r="P200">
        <f>IFERROR(IF((Table3[[#This Row],[Revenue before return]]-Table3[[#This Row],[Amount of order  returned]])&lt;0, "N/A", Table3[[#This Row],[Revenue before return]]-Table3[[#This Row],[Amount of order  returned]]), "N/A")</f>
        <v>330000</v>
      </c>
      <c r="Q20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01" spans="1:17" x14ac:dyDescent="0.2">
      <c r="A201" t="s">
        <v>398</v>
      </c>
      <c r="B201" t="s">
        <v>9</v>
      </c>
      <c r="C201" t="s">
        <v>22</v>
      </c>
      <c r="D201" s="6">
        <v>13</v>
      </c>
      <c r="E201" s="5">
        <v>35000</v>
      </c>
      <c r="F201" t="s">
        <v>400</v>
      </c>
      <c r="G201" s="7">
        <v>46071</v>
      </c>
      <c r="H201" s="5">
        <v>0</v>
      </c>
      <c r="I20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01" t="b">
        <f>((ISNUMBER(Table3[[#This Row],[Quantity]]) )* (Table3[[#This Row],[Quantity]]&gt;0))=1</f>
        <v>1</v>
      </c>
      <c r="K201" t="b">
        <f>((Table3[[#This Row],[Quantity]]&gt;=Table3[[#This Row],[Return Qty]])*(ISNUMBER(Table3[[#This Row],[Quantity]])))=1</f>
        <v>1</v>
      </c>
      <c r="L201" t="b">
        <f>ISNUMBER(Table3[[#This Row],[Unit Price]])</f>
        <v>1</v>
      </c>
      <c r="M201" t="b">
        <f>ISNUMBER(Table3[[#This Row],[Order Date]])</f>
        <v>1</v>
      </c>
      <c r="N201">
        <f>IFERROR(IF(Table3[[#This Row],[Quantity]]*Table3[[#This Row],[Unit Price]]&lt;0, "N/A", Table3[[#This Row],[Quantity]]*Table3[[#This Row],[Unit Price]]), "N/A")</f>
        <v>455000</v>
      </c>
      <c r="O201">
        <f>IFERROR(Table3[[#This Row],[Unit Price]]*Table3[[#This Row],[Return Qty]], "N/A")</f>
        <v>0</v>
      </c>
      <c r="P201">
        <f>IFERROR(IF((Table3[[#This Row],[Revenue before return]]-Table3[[#This Row],[Amount of order  returned]])&lt;0, "N/A", Table3[[#This Row],[Revenue before return]]-Table3[[#This Row],[Amount of order  returned]]), "N/A")</f>
        <v>455000</v>
      </c>
      <c r="Q20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02" spans="1:17" x14ac:dyDescent="0.2">
      <c r="A202" t="s">
        <v>401</v>
      </c>
      <c r="B202" t="s">
        <v>9</v>
      </c>
      <c r="C202" t="s">
        <v>39</v>
      </c>
      <c r="D202" s="6">
        <v>21</v>
      </c>
      <c r="E202" s="5">
        <v>12000</v>
      </c>
      <c r="F202" t="s">
        <v>402</v>
      </c>
      <c r="G202" s="7">
        <v>46184</v>
      </c>
      <c r="H202" s="5">
        <v>0</v>
      </c>
      <c r="I20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02" t="b">
        <f>((ISNUMBER(Table3[[#This Row],[Quantity]]) )* (Table3[[#This Row],[Quantity]]&gt;0))=1</f>
        <v>1</v>
      </c>
      <c r="K202" t="b">
        <f>((Table3[[#This Row],[Quantity]]&gt;=Table3[[#This Row],[Return Qty]])*(ISNUMBER(Table3[[#This Row],[Quantity]])))=1</f>
        <v>1</v>
      </c>
      <c r="L202" t="b">
        <f>ISNUMBER(Table3[[#This Row],[Unit Price]])</f>
        <v>1</v>
      </c>
      <c r="M202" t="b">
        <f>ISNUMBER(Table3[[#This Row],[Order Date]])</f>
        <v>1</v>
      </c>
      <c r="N202">
        <f>IFERROR(IF(Table3[[#This Row],[Quantity]]*Table3[[#This Row],[Unit Price]]&lt;0, "N/A", Table3[[#This Row],[Quantity]]*Table3[[#This Row],[Unit Price]]), "N/A")</f>
        <v>252000</v>
      </c>
      <c r="O202">
        <f>IFERROR(Table3[[#This Row],[Unit Price]]*Table3[[#This Row],[Return Qty]], "N/A")</f>
        <v>0</v>
      </c>
      <c r="P202">
        <f>IFERROR(IF((Table3[[#This Row],[Revenue before return]]-Table3[[#This Row],[Amount of order  returned]])&lt;0, "N/A", Table3[[#This Row],[Revenue before return]]-Table3[[#This Row],[Amount of order  returned]]), "N/A")</f>
        <v>252000</v>
      </c>
      <c r="Q20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03" spans="1:17" x14ac:dyDescent="0.2">
      <c r="A203" t="s">
        <v>403</v>
      </c>
      <c r="B203" t="s">
        <v>21</v>
      </c>
      <c r="C203" t="s">
        <v>32</v>
      </c>
      <c r="D203" s="6">
        <v>14</v>
      </c>
      <c r="E203" s="5" t="s">
        <v>11</v>
      </c>
      <c r="F203" t="s">
        <v>404</v>
      </c>
      <c r="G203" s="7">
        <v>46065</v>
      </c>
      <c r="H203" s="5">
        <v>0</v>
      </c>
      <c r="I20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03" t="b">
        <f>((ISNUMBER(Table3[[#This Row],[Quantity]]) )* (Table3[[#This Row],[Quantity]]&gt;0))=1</f>
        <v>1</v>
      </c>
      <c r="K203" t="b">
        <f>((Table3[[#This Row],[Quantity]]&gt;=Table3[[#This Row],[Return Qty]])*(ISNUMBER(Table3[[#This Row],[Quantity]])))=1</f>
        <v>1</v>
      </c>
      <c r="L203" t="b">
        <f>ISNUMBER(Table3[[#This Row],[Unit Price]])</f>
        <v>0</v>
      </c>
      <c r="M203" t="b">
        <f>ISNUMBER(Table3[[#This Row],[Order Date]])</f>
        <v>1</v>
      </c>
      <c r="N203" t="str">
        <f>IFERROR(IF(Table3[[#This Row],[Quantity]]*Table3[[#This Row],[Unit Price]]&lt;0, "N/A", Table3[[#This Row],[Quantity]]*Table3[[#This Row],[Unit Price]]), "N/A")</f>
        <v>N/A</v>
      </c>
      <c r="O203" t="str">
        <f>IFERROR(Table3[[#This Row],[Unit Price]]*Table3[[#This Row],[Return Qty]], "N/A")</f>
        <v>N/A</v>
      </c>
      <c r="P203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20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204" spans="1:17" x14ac:dyDescent="0.2">
      <c r="A204" t="s">
        <v>405</v>
      </c>
      <c r="B204" t="s">
        <v>9</v>
      </c>
      <c r="C204" t="s">
        <v>70</v>
      </c>
      <c r="D204" s="6">
        <v>2</v>
      </c>
      <c r="E204" s="5">
        <v>28000</v>
      </c>
      <c r="F204" t="s">
        <v>406</v>
      </c>
      <c r="G204" s="7">
        <v>46140</v>
      </c>
      <c r="H204" s="5">
        <v>0</v>
      </c>
      <c r="I20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04" t="b">
        <f>((ISNUMBER(Table3[[#This Row],[Quantity]]) )* (Table3[[#This Row],[Quantity]]&gt;0))=1</f>
        <v>1</v>
      </c>
      <c r="K204" t="b">
        <f>((Table3[[#This Row],[Quantity]]&gt;=Table3[[#This Row],[Return Qty]])*(ISNUMBER(Table3[[#This Row],[Quantity]])))=1</f>
        <v>1</v>
      </c>
      <c r="L204" t="b">
        <f>ISNUMBER(Table3[[#This Row],[Unit Price]])</f>
        <v>1</v>
      </c>
      <c r="M204" t="b">
        <f>ISNUMBER(Table3[[#This Row],[Order Date]])</f>
        <v>1</v>
      </c>
      <c r="N204">
        <f>IFERROR(IF(Table3[[#This Row],[Quantity]]*Table3[[#This Row],[Unit Price]]&lt;0, "N/A", Table3[[#This Row],[Quantity]]*Table3[[#This Row],[Unit Price]]), "N/A")</f>
        <v>56000</v>
      </c>
      <c r="O204">
        <f>IFERROR(Table3[[#This Row],[Unit Price]]*Table3[[#This Row],[Return Qty]], "N/A")</f>
        <v>0</v>
      </c>
      <c r="P204">
        <f>IFERROR(IF((Table3[[#This Row],[Revenue before return]]-Table3[[#This Row],[Amount of order  returned]])&lt;0, "N/A", Table3[[#This Row],[Revenue before return]]-Table3[[#This Row],[Amount of order  returned]]), "N/A")</f>
        <v>56000</v>
      </c>
      <c r="Q20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05" spans="1:17" x14ac:dyDescent="0.2">
      <c r="A205" t="s">
        <v>407</v>
      </c>
      <c r="B205" t="s">
        <v>21</v>
      </c>
      <c r="C205" t="s">
        <v>45</v>
      </c>
      <c r="D205" s="6">
        <v>12</v>
      </c>
      <c r="E205" s="5">
        <v>20000</v>
      </c>
      <c r="F205" t="s">
        <v>287</v>
      </c>
      <c r="G205" s="7">
        <v>46145</v>
      </c>
      <c r="H205" s="5">
        <v>0</v>
      </c>
      <c r="I20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05" t="b">
        <f>((ISNUMBER(Table3[[#This Row],[Quantity]]) )* (Table3[[#This Row],[Quantity]]&gt;0))=1</f>
        <v>1</v>
      </c>
      <c r="K205" t="b">
        <f>((Table3[[#This Row],[Quantity]]&gt;=Table3[[#This Row],[Return Qty]])*(ISNUMBER(Table3[[#This Row],[Quantity]])))=1</f>
        <v>1</v>
      </c>
      <c r="L205" t="b">
        <f>ISNUMBER(Table3[[#This Row],[Unit Price]])</f>
        <v>1</v>
      </c>
      <c r="M205" t="b">
        <f>ISNUMBER(Table3[[#This Row],[Order Date]])</f>
        <v>1</v>
      </c>
      <c r="N205">
        <f>IFERROR(IF(Table3[[#This Row],[Quantity]]*Table3[[#This Row],[Unit Price]]&lt;0, "N/A", Table3[[#This Row],[Quantity]]*Table3[[#This Row],[Unit Price]]), "N/A")</f>
        <v>240000</v>
      </c>
      <c r="O205">
        <f>IFERROR(Table3[[#This Row],[Unit Price]]*Table3[[#This Row],[Return Qty]], "N/A")</f>
        <v>0</v>
      </c>
      <c r="P205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20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06" spans="1:17" x14ac:dyDescent="0.2">
      <c r="A206" t="s">
        <v>408</v>
      </c>
      <c r="B206" t="s">
        <v>25</v>
      </c>
      <c r="C206" t="s">
        <v>70</v>
      </c>
      <c r="D206" s="6">
        <v>10</v>
      </c>
      <c r="E206" s="5">
        <v>28000</v>
      </c>
      <c r="F206" t="s">
        <v>311</v>
      </c>
      <c r="G206" s="7">
        <v>46093</v>
      </c>
      <c r="H206" s="5">
        <v>0</v>
      </c>
      <c r="I20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06" t="b">
        <f>((ISNUMBER(Table3[[#This Row],[Quantity]]) )* (Table3[[#This Row],[Quantity]]&gt;0))=1</f>
        <v>1</v>
      </c>
      <c r="K206" t="b">
        <f>((Table3[[#This Row],[Quantity]]&gt;=Table3[[#This Row],[Return Qty]])*(ISNUMBER(Table3[[#This Row],[Quantity]])))=1</f>
        <v>1</v>
      </c>
      <c r="L206" t="b">
        <f>ISNUMBER(Table3[[#This Row],[Unit Price]])</f>
        <v>1</v>
      </c>
      <c r="M206" t="b">
        <f>ISNUMBER(Table3[[#This Row],[Order Date]])</f>
        <v>1</v>
      </c>
      <c r="N206">
        <f>IFERROR(IF(Table3[[#This Row],[Quantity]]*Table3[[#This Row],[Unit Price]]&lt;0, "N/A", Table3[[#This Row],[Quantity]]*Table3[[#This Row],[Unit Price]]), "N/A")</f>
        <v>280000</v>
      </c>
      <c r="O206">
        <f>IFERROR(Table3[[#This Row],[Unit Price]]*Table3[[#This Row],[Return Qty]], "N/A")</f>
        <v>0</v>
      </c>
      <c r="P206">
        <f>IFERROR(IF((Table3[[#This Row],[Revenue before return]]-Table3[[#This Row],[Amount of order  returned]])&lt;0, "N/A", Table3[[#This Row],[Revenue before return]]-Table3[[#This Row],[Amount of order  returned]]), "N/A")</f>
        <v>280000</v>
      </c>
      <c r="Q20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07" spans="1:17" x14ac:dyDescent="0.2">
      <c r="A207" t="s">
        <v>409</v>
      </c>
      <c r="B207" t="s">
        <v>9</v>
      </c>
      <c r="C207" t="s">
        <v>26</v>
      </c>
      <c r="D207" s="6">
        <v>22</v>
      </c>
      <c r="E207" s="5">
        <v>20000</v>
      </c>
      <c r="F207" t="s">
        <v>410</v>
      </c>
      <c r="G207" s="7">
        <v>46051</v>
      </c>
      <c r="H207" s="5">
        <v>0</v>
      </c>
      <c r="I20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07" t="b">
        <f>((ISNUMBER(Table3[[#This Row],[Quantity]]) )* (Table3[[#This Row],[Quantity]]&gt;0))=1</f>
        <v>1</v>
      </c>
      <c r="K207" t="b">
        <f>((Table3[[#This Row],[Quantity]]&gt;=Table3[[#This Row],[Return Qty]])*(ISNUMBER(Table3[[#This Row],[Quantity]])))=1</f>
        <v>1</v>
      </c>
      <c r="L207" t="b">
        <f>ISNUMBER(Table3[[#This Row],[Unit Price]])</f>
        <v>1</v>
      </c>
      <c r="M207" t="b">
        <f>ISNUMBER(Table3[[#This Row],[Order Date]])</f>
        <v>1</v>
      </c>
      <c r="N207">
        <f>IFERROR(IF(Table3[[#This Row],[Quantity]]*Table3[[#This Row],[Unit Price]]&lt;0, "N/A", Table3[[#This Row],[Quantity]]*Table3[[#This Row],[Unit Price]]), "N/A")</f>
        <v>440000</v>
      </c>
      <c r="O207">
        <f>IFERROR(Table3[[#This Row],[Unit Price]]*Table3[[#This Row],[Return Qty]], "N/A")</f>
        <v>0</v>
      </c>
      <c r="P207">
        <f>IFERROR(IF((Table3[[#This Row],[Revenue before return]]-Table3[[#This Row],[Amount of order  returned]])&lt;0, "N/A", Table3[[#This Row],[Revenue before return]]-Table3[[#This Row],[Amount of order  returned]]), "N/A")</f>
        <v>440000</v>
      </c>
      <c r="Q20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08" spans="1:17" x14ac:dyDescent="0.2">
      <c r="A208" t="s">
        <v>411</v>
      </c>
      <c r="B208" t="s">
        <v>9</v>
      </c>
      <c r="C208" t="s">
        <v>39</v>
      </c>
      <c r="D208" s="6">
        <v>8</v>
      </c>
      <c r="E208" s="5">
        <v>12000</v>
      </c>
      <c r="F208" t="s">
        <v>412</v>
      </c>
      <c r="G208" s="7">
        <v>46124</v>
      </c>
      <c r="H208" s="5">
        <v>2</v>
      </c>
      <c r="I20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08" t="b">
        <f>((ISNUMBER(Table3[[#This Row],[Quantity]]) )* (Table3[[#This Row],[Quantity]]&gt;0))=1</f>
        <v>1</v>
      </c>
      <c r="K208" t="b">
        <f>((Table3[[#This Row],[Quantity]]&gt;=Table3[[#This Row],[Return Qty]])*(ISNUMBER(Table3[[#This Row],[Quantity]])))=1</f>
        <v>1</v>
      </c>
      <c r="L208" t="b">
        <f>ISNUMBER(Table3[[#This Row],[Unit Price]])</f>
        <v>1</v>
      </c>
      <c r="M208" t="b">
        <f>ISNUMBER(Table3[[#This Row],[Order Date]])</f>
        <v>1</v>
      </c>
      <c r="N208">
        <f>IFERROR(IF(Table3[[#This Row],[Quantity]]*Table3[[#This Row],[Unit Price]]&lt;0, "N/A", Table3[[#This Row],[Quantity]]*Table3[[#This Row],[Unit Price]]), "N/A")</f>
        <v>96000</v>
      </c>
      <c r="O208">
        <f>IFERROR(Table3[[#This Row],[Unit Price]]*Table3[[#This Row],[Return Qty]], "N/A")</f>
        <v>24000</v>
      </c>
      <c r="P208">
        <f>IFERROR(IF((Table3[[#This Row],[Revenue before return]]-Table3[[#This Row],[Amount of order  returned]])&lt;0, "N/A", Table3[[#This Row],[Revenue before return]]-Table3[[#This Row],[Amount of order  returned]]), "N/A")</f>
        <v>72000</v>
      </c>
      <c r="Q20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09" spans="1:17" x14ac:dyDescent="0.2">
      <c r="A209" t="s">
        <v>413</v>
      </c>
      <c r="B209" t="s">
        <v>21</v>
      </c>
      <c r="C209" t="s">
        <v>10</v>
      </c>
      <c r="D209" s="6">
        <v>22</v>
      </c>
      <c r="E209" s="5">
        <v>15000</v>
      </c>
      <c r="F209" t="s">
        <v>414</v>
      </c>
      <c r="G209" s="7">
        <v>46050</v>
      </c>
      <c r="H209" s="5">
        <v>4</v>
      </c>
      <c r="I20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09" t="b">
        <f>((ISNUMBER(Table3[[#This Row],[Quantity]]) )* (Table3[[#This Row],[Quantity]]&gt;0))=1</f>
        <v>1</v>
      </c>
      <c r="K209" t="b">
        <f>((Table3[[#This Row],[Quantity]]&gt;=Table3[[#This Row],[Return Qty]])*(ISNUMBER(Table3[[#This Row],[Quantity]])))=1</f>
        <v>1</v>
      </c>
      <c r="L209" t="b">
        <f>ISNUMBER(Table3[[#This Row],[Unit Price]])</f>
        <v>1</v>
      </c>
      <c r="M209" t="b">
        <f>ISNUMBER(Table3[[#This Row],[Order Date]])</f>
        <v>1</v>
      </c>
      <c r="N209">
        <f>IFERROR(IF(Table3[[#This Row],[Quantity]]*Table3[[#This Row],[Unit Price]]&lt;0, "N/A", Table3[[#This Row],[Quantity]]*Table3[[#This Row],[Unit Price]]), "N/A")</f>
        <v>330000</v>
      </c>
      <c r="O209">
        <f>IFERROR(Table3[[#This Row],[Unit Price]]*Table3[[#This Row],[Return Qty]], "N/A")</f>
        <v>60000</v>
      </c>
      <c r="P209">
        <f>IFERROR(IF((Table3[[#This Row],[Revenue before return]]-Table3[[#This Row],[Amount of order  returned]])&lt;0, "N/A", Table3[[#This Row],[Revenue before return]]-Table3[[#This Row],[Amount of order  returned]]), "N/A")</f>
        <v>270000</v>
      </c>
      <c r="Q20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10" spans="1:17" x14ac:dyDescent="0.2">
      <c r="A210" t="s">
        <v>415</v>
      </c>
      <c r="B210" t="s">
        <v>14</v>
      </c>
      <c r="C210" t="s">
        <v>26</v>
      </c>
      <c r="D210" s="6">
        <v>1</v>
      </c>
      <c r="E210" s="5">
        <v>20000</v>
      </c>
      <c r="F210" t="s">
        <v>416</v>
      </c>
      <c r="G210" s="7">
        <v>46046</v>
      </c>
      <c r="H210" s="5">
        <v>0</v>
      </c>
      <c r="I21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10" t="b">
        <f>((ISNUMBER(Table3[[#This Row],[Quantity]]) )* (Table3[[#This Row],[Quantity]]&gt;0))=1</f>
        <v>1</v>
      </c>
      <c r="K210" t="b">
        <f>((Table3[[#This Row],[Quantity]]&gt;=Table3[[#This Row],[Return Qty]])*(ISNUMBER(Table3[[#This Row],[Quantity]])))=1</f>
        <v>1</v>
      </c>
      <c r="L210" t="b">
        <f>ISNUMBER(Table3[[#This Row],[Unit Price]])</f>
        <v>1</v>
      </c>
      <c r="M210" t="b">
        <f>ISNUMBER(Table3[[#This Row],[Order Date]])</f>
        <v>1</v>
      </c>
      <c r="N210">
        <f>IFERROR(IF(Table3[[#This Row],[Quantity]]*Table3[[#This Row],[Unit Price]]&lt;0, "N/A", Table3[[#This Row],[Quantity]]*Table3[[#This Row],[Unit Price]]), "N/A")</f>
        <v>20000</v>
      </c>
      <c r="O210">
        <f>IFERROR(Table3[[#This Row],[Unit Price]]*Table3[[#This Row],[Return Qty]], "N/A")</f>
        <v>0</v>
      </c>
      <c r="P210">
        <f>IFERROR(IF((Table3[[#This Row],[Revenue before return]]-Table3[[#This Row],[Amount of order  returned]])&lt;0, "N/A", Table3[[#This Row],[Revenue before return]]-Table3[[#This Row],[Amount of order  returned]]), "N/A")</f>
        <v>20000</v>
      </c>
      <c r="Q21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11" spans="1:17" x14ac:dyDescent="0.2">
      <c r="A211" t="s">
        <v>417</v>
      </c>
      <c r="B211" t="s">
        <v>25</v>
      </c>
      <c r="C211" t="s">
        <v>26</v>
      </c>
      <c r="D211" s="6">
        <v>10</v>
      </c>
      <c r="E211" s="5">
        <v>20000</v>
      </c>
      <c r="F211" t="s">
        <v>419</v>
      </c>
      <c r="G211" s="7">
        <v>46147</v>
      </c>
      <c r="H211" s="5">
        <v>0</v>
      </c>
      <c r="I21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11" t="b">
        <f>((ISNUMBER(Table3[[#This Row],[Quantity]]) )* (Table3[[#This Row],[Quantity]]&gt;0))=1</f>
        <v>1</v>
      </c>
      <c r="K211" t="b">
        <f>((Table3[[#This Row],[Quantity]]&gt;=Table3[[#This Row],[Return Qty]])*(ISNUMBER(Table3[[#This Row],[Quantity]])))=1</f>
        <v>1</v>
      </c>
      <c r="L211" t="b">
        <f>ISNUMBER(Table3[[#This Row],[Unit Price]])</f>
        <v>1</v>
      </c>
      <c r="M211" t="b">
        <f>ISNUMBER(Table3[[#This Row],[Order Date]])</f>
        <v>1</v>
      </c>
      <c r="N211">
        <f>IFERROR(IF(Table3[[#This Row],[Quantity]]*Table3[[#This Row],[Unit Price]]&lt;0, "N/A", Table3[[#This Row],[Quantity]]*Table3[[#This Row],[Unit Price]]), "N/A")</f>
        <v>200000</v>
      </c>
      <c r="O211">
        <f>IFERROR(Table3[[#This Row],[Unit Price]]*Table3[[#This Row],[Return Qty]], "N/A")</f>
        <v>0</v>
      </c>
      <c r="P211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21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12" spans="1:17" x14ac:dyDescent="0.2">
      <c r="A212" t="s">
        <v>420</v>
      </c>
      <c r="B212" t="s">
        <v>25</v>
      </c>
      <c r="C212" t="s">
        <v>45</v>
      </c>
      <c r="D212" s="6">
        <v>-1</v>
      </c>
      <c r="E212" s="5">
        <v>20000</v>
      </c>
      <c r="F212" t="s">
        <v>232</v>
      </c>
      <c r="G212" s="7">
        <v>46120</v>
      </c>
      <c r="H212" s="5">
        <v>0</v>
      </c>
      <c r="I21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12" t="b">
        <f>((ISNUMBER(Table3[[#This Row],[Quantity]]) )* (Table3[[#This Row],[Quantity]]&gt;0))=1</f>
        <v>0</v>
      </c>
      <c r="K212" t="b">
        <f>((Table3[[#This Row],[Quantity]]&gt;=Table3[[#This Row],[Return Qty]])*(ISNUMBER(Table3[[#This Row],[Quantity]])))=1</f>
        <v>0</v>
      </c>
      <c r="L212" t="b">
        <f>ISNUMBER(Table3[[#This Row],[Unit Price]])</f>
        <v>1</v>
      </c>
      <c r="M212" t="b">
        <f>ISNUMBER(Table3[[#This Row],[Order Date]])</f>
        <v>1</v>
      </c>
      <c r="N212" t="str">
        <f>IFERROR(IF(Table3[[#This Row],[Quantity]]*Table3[[#This Row],[Unit Price]]&lt;0, "N/A", Table3[[#This Row],[Quantity]]*Table3[[#This Row],[Unit Price]]), "N/A")</f>
        <v>N/A</v>
      </c>
      <c r="O212">
        <f>IFERROR(Table3[[#This Row],[Unit Price]]*Table3[[#This Row],[Return Qty]], "N/A")</f>
        <v>0</v>
      </c>
      <c r="P212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21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213" spans="1:17" x14ac:dyDescent="0.2">
      <c r="A213" t="s">
        <v>421</v>
      </c>
      <c r="B213" t="s">
        <v>9</v>
      </c>
      <c r="C213" t="s">
        <v>45</v>
      </c>
      <c r="D213" s="6">
        <v>8</v>
      </c>
      <c r="E213" s="5">
        <v>20000</v>
      </c>
      <c r="F213" t="s">
        <v>331</v>
      </c>
      <c r="G213" s="7">
        <v>46029</v>
      </c>
      <c r="H213" s="5">
        <v>0</v>
      </c>
      <c r="I21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13" t="b">
        <f>((ISNUMBER(Table3[[#This Row],[Quantity]]) )* (Table3[[#This Row],[Quantity]]&gt;0))=1</f>
        <v>1</v>
      </c>
      <c r="K213" t="b">
        <f>((Table3[[#This Row],[Quantity]]&gt;=Table3[[#This Row],[Return Qty]])*(ISNUMBER(Table3[[#This Row],[Quantity]])))=1</f>
        <v>1</v>
      </c>
      <c r="L213" t="b">
        <f>ISNUMBER(Table3[[#This Row],[Unit Price]])</f>
        <v>1</v>
      </c>
      <c r="M213" t="b">
        <f>ISNUMBER(Table3[[#This Row],[Order Date]])</f>
        <v>1</v>
      </c>
      <c r="N213">
        <f>IFERROR(IF(Table3[[#This Row],[Quantity]]*Table3[[#This Row],[Unit Price]]&lt;0, "N/A", Table3[[#This Row],[Quantity]]*Table3[[#This Row],[Unit Price]]), "N/A")</f>
        <v>160000</v>
      </c>
      <c r="O213">
        <f>IFERROR(Table3[[#This Row],[Unit Price]]*Table3[[#This Row],[Return Qty]], "N/A")</f>
        <v>0</v>
      </c>
      <c r="P213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21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14" spans="1:17" x14ac:dyDescent="0.2">
      <c r="A214" t="s">
        <v>422</v>
      </c>
      <c r="B214" t="s">
        <v>25</v>
      </c>
      <c r="C214" t="s">
        <v>70</v>
      </c>
      <c r="D214" s="6">
        <v>8</v>
      </c>
      <c r="E214" s="5">
        <v>28000</v>
      </c>
      <c r="F214" t="s">
        <v>261</v>
      </c>
      <c r="G214" s="7">
        <v>46141</v>
      </c>
      <c r="H214" s="5">
        <v>3</v>
      </c>
      <c r="I21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14" t="b">
        <f>((ISNUMBER(Table3[[#This Row],[Quantity]]) )* (Table3[[#This Row],[Quantity]]&gt;0))=1</f>
        <v>1</v>
      </c>
      <c r="K214" t="b">
        <f>((Table3[[#This Row],[Quantity]]&gt;=Table3[[#This Row],[Return Qty]])*(ISNUMBER(Table3[[#This Row],[Quantity]])))=1</f>
        <v>1</v>
      </c>
      <c r="L214" t="b">
        <f>ISNUMBER(Table3[[#This Row],[Unit Price]])</f>
        <v>1</v>
      </c>
      <c r="M214" t="b">
        <f>ISNUMBER(Table3[[#This Row],[Order Date]])</f>
        <v>1</v>
      </c>
      <c r="N214">
        <f>IFERROR(IF(Table3[[#This Row],[Quantity]]*Table3[[#This Row],[Unit Price]]&lt;0, "N/A", Table3[[#This Row],[Quantity]]*Table3[[#This Row],[Unit Price]]), "N/A")</f>
        <v>224000</v>
      </c>
      <c r="O214">
        <f>IFERROR(Table3[[#This Row],[Unit Price]]*Table3[[#This Row],[Return Qty]], "N/A")</f>
        <v>84000</v>
      </c>
      <c r="P214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21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15" spans="1:17" x14ac:dyDescent="0.2">
      <c r="A215" t="s">
        <v>423</v>
      </c>
      <c r="B215" t="s">
        <v>25</v>
      </c>
      <c r="C215" t="s">
        <v>22</v>
      </c>
      <c r="D215" s="6">
        <v>16</v>
      </c>
      <c r="E215" s="5">
        <v>35000</v>
      </c>
      <c r="F215" t="s">
        <v>424</v>
      </c>
      <c r="G215" s="7">
        <v>46128</v>
      </c>
      <c r="H215" s="5">
        <v>0</v>
      </c>
      <c r="I21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15" t="b">
        <f>((ISNUMBER(Table3[[#This Row],[Quantity]]) )* (Table3[[#This Row],[Quantity]]&gt;0))=1</f>
        <v>1</v>
      </c>
      <c r="K215" t="b">
        <f>((Table3[[#This Row],[Quantity]]&gt;=Table3[[#This Row],[Return Qty]])*(ISNUMBER(Table3[[#This Row],[Quantity]])))=1</f>
        <v>1</v>
      </c>
      <c r="L215" t="b">
        <f>ISNUMBER(Table3[[#This Row],[Unit Price]])</f>
        <v>1</v>
      </c>
      <c r="M215" t="b">
        <f>ISNUMBER(Table3[[#This Row],[Order Date]])</f>
        <v>1</v>
      </c>
      <c r="N215">
        <f>IFERROR(IF(Table3[[#This Row],[Quantity]]*Table3[[#This Row],[Unit Price]]&lt;0, "N/A", Table3[[#This Row],[Quantity]]*Table3[[#This Row],[Unit Price]]), "N/A")</f>
        <v>560000</v>
      </c>
      <c r="O215">
        <f>IFERROR(Table3[[#This Row],[Unit Price]]*Table3[[#This Row],[Return Qty]], "N/A")</f>
        <v>0</v>
      </c>
      <c r="P215">
        <f>IFERROR(IF((Table3[[#This Row],[Revenue before return]]-Table3[[#This Row],[Amount of order  returned]])&lt;0, "N/A", Table3[[#This Row],[Revenue before return]]-Table3[[#This Row],[Amount of order  returned]]), "N/A")</f>
        <v>560000</v>
      </c>
      <c r="Q21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16" spans="1:17" x14ac:dyDescent="0.2">
      <c r="A216" t="s">
        <v>425</v>
      </c>
      <c r="B216" t="s">
        <v>426</v>
      </c>
      <c r="C216" t="s">
        <v>22</v>
      </c>
      <c r="D216" s="6">
        <v>22</v>
      </c>
      <c r="E216" s="5">
        <v>35000</v>
      </c>
      <c r="F216" t="s">
        <v>228</v>
      </c>
      <c r="G216" s="7">
        <v>46139</v>
      </c>
      <c r="H216" s="5">
        <v>0</v>
      </c>
      <c r="I21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16" t="b">
        <f>((ISNUMBER(Table3[[#This Row],[Quantity]]) )* (Table3[[#This Row],[Quantity]]&gt;0))=1</f>
        <v>1</v>
      </c>
      <c r="K216" t="b">
        <f>((Table3[[#This Row],[Quantity]]&gt;=Table3[[#This Row],[Return Qty]])*(ISNUMBER(Table3[[#This Row],[Quantity]])))=1</f>
        <v>1</v>
      </c>
      <c r="L216" t="b">
        <f>ISNUMBER(Table3[[#This Row],[Unit Price]])</f>
        <v>1</v>
      </c>
      <c r="M216" t="b">
        <f>ISNUMBER(Table3[[#This Row],[Order Date]])</f>
        <v>1</v>
      </c>
      <c r="N216">
        <f>IFERROR(IF(Table3[[#This Row],[Quantity]]*Table3[[#This Row],[Unit Price]]&lt;0, "N/A", Table3[[#This Row],[Quantity]]*Table3[[#This Row],[Unit Price]]), "N/A")</f>
        <v>770000</v>
      </c>
      <c r="O216">
        <f>IFERROR(Table3[[#This Row],[Unit Price]]*Table3[[#This Row],[Return Qty]], "N/A")</f>
        <v>0</v>
      </c>
      <c r="P216">
        <f>IFERROR(IF((Table3[[#This Row],[Revenue before return]]-Table3[[#This Row],[Amount of order  returned]])&lt;0, "N/A", Table3[[#This Row],[Revenue before return]]-Table3[[#This Row],[Amount of order  returned]]), "N/A")</f>
        <v>770000</v>
      </c>
      <c r="Q21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17" spans="1:17" x14ac:dyDescent="0.2">
      <c r="A217" t="s">
        <v>427</v>
      </c>
      <c r="B217" t="s">
        <v>9</v>
      </c>
      <c r="C217" t="s">
        <v>45</v>
      </c>
      <c r="D217" s="6">
        <v>9</v>
      </c>
      <c r="E217" s="5">
        <v>20000</v>
      </c>
      <c r="F217" t="s">
        <v>428</v>
      </c>
      <c r="G217" s="7">
        <v>46123</v>
      </c>
      <c r="H217" s="5">
        <v>0</v>
      </c>
      <c r="I21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17" t="b">
        <f>((ISNUMBER(Table3[[#This Row],[Quantity]]) )* (Table3[[#This Row],[Quantity]]&gt;0))=1</f>
        <v>1</v>
      </c>
      <c r="K217" t="b">
        <f>((Table3[[#This Row],[Quantity]]&gt;=Table3[[#This Row],[Return Qty]])*(ISNUMBER(Table3[[#This Row],[Quantity]])))=1</f>
        <v>1</v>
      </c>
      <c r="L217" t="b">
        <f>ISNUMBER(Table3[[#This Row],[Unit Price]])</f>
        <v>1</v>
      </c>
      <c r="M217" t="b">
        <f>ISNUMBER(Table3[[#This Row],[Order Date]])</f>
        <v>1</v>
      </c>
      <c r="N217">
        <f>IFERROR(IF(Table3[[#This Row],[Quantity]]*Table3[[#This Row],[Unit Price]]&lt;0, "N/A", Table3[[#This Row],[Quantity]]*Table3[[#This Row],[Unit Price]]), "N/A")</f>
        <v>180000</v>
      </c>
      <c r="O217">
        <f>IFERROR(Table3[[#This Row],[Unit Price]]*Table3[[#This Row],[Return Qty]], "N/A")</f>
        <v>0</v>
      </c>
      <c r="P217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21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18" spans="1:17" x14ac:dyDescent="0.2">
      <c r="A218" t="s">
        <v>429</v>
      </c>
      <c r="B218" t="s">
        <v>25</v>
      </c>
      <c r="C218" t="s">
        <v>70</v>
      </c>
      <c r="D218" s="6">
        <v>13</v>
      </c>
      <c r="E218" s="5">
        <v>28000</v>
      </c>
      <c r="F218" t="s">
        <v>280</v>
      </c>
      <c r="G218" s="7">
        <v>46077</v>
      </c>
      <c r="H218" s="5">
        <v>0</v>
      </c>
      <c r="I21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18" t="b">
        <f>((ISNUMBER(Table3[[#This Row],[Quantity]]) )* (Table3[[#This Row],[Quantity]]&gt;0))=1</f>
        <v>1</v>
      </c>
      <c r="K218" t="b">
        <f>((Table3[[#This Row],[Quantity]]&gt;=Table3[[#This Row],[Return Qty]])*(ISNUMBER(Table3[[#This Row],[Quantity]])))=1</f>
        <v>1</v>
      </c>
      <c r="L218" t="b">
        <f>ISNUMBER(Table3[[#This Row],[Unit Price]])</f>
        <v>1</v>
      </c>
      <c r="M218" t="b">
        <f>ISNUMBER(Table3[[#This Row],[Order Date]])</f>
        <v>1</v>
      </c>
      <c r="N218">
        <f>IFERROR(IF(Table3[[#This Row],[Quantity]]*Table3[[#This Row],[Unit Price]]&lt;0, "N/A", Table3[[#This Row],[Quantity]]*Table3[[#This Row],[Unit Price]]), "N/A")</f>
        <v>364000</v>
      </c>
      <c r="O218">
        <f>IFERROR(Table3[[#This Row],[Unit Price]]*Table3[[#This Row],[Return Qty]], "N/A")</f>
        <v>0</v>
      </c>
      <c r="P218">
        <f>IFERROR(IF((Table3[[#This Row],[Revenue before return]]-Table3[[#This Row],[Amount of order  returned]])&lt;0, "N/A", Table3[[#This Row],[Revenue before return]]-Table3[[#This Row],[Amount of order  returned]]), "N/A")</f>
        <v>364000</v>
      </c>
      <c r="Q21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19" spans="1:17" x14ac:dyDescent="0.2">
      <c r="A219" t="s">
        <v>430</v>
      </c>
      <c r="B219" t="s">
        <v>25</v>
      </c>
      <c r="C219" t="s">
        <v>18</v>
      </c>
      <c r="D219" s="6">
        <v>21</v>
      </c>
      <c r="E219" s="5">
        <v>50000</v>
      </c>
      <c r="F219" t="s">
        <v>431</v>
      </c>
      <c r="G219" s="7">
        <v>46094</v>
      </c>
      <c r="H219" s="5">
        <v>0</v>
      </c>
      <c r="I21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19" t="b">
        <f>((ISNUMBER(Table3[[#This Row],[Quantity]]) )* (Table3[[#This Row],[Quantity]]&gt;0))=1</f>
        <v>1</v>
      </c>
      <c r="K219" t="b">
        <f>((Table3[[#This Row],[Quantity]]&gt;=Table3[[#This Row],[Return Qty]])*(ISNUMBER(Table3[[#This Row],[Quantity]])))=1</f>
        <v>1</v>
      </c>
      <c r="L219" t="b">
        <f>ISNUMBER(Table3[[#This Row],[Unit Price]])</f>
        <v>1</v>
      </c>
      <c r="M219" t="b">
        <f>ISNUMBER(Table3[[#This Row],[Order Date]])</f>
        <v>1</v>
      </c>
      <c r="N219">
        <f>IFERROR(IF(Table3[[#This Row],[Quantity]]*Table3[[#This Row],[Unit Price]]&lt;0, "N/A", Table3[[#This Row],[Quantity]]*Table3[[#This Row],[Unit Price]]), "N/A")</f>
        <v>1050000</v>
      </c>
      <c r="O219">
        <f>IFERROR(Table3[[#This Row],[Unit Price]]*Table3[[#This Row],[Return Qty]], "N/A")</f>
        <v>0</v>
      </c>
      <c r="P219">
        <f>IFERROR(IF((Table3[[#This Row],[Revenue before return]]-Table3[[#This Row],[Amount of order  returned]])&lt;0, "N/A", Table3[[#This Row],[Revenue before return]]-Table3[[#This Row],[Amount of order  returned]]), "N/A")</f>
        <v>1050000</v>
      </c>
      <c r="Q21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20" spans="1:17" x14ac:dyDescent="0.2">
      <c r="A220" t="s">
        <v>432</v>
      </c>
      <c r="B220" t="s">
        <v>21</v>
      </c>
      <c r="C220" t="s">
        <v>39</v>
      </c>
      <c r="D220" s="6">
        <v>4</v>
      </c>
      <c r="E220" s="5">
        <v>12000</v>
      </c>
      <c r="F220" t="s">
        <v>132</v>
      </c>
      <c r="G220" s="7">
        <v>46180</v>
      </c>
      <c r="H220" s="5">
        <v>1</v>
      </c>
      <c r="I22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20" t="b">
        <f>((ISNUMBER(Table3[[#This Row],[Quantity]]) )* (Table3[[#This Row],[Quantity]]&gt;0))=1</f>
        <v>1</v>
      </c>
      <c r="K220" t="b">
        <f>((Table3[[#This Row],[Quantity]]&gt;=Table3[[#This Row],[Return Qty]])*(ISNUMBER(Table3[[#This Row],[Quantity]])))=1</f>
        <v>1</v>
      </c>
      <c r="L220" t="b">
        <f>ISNUMBER(Table3[[#This Row],[Unit Price]])</f>
        <v>1</v>
      </c>
      <c r="M220" t="b">
        <f>ISNUMBER(Table3[[#This Row],[Order Date]])</f>
        <v>1</v>
      </c>
      <c r="N220">
        <f>IFERROR(IF(Table3[[#This Row],[Quantity]]*Table3[[#This Row],[Unit Price]]&lt;0, "N/A", Table3[[#This Row],[Quantity]]*Table3[[#This Row],[Unit Price]]), "N/A")</f>
        <v>48000</v>
      </c>
      <c r="O220">
        <f>IFERROR(Table3[[#This Row],[Unit Price]]*Table3[[#This Row],[Return Qty]], "N/A")</f>
        <v>12000</v>
      </c>
      <c r="P220">
        <f>IFERROR(IF((Table3[[#This Row],[Revenue before return]]-Table3[[#This Row],[Amount of order  returned]])&lt;0, "N/A", Table3[[#This Row],[Revenue before return]]-Table3[[#This Row],[Amount of order  returned]]), "N/A")</f>
        <v>36000</v>
      </c>
      <c r="Q22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21" spans="1:17" x14ac:dyDescent="0.2">
      <c r="A221" t="s">
        <v>434</v>
      </c>
      <c r="B221" t="s">
        <v>14</v>
      </c>
      <c r="C221" t="s">
        <v>39</v>
      </c>
      <c r="D221" s="6">
        <v>5</v>
      </c>
      <c r="E221" s="5">
        <v>12000</v>
      </c>
      <c r="F221" t="s">
        <v>419</v>
      </c>
      <c r="G221" s="7">
        <v>46056</v>
      </c>
      <c r="H221" s="5">
        <v>0</v>
      </c>
      <c r="I22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21" t="b">
        <f>((ISNUMBER(Table3[[#This Row],[Quantity]]) )* (Table3[[#This Row],[Quantity]]&gt;0))=1</f>
        <v>1</v>
      </c>
      <c r="K221" t="b">
        <f>((Table3[[#This Row],[Quantity]]&gt;=Table3[[#This Row],[Return Qty]])*(ISNUMBER(Table3[[#This Row],[Quantity]])))=1</f>
        <v>1</v>
      </c>
      <c r="L221" t="b">
        <f>ISNUMBER(Table3[[#This Row],[Unit Price]])</f>
        <v>1</v>
      </c>
      <c r="M221" t="b">
        <f>ISNUMBER(Table3[[#This Row],[Order Date]])</f>
        <v>1</v>
      </c>
      <c r="N221">
        <f>IFERROR(IF(Table3[[#This Row],[Quantity]]*Table3[[#This Row],[Unit Price]]&lt;0, "N/A", Table3[[#This Row],[Quantity]]*Table3[[#This Row],[Unit Price]]), "N/A")</f>
        <v>60000</v>
      </c>
      <c r="O221">
        <f>IFERROR(Table3[[#This Row],[Unit Price]]*Table3[[#This Row],[Return Qty]], "N/A")</f>
        <v>0</v>
      </c>
      <c r="P221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22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22" spans="1:17" x14ac:dyDescent="0.2">
      <c r="A222" t="s">
        <v>435</v>
      </c>
      <c r="B222" t="s">
        <v>21</v>
      </c>
      <c r="C222" t="s">
        <v>70</v>
      </c>
      <c r="D222" s="6">
        <v>23</v>
      </c>
      <c r="E222" s="5">
        <v>28000</v>
      </c>
      <c r="F222" t="s">
        <v>108</v>
      </c>
      <c r="G222" s="7">
        <v>46202</v>
      </c>
      <c r="H222" s="5">
        <v>0</v>
      </c>
      <c r="I22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22" t="b">
        <f>((ISNUMBER(Table3[[#This Row],[Quantity]]) )* (Table3[[#This Row],[Quantity]]&gt;0))=1</f>
        <v>1</v>
      </c>
      <c r="K222" t="b">
        <f>((Table3[[#This Row],[Quantity]]&gt;=Table3[[#This Row],[Return Qty]])*(ISNUMBER(Table3[[#This Row],[Quantity]])))=1</f>
        <v>1</v>
      </c>
      <c r="L222" t="b">
        <f>ISNUMBER(Table3[[#This Row],[Unit Price]])</f>
        <v>1</v>
      </c>
      <c r="M222" t="b">
        <f>ISNUMBER(Table3[[#This Row],[Order Date]])</f>
        <v>1</v>
      </c>
      <c r="N222">
        <f>IFERROR(IF(Table3[[#This Row],[Quantity]]*Table3[[#This Row],[Unit Price]]&lt;0, "N/A", Table3[[#This Row],[Quantity]]*Table3[[#This Row],[Unit Price]]), "N/A")</f>
        <v>644000</v>
      </c>
      <c r="O222">
        <f>IFERROR(Table3[[#This Row],[Unit Price]]*Table3[[#This Row],[Return Qty]], "N/A")</f>
        <v>0</v>
      </c>
      <c r="P222">
        <f>IFERROR(IF((Table3[[#This Row],[Revenue before return]]-Table3[[#This Row],[Amount of order  returned]])&lt;0, "N/A", Table3[[#This Row],[Revenue before return]]-Table3[[#This Row],[Amount of order  returned]]), "N/A")</f>
        <v>644000</v>
      </c>
      <c r="Q22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23" spans="1:17" x14ac:dyDescent="0.2">
      <c r="A223" t="s">
        <v>436</v>
      </c>
      <c r="B223" t="s">
        <v>25</v>
      </c>
      <c r="C223" t="s">
        <v>70</v>
      </c>
      <c r="D223" s="6">
        <v>4</v>
      </c>
      <c r="E223" s="5">
        <v>28000</v>
      </c>
      <c r="F223" t="s">
        <v>437</v>
      </c>
      <c r="G223" s="7">
        <v>46160</v>
      </c>
      <c r="H223" s="5">
        <v>2</v>
      </c>
      <c r="I22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23" t="b">
        <f>((ISNUMBER(Table3[[#This Row],[Quantity]]) )* (Table3[[#This Row],[Quantity]]&gt;0))=1</f>
        <v>1</v>
      </c>
      <c r="K223" t="b">
        <f>((Table3[[#This Row],[Quantity]]&gt;=Table3[[#This Row],[Return Qty]])*(ISNUMBER(Table3[[#This Row],[Quantity]])))=1</f>
        <v>1</v>
      </c>
      <c r="L223" t="b">
        <f>ISNUMBER(Table3[[#This Row],[Unit Price]])</f>
        <v>1</v>
      </c>
      <c r="M223" t="b">
        <f>ISNUMBER(Table3[[#This Row],[Order Date]])</f>
        <v>1</v>
      </c>
      <c r="N223">
        <f>IFERROR(IF(Table3[[#This Row],[Quantity]]*Table3[[#This Row],[Unit Price]]&lt;0, "N/A", Table3[[#This Row],[Quantity]]*Table3[[#This Row],[Unit Price]]), "N/A")</f>
        <v>112000</v>
      </c>
      <c r="O223">
        <f>IFERROR(Table3[[#This Row],[Unit Price]]*Table3[[#This Row],[Return Qty]], "N/A")</f>
        <v>56000</v>
      </c>
      <c r="P223">
        <f>IFERROR(IF((Table3[[#This Row],[Revenue before return]]-Table3[[#This Row],[Amount of order  returned]])&lt;0, "N/A", Table3[[#This Row],[Revenue before return]]-Table3[[#This Row],[Amount of order  returned]]), "N/A")</f>
        <v>56000</v>
      </c>
      <c r="Q22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24" spans="1:17" x14ac:dyDescent="0.2">
      <c r="A224" t="s">
        <v>438</v>
      </c>
      <c r="B224" t="s">
        <v>9</v>
      </c>
      <c r="C224" t="s">
        <v>10</v>
      </c>
      <c r="D224" s="6">
        <v>7</v>
      </c>
      <c r="E224" s="5">
        <v>15000</v>
      </c>
      <c r="F224" t="s">
        <v>190</v>
      </c>
      <c r="G224" s="7">
        <v>46048</v>
      </c>
      <c r="H224" s="5">
        <v>0</v>
      </c>
      <c r="I22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24" t="b">
        <f>((ISNUMBER(Table3[[#This Row],[Quantity]]) )* (Table3[[#This Row],[Quantity]]&gt;0))=1</f>
        <v>1</v>
      </c>
      <c r="K224" t="b">
        <f>((Table3[[#This Row],[Quantity]]&gt;=Table3[[#This Row],[Return Qty]])*(ISNUMBER(Table3[[#This Row],[Quantity]])))=1</f>
        <v>1</v>
      </c>
      <c r="L224" t="b">
        <f>ISNUMBER(Table3[[#This Row],[Unit Price]])</f>
        <v>1</v>
      </c>
      <c r="M224" t="b">
        <f>ISNUMBER(Table3[[#This Row],[Order Date]])</f>
        <v>1</v>
      </c>
      <c r="N224">
        <f>IFERROR(IF(Table3[[#This Row],[Quantity]]*Table3[[#This Row],[Unit Price]]&lt;0, "N/A", Table3[[#This Row],[Quantity]]*Table3[[#This Row],[Unit Price]]), "N/A")</f>
        <v>105000</v>
      </c>
      <c r="O224">
        <f>IFERROR(Table3[[#This Row],[Unit Price]]*Table3[[#This Row],[Return Qty]], "N/A")</f>
        <v>0</v>
      </c>
      <c r="P224">
        <f>IFERROR(IF((Table3[[#This Row],[Revenue before return]]-Table3[[#This Row],[Amount of order  returned]])&lt;0, "N/A", Table3[[#This Row],[Revenue before return]]-Table3[[#This Row],[Amount of order  returned]]), "N/A")</f>
        <v>105000</v>
      </c>
      <c r="Q22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25" spans="1:17" x14ac:dyDescent="0.2">
      <c r="A225" t="s">
        <v>440</v>
      </c>
      <c r="B225" t="s">
        <v>21</v>
      </c>
      <c r="C225" t="s">
        <v>39</v>
      </c>
      <c r="D225" s="6">
        <v>20</v>
      </c>
      <c r="E225" s="5">
        <v>36000</v>
      </c>
      <c r="F225" t="s">
        <v>441</v>
      </c>
      <c r="G225" s="7">
        <v>46118</v>
      </c>
      <c r="H225" s="5">
        <v>23</v>
      </c>
      <c r="I22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25" t="b">
        <f>((ISNUMBER(Table3[[#This Row],[Quantity]]) )* (Table3[[#This Row],[Quantity]]&gt;0))=1</f>
        <v>1</v>
      </c>
      <c r="K225" t="b">
        <f>((Table3[[#This Row],[Quantity]]&gt;=Table3[[#This Row],[Return Qty]])*(ISNUMBER(Table3[[#This Row],[Quantity]])))=1</f>
        <v>0</v>
      </c>
      <c r="L225" t="b">
        <f>ISNUMBER(Table3[[#This Row],[Unit Price]])</f>
        <v>1</v>
      </c>
      <c r="M225" t="b">
        <f>ISNUMBER(Table3[[#This Row],[Order Date]])</f>
        <v>1</v>
      </c>
      <c r="N225">
        <f>IFERROR(IF(Table3[[#This Row],[Quantity]]*Table3[[#This Row],[Unit Price]]&lt;0, "N/A", Table3[[#This Row],[Quantity]]*Table3[[#This Row],[Unit Price]]), "N/A")</f>
        <v>720000</v>
      </c>
      <c r="O225">
        <f>IFERROR(Table3[[#This Row],[Unit Price]]*Table3[[#This Row],[Return Qty]], "N/A")</f>
        <v>828000</v>
      </c>
      <c r="P225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22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226" spans="1:17" x14ac:dyDescent="0.2">
      <c r="A226" t="s">
        <v>442</v>
      </c>
      <c r="B226" t="s">
        <v>25</v>
      </c>
      <c r="C226" t="s">
        <v>32</v>
      </c>
      <c r="D226" s="6">
        <v>14</v>
      </c>
      <c r="E226" s="5">
        <v>8000</v>
      </c>
      <c r="F226" t="s">
        <v>443</v>
      </c>
      <c r="G226" s="7">
        <v>46064</v>
      </c>
      <c r="H226" s="5">
        <v>1</v>
      </c>
      <c r="I22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26" t="b">
        <f>((ISNUMBER(Table3[[#This Row],[Quantity]]) )* (Table3[[#This Row],[Quantity]]&gt;0))=1</f>
        <v>1</v>
      </c>
      <c r="K226" t="b">
        <f>((Table3[[#This Row],[Quantity]]&gt;=Table3[[#This Row],[Return Qty]])*(ISNUMBER(Table3[[#This Row],[Quantity]])))=1</f>
        <v>1</v>
      </c>
      <c r="L226" t="b">
        <f>ISNUMBER(Table3[[#This Row],[Unit Price]])</f>
        <v>1</v>
      </c>
      <c r="M226" t="b">
        <f>ISNUMBER(Table3[[#This Row],[Order Date]])</f>
        <v>1</v>
      </c>
      <c r="N226">
        <f>IFERROR(IF(Table3[[#This Row],[Quantity]]*Table3[[#This Row],[Unit Price]]&lt;0, "N/A", Table3[[#This Row],[Quantity]]*Table3[[#This Row],[Unit Price]]), "N/A")</f>
        <v>112000</v>
      </c>
      <c r="O226">
        <f>IFERROR(Table3[[#This Row],[Unit Price]]*Table3[[#This Row],[Return Qty]], "N/A")</f>
        <v>8000</v>
      </c>
      <c r="P226">
        <f>IFERROR(IF((Table3[[#This Row],[Revenue before return]]-Table3[[#This Row],[Amount of order  returned]])&lt;0, "N/A", Table3[[#This Row],[Revenue before return]]-Table3[[#This Row],[Amount of order  returned]]), "N/A")</f>
        <v>104000</v>
      </c>
      <c r="Q22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27" spans="1:17" x14ac:dyDescent="0.2">
      <c r="A227" t="s">
        <v>444</v>
      </c>
      <c r="B227" t="s">
        <v>25</v>
      </c>
      <c r="C227" t="s">
        <v>45</v>
      </c>
      <c r="D227" s="6">
        <v>15</v>
      </c>
      <c r="E227" s="5">
        <v>20000</v>
      </c>
      <c r="F227" t="s">
        <v>134</v>
      </c>
      <c r="G227" s="7">
        <v>46031</v>
      </c>
      <c r="H227" s="5">
        <v>0</v>
      </c>
      <c r="I22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27" t="b">
        <f>((ISNUMBER(Table3[[#This Row],[Quantity]]) )* (Table3[[#This Row],[Quantity]]&gt;0))=1</f>
        <v>1</v>
      </c>
      <c r="K227" t="b">
        <f>((Table3[[#This Row],[Quantity]]&gt;=Table3[[#This Row],[Return Qty]])*(ISNUMBER(Table3[[#This Row],[Quantity]])))=1</f>
        <v>1</v>
      </c>
      <c r="L227" t="b">
        <f>ISNUMBER(Table3[[#This Row],[Unit Price]])</f>
        <v>1</v>
      </c>
      <c r="M227" t="b">
        <f>ISNUMBER(Table3[[#This Row],[Order Date]])</f>
        <v>1</v>
      </c>
      <c r="N227">
        <f>IFERROR(IF(Table3[[#This Row],[Quantity]]*Table3[[#This Row],[Unit Price]]&lt;0, "N/A", Table3[[#This Row],[Quantity]]*Table3[[#This Row],[Unit Price]]), "N/A")</f>
        <v>300000</v>
      </c>
      <c r="O227">
        <f>IFERROR(Table3[[#This Row],[Unit Price]]*Table3[[#This Row],[Return Qty]], "N/A")</f>
        <v>0</v>
      </c>
      <c r="P227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22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28" spans="1:17" x14ac:dyDescent="0.2">
      <c r="A228" t="s">
        <v>445</v>
      </c>
      <c r="B228" t="s">
        <v>14</v>
      </c>
      <c r="C228" t="s">
        <v>22</v>
      </c>
      <c r="D228" s="6">
        <v>12</v>
      </c>
      <c r="E228" s="5">
        <v>35000</v>
      </c>
      <c r="F228" t="s">
        <v>148</v>
      </c>
      <c r="G228" s="7">
        <v>46138</v>
      </c>
      <c r="H228" s="5">
        <v>0</v>
      </c>
      <c r="I22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28" t="b">
        <f>((ISNUMBER(Table3[[#This Row],[Quantity]]) )* (Table3[[#This Row],[Quantity]]&gt;0))=1</f>
        <v>1</v>
      </c>
      <c r="K228" t="b">
        <f>((Table3[[#This Row],[Quantity]]&gt;=Table3[[#This Row],[Return Qty]])*(ISNUMBER(Table3[[#This Row],[Quantity]])))=1</f>
        <v>1</v>
      </c>
      <c r="L228" t="b">
        <f>ISNUMBER(Table3[[#This Row],[Unit Price]])</f>
        <v>1</v>
      </c>
      <c r="M228" t="b">
        <f>ISNUMBER(Table3[[#This Row],[Order Date]])</f>
        <v>1</v>
      </c>
      <c r="N228">
        <f>IFERROR(IF(Table3[[#This Row],[Quantity]]*Table3[[#This Row],[Unit Price]]&lt;0, "N/A", Table3[[#This Row],[Quantity]]*Table3[[#This Row],[Unit Price]]), "N/A")</f>
        <v>420000</v>
      </c>
      <c r="O228">
        <f>IFERROR(Table3[[#This Row],[Unit Price]]*Table3[[#This Row],[Return Qty]], "N/A")</f>
        <v>0</v>
      </c>
      <c r="P228">
        <f>IFERROR(IF((Table3[[#This Row],[Revenue before return]]-Table3[[#This Row],[Amount of order  returned]])&lt;0, "N/A", Table3[[#This Row],[Revenue before return]]-Table3[[#This Row],[Amount of order  returned]]), "N/A")</f>
        <v>420000</v>
      </c>
      <c r="Q22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29" spans="1:17" x14ac:dyDescent="0.2">
      <c r="A229" t="s">
        <v>446</v>
      </c>
      <c r="B229" t="s">
        <v>21</v>
      </c>
      <c r="C229" t="s">
        <v>45</v>
      </c>
      <c r="D229" s="6">
        <v>5</v>
      </c>
      <c r="E229" s="5">
        <v>20000</v>
      </c>
      <c r="F229" t="s">
        <v>447</v>
      </c>
      <c r="G229" s="7">
        <v>46190</v>
      </c>
      <c r="H229" s="5">
        <v>0</v>
      </c>
      <c r="I22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29" t="b">
        <f>((ISNUMBER(Table3[[#This Row],[Quantity]]) )* (Table3[[#This Row],[Quantity]]&gt;0))=1</f>
        <v>1</v>
      </c>
      <c r="K229" t="b">
        <f>((Table3[[#This Row],[Quantity]]&gt;=Table3[[#This Row],[Return Qty]])*(ISNUMBER(Table3[[#This Row],[Quantity]])))=1</f>
        <v>1</v>
      </c>
      <c r="L229" t="b">
        <f>ISNUMBER(Table3[[#This Row],[Unit Price]])</f>
        <v>1</v>
      </c>
      <c r="M229" t="b">
        <f>ISNUMBER(Table3[[#This Row],[Order Date]])</f>
        <v>1</v>
      </c>
      <c r="N229">
        <f>IFERROR(IF(Table3[[#This Row],[Quantity]]*Table3[[#This Row],[Unit Price]]&lt;0, "N/A", Table3[[#This Row],[Quantity]]*Table3[[#This Row],[Unit Price]]), "N/A")</f>
        <v>100000</v>
      </c>
      <c r="O229">
        <f>IFERROR(Table3[[#This Row],[Unit Price]]*Table3[[#This Row],[Return Qty]], "N/A")</f>
        <v>0</v>
      </c>
      <c r="P229">
        <f>IFERROR(IF((Table3[[#This Row],[Revenue before return]]-Table3[[#This Row],[Amount of order  returned]])&lt;0, "N/A", Table3[[#This Row],[Revenue before return]]-Table3[[#This Row],[Amount of order  returned]]), "N/A")</f>
        <v>100000</v>
      </c>
      <c r="Q22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30" spans="1:17" x14ac:dyDescent="0.2">
      <c r="A230" t="s">
        <v>448</v>
      </c>
      <c r="B230" t="s">
        <v>25</v>
      </c>
      <c r="C230" t="s">
        <v>22</v>
      </c>
      <c r="D230" s="6">
        <v>4</v>
      </c>
      <c r="E230" s="5">
        <v>35000</v>
      </c>
      <c r="F230" t="s">
        <v>449</v>
      </c>
      <c r="G230" s="7">
        <v>46163</v>
      </c>
      <c r="H230" s="5">
        <v>3</v>
      </c>
      <c r="I23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30" t="b">
        <f>((ISNUMBER(Table3[[#This Row],[Quantity]]) )* (Table3[[#This Row],[Quantity]]&gt;0))=1</f>
        <v>1</v>
      </c>
      <c r="K230" t="b">
        <f>((Table3[[#This Row],[Quantity]]&gt;=Table3[[#This Row],[Return Qty]])*(ISNUMBER(Table3[[#This Row],[Quantity]])))=1</f>
        <v>1</v>
      </c>
      <c r="L230" t="b">
        <f>ISNUMBER(Table3[[#This Row],[Unit Price]])</f>
        <v>1</v>
      </c>
      <c r="M230" t="b">
        <f>ISNUMBER(Table3[[#This Row],[Order Date]])</f>
        <v>1</v>
      </c>
      <c r="N230">
        <f>IFERROR(IF(Table3[[#This Row],[Quantity]]*Table3[[#This Row],[Unit Price]]&lt;0, "N/A", Table3[[#This Row],[Quantity]]*Table3[[#This Row],[Unit Price]]), "N/A")</f>
        <v>140000</v>
      </c>
      <c r="O230">
        <f>IFERROR(Table3[[#This Row],[Unit Price]]*Table3[[#This Row],[Return Qty]], "N/A")</f>
        <v>105000</v>
      </c>
      <c r="P230">
        <f>IFERROR(IF((Table3[[#This Row],[Revenue before return]]-Table3[[#This Row],[Amount of order  returned]])&lt;0, "N/A", Table3[[#This Row],[Revenue before return]]-Table3[[#This Row],[Amount of order  returned]]), "N/A")</f>
        <v>35000</v>
      </c>
      <c r="Q23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31" spans="1:17" x14ac:dyDescent="0.2">
      <c r="A231" t="s">
        <v>450</v>
      </c>
      <c r="B231" t="s">
        <v>451</v>
      </c>
      <c r="C231" t="s">
        <v>70</v>
      </c>
      <c r="D231" s="6">
        <v>25</v>
      </c>
      <c r="E231" s="5">
        <v>28000</v>
      </c>
      <c r="F231" t="s">
        <v>452</v>
      </c>
      <c r="G231" s="7">
        <v>46093</v>
      </c>
      <c r="H231" s="5">
        <v>0</v>
      </c>
      <c r="I23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31" t="b">
        <f>((ISNUMBER(Table3[[#This Row],[Quantity]]) )* (Table3[[#This Row],[Quantity]]&gt;0))=1</f>
        <v>1</v>
      </c>
      <c r="K231" t="b">
        <f>((Table3[[#This Row],[Quantity]]&gt;=Table3[[#This Row],[Return Qty]])*(ISNUMBER(Table3[[#This Row],[Quantity]])))=1</f>
        <v>1</v>
      </c>
      <c r="L231" t="b">
        <f>ISNUMBER(Table3[[#This Row],[Unit Price]])</f>
        <v>1</v>
      </c>
      <c r="M231" t="b">
        <f>ISNUMBER(Table3[[#This Row],[Order Date]])</f>
        <v>1</v>
      </c>
      <c r="N231">
        <f>IFERROR(IF(Table3[[#This Row],[Quantity]]*Table3[[#This Row],[Unit Price]]&lt;0, "N/A", Table3[[#This Row],[Quantity]]*Table3[[#This Row],[Unit Price]]), "N/A")</f>
        <v>700000</v>
      </c>
      <c r="O231">
        <f>IFERROR(Table3[[#This Row],[Unit Price]]*Table3[[#This Row],[Return Qty]], "N/A")</f>
        <v>0</v>
      </c>
      <c r="P231">
        <f>IFERROR(IF((Table3[[#This Row],[Revenue before return]]-Table3[[#This Row],[Amount of order  returned]])&lt;0, "N/A", Table3[[#This Row],[Revenue before return]]-Table3[[#This Row],[Amount of order  returned]]), "N/A")</f>
        <v>700000</v>
      </c>
      <c r="Q23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32" spans="1:17" x14ac:dyDescent="0.2">
      <c r="A232" t="s">
        <v>453</v>
      </c>
      <c r="B232" t="s">
        <v>9</v>
      </c>
      <c r="C232" t="s">
        <v>39</v>
      </c>
      <c r="D232" s="6">
        <v>11</v>
      </c>
      <c r="E232" s="5">
        <v>12000</v>
      </c>
      <c r="F232" t="s">
        <v>454</v>
      </c>
      <c r="G232" s="7">
        <v>46057</v>
      </c>
      <c r="H232" s="5">
        <v>17</v>
      </c>
      <c r="I23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32" t="b">
        <f>((ISNUMBER(Table3[[#This Row],[Quantity]]) )* (Table3[[#This Row],[Quantity]]&gt;0))=1</f>
        <v>1</v>
      </c>
      <c r="K232" t="b">
        <f>((Table3[[#This Row],[Quantity]]&gt;=Table3[[#This Row],[Return Qty]])*(ISNUMBER(Table3[[#This Row],[Quantity]])))=1</f>
        <v>0</v>
      </c>
      <c r="L232" t="b">
        <f>ISNUMBER(Table3[[#This Row],[Unit Price]])</f>
        <v>1</v>
      </c>
      <c r="M232" t="b">
        <f>ISNUMBER(Table3[[#This Row],[Order Date]])</f>
        <v>1</v>
      </c>
      <c r="N232">
        <f>IFERROR(IF(Table3[[#This Row],[Quantity]]*Table3[[#This Row],[Unit Price]]&lt;0, "N/A", Table3[[#This Row],[Quantity]]*Table3[[#This Row],[Unit Price]]), "N/A")</f>
        <v>132000</v>
      </c>
      <c r="O232">
        <f>IFERROR(Table3[[#This Row],[Unit Price]]*Table3[[#This Row],[Return Qty]], "N/A")</f>
        <v>204000</v>
      </c>
      <c r="P232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23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233" spans="1:17" x14ac:dyDescent="0.2">
      <c r="A233" t="s">
        <v>455</v>
      </c>
      <c r="B233" t="s">
        <v>21</v>
      </c>
      <c r="C233" t="s">
        <v>18</v>
      </c>
      <c r="D233" s="6">
        <v>23</v>
      </c>
      <c r="E233" s="5">
        <v>50000</v>
      </c>
      <c r="F233" t="s">
        <v>456</v>
      </c>
      <c r="G233" s="7">
        <v>46103</v>
      </c>
      <c r="H233" s="5">
        <v>0</v>
      </c>
      <c r="I23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33" t="b">
        <f>((ISNUMBER(Table3[[#This Row],[Quantity]]) )* (Table3[[#This Row],[Quantity]]&gt;0))=1</f>
        <v>1</v>
      </c>
      <c r="K233" t="b">
        <f>((Table3[[#This Row],[Quantity]]&gt;=Table3[[#This Row],[Return Qty]])*(ISNUMBER(Table3[[#This Row],[Quantity]])))=1</f>
        <v>1</v>
      </c>
      <c r="L233" t="b">
        <f>ISNUMBER(Table3[[#This Row],[Unit Price]])</f>
        <v>1</v>
      </c>
      <c r="M233" t="b">
        <f>ISNUMBER(Table3[[#This Row],[Order Date]])</f>
        <v>1</v>
      </c>
      <c r="N233">
        <f>IFERROR(IF(Table3[[#This Row],[Quantity]]*Table3[[#This Row],[Unit Price]]&lt;0, "N/A", Table3[[#This Row],[Quantity]]*Table3[[#This Row],[Unit Price]]), "N/A")</f>
        <v>1150000</v>
      </c>
      <c r="O233">
        <f>IFERROR(Table3[[#This Row],[Unit Price]]*Table3[[#This Row],[Return Qty]], "N/A")</f>
        <v>0</v>
      </c>
      <c r="P233">
        <f>IFERROR(IF((Table3[[#This Row],[Revenue before return]]-Table3[[#This Row],[Amount of order  returned]])&lt;0, "N/A", Table3[[#This Row],[Revenue before return]]-Table3[[#This Row],[Amount of order  returned]]), "N/A")</f>
        <v>1150000</v>
      </c>
      <c r="Q23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34" spans="1:17" x14ac:dyDescent="0.2">
      <c r="A234" t="s">
        <v>457</v>
      </c>
      <c r="B234" t="s">
        <v>21</v>
      </c>
      <c r="C234" t="s">
        <v>70</v>
      </c>
      <c r="D234" s="6">
        <v>9</v>
      </c>
      <c r="E234" s="5">
        <v>28000</v>
      </c>
      <c r="F234" t="s">
        <v>128</v>
      </c>
      <c r="G234" s="7">
        <v>46190</v>
      </c>
      <c r="H234" s="5">
        <v>0</v>
      </c>
      <c r="I23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34" t="b">
        <f>((ISNUMBER(Table3[[#This Row],[Quantity]]) )* (Table3[[#This Row],[Quantity]]&gt;0))=1</f>
        <v>1</v>
      </c>
      <c r="K234" t="b">
        <f>((Table3[[#This Row],[Quantity]]&gt;=Table3[[#This Row],[Return Qty]])*(ISNUMBER(Table3[[#This Row],[Quantity]])))=1</f>
        <v>1</v>
      </c>
      <c r="L234" t="b">
        <f>ISNUMBER(Table3[[#This Row],[Unit Price]])</f>
        <v>1</v>
      </c>
      <c r="M234" t="b">
        <f>ISNUMBER(Table3[[#This Row],[Order Date]])</f>
        <v>1</v>
      </c>
      <c r="N234">
        <f>IFERROR(IF(Table3[[#This Row],[Quantity]]*Table3[[#This Row],[Unit Price]]&lt;0, "N/A", Table3[[#This Row],[Quantity]]*Table3[[#This Row],[Unit Price]]), "N/A")</f>
        <v>252000</v>
      </c>
      <c r="O234">
        <f>IFERROR(Table3[[#This Row],[Unit Price]]*Table3[[#This Row],[Return Qty]], "N/A")</f>
        <v>0</v>
      </c>
      <c r="P234">
        <f>IFERROR(IF((Table3[[#This Row],[Revenue before return]]-Table3[[#This Row],[Amount of order  returned]])&lt;0, "N/A", Table3[[#This Row],[Revenue before return]]-Table3[[#This Row],[Amount of order  returned]]), "N/A")</f>
        <v>252000</v>
      </c>
      <c r="Q23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35" spans="1:17" x14ac:dyDescent="0.2">
      <c r="A235" t="s">
        <v>458</v>
      </c>
      <c r="B235" t="s">
        <v>14</v>
      </c>
      <c r="C235" t="s">
        <v>32</v>
      </c>
      <c r="D235" s="6">
        <v>18</v>
      </c>
      <c r="E235" s="5">
        <v>8000</v>
      </c>
      <c r="F235" t="s">
        <v>346</v>
      </c>
      <c r="G235" s="7">
        <v>46114</v>
      </c>
      <c r="H235" s="5">
        <v>0</v>
      </c>
      <c r="I23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35" t="b">
        <f>((ISNUMBER(Table3[[#This Row],[Quantity]]) )* (Table3[[#This Row],[Quantity]]&gt;0))=1</f>
        <v>1</v>
      </c>
      <c r="K235" t="b">
        <f>((Table3[[#This Row],[Quantity]]&gt;=Table3[[#This Row],[Return Qty]])*(ISNUMBER(Table3[[#This Row],[Quantity]])))=1</f>
        <v>1</v>
      </c>
      <c r="L235" t="b">
        <f>ISNUMBER(Table3[[#This Row],[Unit Price]])</f>
        <v>1</v>
      </c>
      <c r="M235" t="b">
        <f>ISNUMBER(Table3[[#This Row],[Order Date]])</f>
        <v>1</v>
      </c>
      <c r="N235">
        <f>IFERROR(IF(Table3[[#This Row],[Quantity]]*Table3[[#This Row],[Unit Price]]&lt;0, "N/A", Table3[[#This Row],[Quantity]]*Table3[[#This Row],[Unit Price]]), "N/A")</f>
        <v>144000</v>
      </c>
      <c r="O235">
        <f>IFERROR(Table3[[#This Row],[Unit Price]]*Table3[[#This Row],[Return Qty]], "N/A")</f>
        <v>0</v>
      </c>
      <c r="P235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23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36" spans="1:17" x14ac:dyDescent="0.2">
      <c r="A236" t="s">
        <v>459</v>
      </c>
      <c r="B236" t="s">
        <v>9</v>
      </c>
      <c r="C236" t="s">
        <v>26</v>
      </c>
      <c r="D236" s="6">
        <v>1</v>
      </c>
      <c r="E236" s="5">
        <v>20000</v>
      </c>
      <c r="F236" t="s">
        <v>460</v>
      </c>
      <c r="G236" s="7" t="s">
        <v>11</v>
      </c>
      <c r="H236" s="5">
        <v>1</v>
      </c>
      <c r="I23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36" t="b">
        <f>((ISNUMBER(Table3[[#This Row],[Quantity]]) )* (Table3[[#This Row],[Quantity]]&gt;0))=1</f>
        <v>1</v>
      </c>
      <c r="K236" t="b">
        <f>((Table3[[#This Row],[Quantity]]&gt;=Table3[[#This Row],[Return Qty]])*(ISNUMBER(Table3[[#This Row],[Quantity]])))=1</f>
        <v>1</v>
      </c>
      <c r="L236" t="b">
        <f>ISNUMBER(Table3[[#This Row],[Unit Price]])</f>
        <v>1</v>
      </c>
      <c r="M236" t="b">
        <f>ISNUMBER(Table3[[#This Row],[Order Date]])</f>
        <v>0</v>
      </c>
      <c r="N236">
        <f>IFERROR(IF(Table3[[#This Row],[Quantity]]*Table3[[#This Row],[Unit Price]]&lt;0, "N/A", Table3[[#This Row],[Quantity]]*Table3[[#This Row],[Unit Price]]), "N/A")</f>
        <v>20000</v>
      </c>
      <c r="O236">
        <f>IFERROR(Table3[[#This Row],[Unit Price]]*Table3[[#This Row],[Return Qty]], "N/A")</f>
        <v>20000</v>
      </c>
      <c r="P236">
        <f>IFERROR(IF((Table3[[#This Row],[Revenue before return]]-Table3[[#This Row],[Amount of order  returned]])&lt;0, "N/A", Table3[[#This Row],[Revenue before return]]-Table3[[#This Row],[Amount of order  returned]]), "N/A")</f>
        <v>0</v>
      </c>
      <c r="Q23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237" spans="1:17" x14ac:dyDescent="0.2">
      <c r="A237" t="s">
        <v>461</v>
      </c>
      <c r="B237" t="s">
        <v>21</v>
      </c>
      <c r="C237" t="s">
        <v>26</v>
      </c>
      <c r="D237" s="6">
        <v>18</v>
      </c>
      <c r="E237" s="5">
        <v>20000</v>
      </c>
      <c r="F237" t="s">
        <v>294</v>
      </c>
      <c r="G237" s="7">
        <v>46111</v>
      </c>
      <c r="H237" s="5">
        <v>0</v>
      </c>
      <c r="I23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37" t="b">
        <f>((ISNUMBER(Table3[[#This Row],[Quantity]]) )* (Table3[[#This Row],[Quantity]]&gt;0))=1</f>
        <v>1</v>
      </c>
      <c r="K237" t="b">
        <f>((Table3[[#This Row],[Quantity]]&gt;=Table3[[#This Row],[Return Qty]])*(ISNUMBER(Table3[[#This Row],[Quantity]])))=1</f>
        <v>1</v>
      </c>
      <c r="L237" t="b">
        <f>ISNUMBER(Table3[[#This Row],[Unit Price]])</f>
        <v>1</v>
      </c>
      <c r="M237" t="b">
        <f>ISNUMBER(Table3[[#This Row],[Order Date]])</f>
        <v>1</v>
      </c>
      <c r="N237">
        <f>IFERROR(IF(Table3[[#This Row],[Quantity]]*Table3[[#This Row],[Unit Price]]&lt;0, "N/A", Table3[[#This Row],[Quantity]]*Table3[[#This Row],[Unit Price]]), "N/A")</f>
        <v>360000</v>
      </c>
      <c r="O237">
        <f>IFERROR(Table3[[#This Row],[Unit Price]]*Table3[[#This Row],[Return Qty]], "N/A")</f>
        <v>0</v>
      </c>
      <c r="P237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23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38" spans="1:17" x14ac:dyDescent="0.2">
      <c r="A238" t="s">
        <v>462</v>
      </c>
      <c r="B238" t="s">
        <v>14</v>
      </c>
      <c r="C238" t="s">
        <v>22</v>
      </c>
      <c r="D238" s="6">
        <v>22</v>
      </c>
      <c r="E238" s="5">
        <v>35000</v>
      </c>
      <c r="F238" t="s">
        <v>40</v>
      </c>
      <c r="G238" s="7">
        <v>46076</v>
      </c>
      <c r="H238" s="5">
        <v>1</v>
      </c>
      <c r="I23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38" t="b">
        <f>((ISNUMBER(Table3[[#This Row],[Quantity]]) )* (Table3[[#This Row],[Quantity]]&gt;0))=1</f>
        <v>1</v>
      </c>
      <c r="K238" t="b">
        <f>((Table3[[#This Row],[Quantity]]&gt;=Table3[[#This Row],[Return Qty]])*(ISNUMBER(Table3[[#This Row],[Quantity]])))=1</f>
        <v>1</v>
      </c>
      <c r="L238" t="b">
        <f>ISNUMBER(Table3[[#This Row],[Unit Price]])</f>
        <v>1</v>
      </c>
      <c r="M238" t="b">
        <f>ISNUMBER(Table3[[#This Row],[Order Date]])</f>
        <v>1</v>
      </c>
      <c r="N238">
        <f>IFERROR(IF(Table3[[#This Row],[Quantity]]*Table3[[#This Row],[Unit Price]]&lt;0, "N/A", Table3[[#This Row],[Quantity]]*Table3[[#This Row],[Unit Price]]), "N/A")</f>
        <v>770000</v>
      </c>
      <c r="O238">
        <f>IFERROR(Table3[[#This Row],[Unit Price]]*Table3[[#This Row],[Return Qty]], "N/A")</f>
        <v>35000</v>
      </c>
      <c r="P238">
        <f>IFERROR(IF((Table3[[#This Row],[Revenue before return]]-Table3[[#This Row],[Amount of order  returned]])&lt;0, "N/A", Table3[[#This Row],[Revenue before return]]-Table3[[#This Row],[Amount of order  returned]]), "N/A")</f>
        <v>735000</v>
      </c>
      <c r="Q23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39" spans="1:17" x14ac:dyDescent="0.2">
      <c r="A239" t="s">
        <v>463</v>
      </c>
      <c r="B239" t="s">
        <v>14</v>
      </c>
      <c r="C239" t="s">
        <v>45</v>
      </c>
      <c r="D239" s="6" t="s">
        <v>11</v>
      </c>
      <c r="E239" s="5">
        <v>20000</v>
      </c>
      <c r="F239" t="s">
        <v>464</v>
      </c>
      <c r="G239" s="7">
        <v>46117</v>
      </c>
      <c r="H239" s="5">
        <v>0</v>
      </c>
      <c r="I23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39" t="b">
        <f>((ISNUMBER(Table3[[#This Row],[Quantity]]) )* (Table3[[#This Row],[Quantity]]&gt;0))=1</f>
        <v>0</v>
      </c>
      <c r="K239" t="b">
        <f>((Table3[[#This Row],[Quantity]]&gt;=Table3[[#This Row],[Return Qty]])*(ISNUMBER(Table3[[#This Row],[Quantity]])))=1</f>
        <v>0</v>
      </c>
      <c r="L239" t="b">
        <f>ISNUMBER(Table3[[#This Row],[Unit Price]])</f>
        <v>1</v>
      </c>
      <c r="M239" t="b">
        <f>ISNUMBER(Table3[[#This Row],[Order Date]])</f>
        <v>1</v>
      </c>
      <c r="N239" t="str">
        <f>IFERROR(IF(Table3[[#This Row],[Quantity]]*Table3[[#This Row],[Unit Price]]&lt;0, "N/A", Table3[[#This Row],[Quantity]]*Table3[[#This Row],[Unit Price]]), "N/A")</f>
        <v>N/A</v>
      </c>
      <c r="O239">
        <f>IFERROR(Table3[[#This Row],[Unit Price]]*Table3[[#This Row],[Return Qty]], "N/A")</f>
        <v>0</v>
      </c>
      <c r="P239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23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240" spans="1:17" x14ac:dyDescent="0.2">
      <c r="A240" t="s">
        <v>465</v>
      </c>
      <c r="B240" t="s">
        <v>9</v>
      </c>
      <c r="C240" t="s">
        <v>39</v>
      </c>
      <c r="D240" s="6">
        <v>3</v>
      </c>
      <c r="E240" s="5">
        <v>12000</v>
      </c>
      <c r="F240" t="s">
        <v>466</v>
      </c>
      <c r="G240" s="7">
        <v>46058</v>
      </c>
      <c r="H240" s="5">
        <v>0</v>
      </c>
      <c r="I24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40" t="b">
        <f>((ISNUMBER(Table3[[#This Row],[Quantity]]) )* (Table3[[#This Row],[Quantity]]&gt;0))=1</f>
        <v>1</v>
      </c>
      <c r="K240" t="b">
        <f>((Table3[[#This Row],[Quantity]]&gt;=Table3[[#This Row],[Return Qty]])*(ISNUMBER(Table3[[#This Row],[Quantity]])))=1</f>
        <v>1</v>
      </c>
      <c r="L240" t="b">
        <f>ISNUMBER(Table3[[#This Row],[Unit Price]])</f>
        <v>1</v>
      </c>
      <c r="M240" t="b">
        <f>ISNUMBER(Table3[[#This Row],[Order Date]])</f>
        <v>1</v>
      </c>
      <c r="N240">
        <f>IFERROR(IF(Table3[[#This Row],[Quantity]]*Table3[[#This Row],[Unit Price]]&lt;0, "N/A", Table3[[#This Row],[Quantity]]*Table3[[#This Row],[Unit Price]]), "N/A")</f>
        <v>36000</v>
      </c>
      <c r="O240">
        <f>IFERROR(Table3[[#This Row],[Unit Price]]*Table3[[#This Row],[Return Qty]], "N/A")</f>
        <v>0</v>
      </c>
      <c r="P240">
        <f>IFERROR(IF((Table3[[#This Row],[Revenue before return]]-Table3[[#This Row],[Amount of order  returned]])&lt;0, "N/A", Table3[[#This Row],[Revenue before return]]-Table3[[#This Row],[Amount of order  returned]]), "N/A")</f>
        <v>36000</v>
      </c>
      <c r="Q24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41" spans="1:17" x14ac:dyDescent="0.2">
      <c r="A241" t="s">
        <v>467</v>
      </c>
      <c r="B241" t="s">
        <v>9</v>
      </c>
      <c r="C241" t="s">
        <v>10</v>
      </c>
      <c r="D241" s="6">
        <v>21</v>
      </c>
      <c r="E241" s="5">
        <v>15000</v>
      </c>
      <c r="F241" t="s">
        <v>468</v>
      </c>
      <c r="G241" s="7">
        <v>46168</v>
      </c>
      <c r="H241" s="5">
        <v>3</v>
      </c>
      <c r="I24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41" t="b">
        <f>((ISNUMBER(Table3[[#This Row],[Quantity]]) )* (Table3[[#This Row],[Quantity]]&gt;0))=1</f>
        <v>1</v>
      </c>
      <c r="K241" t="b">
        <f>((Table3[[#This Row],[Quantity]]&gt;=Table3[[#This Row],[Return Qty]])*(ISNUMBER(Table3[[#This Row],[Quantity]])))=1</f>
        <v>1</v>
      </c>
      <c r="L241" t="b">
        <f>ISNUMBER(Table3[[#This Row],[Unit Price]])</f>
        <v>1</v>
      </c>
      <c r="M241" t="b">
        <f>ISNUMBER(Table3[[#This Row],[Order Date]])</f>
        <v>1</v>
      </c>
      <c r="N241">
        <f>IFERROR(IF(Table3[[#This Row],[Quantity]]*Table3[[#This Row],[Unit Price]]&lt;0, "N/A", Table3[[#This Row],[Quantity]]*Table3[[#This Row],[Unit Price]]), "N/A")</f>
        <v>315000</v>
      </c>
      <c r="O241">
        <f>IFERROR(Table3[[#This Row],[Unit Price]]*Table3[[#This Row],[Return Qty]], "N/A")</f>
        <v>45000</v>
      </c>
      <c r="P241">
        <f>IFERROR(IF((Table3[[#This Row],[Revenue before return]]-Table3[[#This Row],[Amount of order  returned]])&lt;0, "N/A", Table3[[#This Row],[Revenue before return]]-Table3[[#This Row],[Amount of order  returned]]), "N/A")</f>
        <v>270000</v>
      </c>
      <c r="Q24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42" spans="1:17" x14ac:dyDescent="0.2">
      <c r="A242" t="s">
        <v>469</v>
      </c>
      <c r="B242" t="s">
        <v>25</v>
      </c>
      <c r="C242" t="s">
        <v>26</v>
      </c>
      <c r="D242" s="6" t="s">
        <v>11</v>
      </c>
      <c r="E242" s="5">
        <v>20000</v>
      </c>
      <c r="F242" t="s">
        <v>470</v>
      </c>
      <c r="G242" s="7">
        <v>46174</v>
      </c>
      <c r="H242" s="5">
        <v>0</v>
      </c>
      <c r="I24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42" t="b">
        <f>((ISNUMBER(Table3[[#This Row],[Quantity]]) )* (Table3[[#This Row],[Quantity]]&gt;0))=1</f>
        <v>0</v>
      </c>
      <c r="K242" t="b">
        <f>((Table3[[#This Row],[Quantity]]&gt;=Table3[[#This Row],[Return Qty]])*(ISNUMBER(Table3[[#This Row],[Quantity]])))=1</f>
        <v>0</v>
      </c>
      <c r="L242" t="b">
        <f>ISNUMBER(Table3[[#This Row],[Unit Price]])</f>
        <v>1</v>
      </c>
      <c r="M242" t="b">
        <f>ISNUMBER(Table3[[#This Row],[Order Date]])</f>
        <v>1</v>
      </c>
      <c r="N242" t="str">
        <f>IFERROR(IF(Table3[[#This Row],[Quantity]]*Table3[[#This Row],[Unit Price]]&lt;0, "N/A", Table3[[#This Row],[Quantity]]*Table3[[#This Row],[Unit Price]]), "N/A")</f>
        <v>N/A</v>
      </c>
      <c r="O242">
        <f>IFERROR(Table3[[#This Row],[Unit Price]]*Table3[[#This Row],[Return Qty]], "N/A")</f>
        <v>0</v>
      </c>
      <c r="P242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24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243" spans="1:17" x14ac:dyDescent="0.2">
      <c r="A243" t="s">
        <v>471</v>
      </c>
      <c r="B243" t="s">
        <v>25</v>
      </c>
      <c r="C243" t="s">
        <v>10</v>
      </c>
      <c r="D243" s="6">
        <v>15</v>
      </c>
      <c r="E243" s="5">
        <v>15000</v>
      </c>
      <c r="F243" t="s">
        <v>472</v>
      </c>
      <c r="G243" s="7">
        <v>46078</v>
      </c>
      <c r="H243" s="5">
        <v>0</v>
      </c>
      <c r="I24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43" t="b">
        <f>((ISNUMBER(Table3[[#This Row],[Quantity]]) )* (Table3[[#This Row],[Quantity]]&gt;0))=1</f>
        <v>1</v>
      </c>
      <c r="K243" t="b">
        <f>((Table3[[#This Row],[Quantity]]&gt;=Table3[[#This Row],[Return Qty]])*(ISNUMBER(Table3[[#This Row],[Quantity]])))=1</f>
        <v>1</v>
      </c>
      <c r="L243" t="b">
        <f>ISNUMBER(Table3[[#This Row],[Unit Price]])</f>
        <v>1</v>
      </c>
      <c r="M243" t="b">
        <f>ISNUMBER(Table3[[#This Row],[Order Date]])</f>
        <v>1</v>
      </c>
      <c r="N243">
        <f>IFERROR(IF(Table3[[#This Row],[Quantity]]*Table3[[#This Row],[Unit Price]]&lt;0, "N/A", Table3[[#This Row],[Quantity]]*Table3[[#This Row],[Unit Price]]), "N/A")</f>
        <v>225000</v>
      </c>
      <c r="O243">
        <f>IFERROR(Table3[[#This Row],[Unit Price]]*Table3[[#This Row],[Return Qty]], "N/A")</f>
        <v>0</v>
      </c>
      <c r="P243">
        <f>IFERROR(IF((Table3[[#This Row],[Revenue before return]]-Table3[[#This Row],[Amount of order  returned]])&lt;0, "N/A", Table3[[#This Row],[Revenue before return]]-Table3[[#This Row],[Amount of order  returned]]), "N/A")</f>
        <v>225000</v>
      </c>
      <c r="Q24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44" spans="1:17" x14ac:dyDescent="0.2">
      <c r="A244" t="s">
        <v>473</v>
      </c>
      <c r="B244" t="s">
        <v>9</v>
      </c>
      <c r="C244" t="s">
        <v>22</v>
      </c>
      <c r="D244" s="6">
        <v>7</v>
      </c>
      <c r="E244" s="5" t="s">
        <v>11</v>
      </c>
      <c r="F244" t="s">
        <v>474</v>
      </c>
      <c r="G244" s="7">
        <v>46097</v>
      </c>
      <c r="H244" s="5">
        <v>0</v>
      </c>
      <c r="I24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44" t="b">
        <f>((ISNUMBER(Table3[[#This Row],[Quantity]]) )* (Table3[[#This Row],[Quantity]]&gt;0))=1</f>
        <v>1</v>
      </c>
      <c r="K244" t="b">
        <f>((Table3[[#This Row],[Quantity]]&gt;=Table3[[#This Row],[Return Qty]])*(ISNUMBER(Table3[[#This Row],[Quantity]])))=1</f>
        <v>1</v>
      </c>
      <c r="L244" t="b">
        <f>ISNUMBER(Table3[[#This Row],[Unit Price]])</f>
        <v>0</v>
      </c>
      <c r="M244" t="b">
        <f>ISNUMBER(Table3[[#This Row],[Order Date]])</f>
        <v>1</v>
      </c>
      <c r="N244" t="str">
        <f>IFERROR(IF(Table3[[#This Row],[Quantity]]*Table3[[#This Row],[Unit Price]]&lt;0, "N/A", Table3[[#This Row],[Quantity]]*Table3[[#This Row],[Unit Price]]), "N/A")</f>
        <v>N/A</v>
      </c>
      <c r="O244" t="str">
        <f>IFERROR(Table3[[#This Row],[Unit Price]]*Table3[[#This Row],[Return Qty]], "N/A")</f>
        <v>N/A</v>
      </c>
      <c r="P244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24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245" spans="1:17" x14ac:dyDescent="0.2">
      <c r="A245" t="s">
        <v>475</v>
      </c>
      <c r="B245" t="s">
        <v>25</v>
      </c>
      <c r="C245" t="s">
        <v>26</v>
      </c>
      <c r="D245" s="6">
        <v>10</v>
      </c>
      <c r="E245" s="5">
        <v>20000</v>
      </c>
      <c r="F245" t="s">
        <v>61</v>
      </c>
      <c r="G245" s="7">
        <v>46176</v>
      </c>
      <c r="H245" s="5">
        <v>2</v>
      </c>
      <c r="I24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45" t="b">
        <f>((ISNUMBER(Table3[[#This Row],[Quantity]]) )* (Table3[[#This Row],[Quantity]]&gt;0))=1</f>
        <v>1</v>
      </c>
      <c r="K245" t="b">
        <f>((Table3[[#This Row],[Quantity]]&gt;=Table3[[#This Row],[Return Qty]])*(ISNUMBER(Table3[[#This Row],[Quantity]])))=1</f>
        <v>1</v>
      </c>
      <c r="L245" t="b">
        <f>ISNUMBER(Table3[[#This Row],[Unit Price]])</f>
        <v>1</v>
      </c>
      <c r="M245" t="b">
        <f>ISNUMBER(Table3[[#This Row],[Order Date]])</f>
        <v>1</v>
      </c>
      <c r="N245">
        <f>IFERROR(IF(Table3[[#This Row],[Quantity]]*Table3[[#This Row],[Unit Price]]&lt;0, "N/A", Table3[[#This Row],[Quantity]]*Table3[[#This Row],[Unit Price]]), "N/A")</f>
        <v>200000</v>
      </c>
      <c r="O245">
        <f>IFERROR(Table3[[#This Row],[Unit Price]]*Table3[[#This Row],[Return Qty]], "N/A")</f>
        <v>40000</v>
      </c>
      <c r="P245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24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46" spans="1:17" x14ac:dyDescent="0.2">
      <c r="A246" t="s">
        <v>476</v>
      </c>
      <c r="B246" t="s">
        <v>21</v>
      </c>
      <c r="C246" t="s">
        <v>22</v>
      </c>
      <c r="D246" s="6">
        <v>16</v>
      </c>
      <c r="E246" s="5">
        <v>35000</v>
      </c>
      <c r="F246" t="s">
        <v>477</v>
      </c>
      <c r="G246" s="7">
        <v>46089</v>
      </c>
      <c r="H246" s="5">
        <v>0</v>
      </c>
      <c r="I24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46" t="b">
        <f>((ISNUMBER(Table3[[#This Row],[Quantity]]) )* (Table3[[#This Row],[Quantity]]&gt;0))=1</f>
        <v>1</v>
      </c>
      <c r="K246" t="b">
        <f>((Table3[[#This Row],[Quantity]]&gt;=Table3[[#This Row],[Return Qty]])*(ISNUMBER(Table3[[#This Row],[Quantity]])))=1</f>
        <v>1</v>
      </c>
      <c r="L246" t="b">
        <f>ISNUMBER(Table3[[#This Row],[Unit Price]])</f>
        <v>1</v>
      </c>
      <c r="M246" t="b">
        <f>ISNUMBER(Table3[[#This Row],[Order Date]])</f>
        <v>1</v>
      </c>
      <c r="N246">
        <f>IFERROR(IF(Table3[[#This Row],[Quantity]]*Table3[[#This Row],[Unit Price]]&lt;0, "N/A", Table3[[#This Row],[Quantity]]*Table3[[#This Row],[Unit Price]]), "N/A")</f>
        <v>560000</v>
      </c>
      <c r="O246">
        <f>IFERROR(Table3[[#This Row],[Unit Price]]*Table3[[#This Row],[Return Qty]], "N/A")</f>
        <v>0</v>
      </c>
      <c r="P246">
        <f>IFERROR(IF((Table3[[#This Row],[Revenue before return]]-Table3[[#This Row],[Amount of order  returned]])&lt;0, "N/A", Table3[[#This Row],[Revenue before return]]-Table3[[#This Row],[Amount of order  returned]]), "N/A")</f>
        <v>560000</v>
      </c>
      <c r="Q24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47" spans="1:17" x14ac:dyDescent="0.2">
      <c r="A247" t="s">
        <v>478</v>
      </c>
      <c r="B247" t="s">
        <v>14</v>
      </c>
      <c r="C247" t="s">
        <v>18</v>
      </c>
      <c r="D247" s="6">
        <v>10</v>
      </c>
      <c r="E247" s="5">
        <v>50000</v>
      </c>
      <c r="F247" t="s">
        <v>244</v>
      </c>
      <c r="G247" s="7">
        <v>46035</v>
      </c>
      <c r="H247" s="5">
        <v>0</v>
      </c>
      <c r="I24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47" t="b">
        <f>((ISNUMBER(Table3[[#This Row],[Quantity]]) )* (Table3[[#This Row],[Quantity]]&gt;0))=1</f>
        <v>1</v>
      </c>
      <c r="K247" t="b">
        <f>((Table3[[#This Row],[Quantity]]&gt;=Table3[[#This Row],[Return Qty]])*(ISNUMBER(Table3[[#This Row],[Quantity]])))=1</f>
        <v>1</v>
      </c>
      <c r="L247" t="b">
        <f>ISNUMBER(Table3[[#This Row],[Unit Price]])</f>
        <v>1</v>
      </c>
      <c r="M247" t="b">
        <f>ISNUMBER(Table3[[#This Row],[Order Date]])</f>
        <v>1</v>
      </c>
      <c r="N247">
        <f>IFERROR(IF(Table3[[#This Row],[Quantity]]*Table3[[#This Row],[Unit Price]]&lt;0, "N/A", Table3[[#This Row],[Quantity]]*Table3[[#This Row],[Unit Price]]), "N/A")</f>
        <v>500000</v>
      </c>
      <c r="O247">
        <f>IFERROR(Table3[[#This Row],[Unit Price]]*Table3[[#This Row],[Return Qty]], "N/A")</f>
        <v>0</v>
      </c>
      <c r="P247">
        <f>IFERROR(IF((Table3[[#This Row],[Revenue before return]]-Table3[[#This Row],[Amount of order  returned]])&lt;0, "N/A", Table3[[#This Row],[Revenue before return]]-Table3[[#This Row],[Amount of order  returned]]), "N/A")</f>
        <v>500000</v>
      </c>
      <c r="Q24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48" spans="1:17" x14ac:dyDescent="0.2">
      <c r="A248" t="s">
        <v>479</v>
      </c>
      <c r="B248" t="s">
        <v>9</v>
      </c>
      <c r="C248" t="s">
        <v>39</v>
      </c>
      <c r="D248" s="6">
        <v>13</v>
      </c>
      <c r="E248" s="5">
        <v>12000</v>
      </c>
      <c r="F248" t="s">
        <v>480</v>
      </c>
      <c r="G248" s="7">
        <v>46049</v>
      </c>
      <c r="H248" s="5">
        <v>0</v>
      </c>
      <c r="I24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48" t="b">
        <f>((ISNUMBER(Table3[[#This Row],[Quantity]]) )* (Table3[[#This Row],[Quantity]]&gt;0))=1</f>
        <v>1</v>
      </c>
      <c r="K248" t="b">
        <f>((Table3[[#This Row],[Quantity]]&gt;=Table3[[#This Row],[Return Qty]])*(ISNUMBER(Table3[[#This Row],[Quantity]])))=1</f>
        <v>1</v>
      </c>
      <c r="L248" t="b">
        <f>ISNUMBER(Table3[[#This Row],[Unit Price]])</f>
        <v>1</v>
      </c>
      <c r="M248" t="b">
        <f>ISNUMBER(Table3[[#This Row],[Order Date]])</f>
        <v>1</v>
      </c>
      <c r="N248">
        <f>IFERROR(IF(Table3[[#This Row],[Quantity]]*Table3[[#This Row],[Unit Price]]&lt;0, "N/A", Table3[[#This Row],[Quantity]]*Table3[[#This Row],[Unit Price]]), "N/A")</f>
        <v>156000</v>
      </c>
      <c r="O248">
        <f>IFERROR(Table3[[#This Row],[Unit Price]]*Table3[[#This Row],[Return Qty]], "N/A")</f>
        <v>0</v>
      </c>
      <c r="P248">
        <f>IFERROR(IF((Table3[[#This Row],[Revenue before return]]-Table3[[#This Row],[Amount of order  returned]])&lt;0, "N/A", Table3[[#This Row],[Revenue before return]]-Table3[[#This Row],[Amount of order  returned]]), "N/A")</f>
        <v>156000</v>
      </c>
      <c r="Q24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49" spans="1:17" x14ac:dyDescent="0.2">
      <c r="A249" t="s">
        <v>481</v>
      </c>
      <c r="B249" t="s">
        <v>14</v>
      </c>
      <c r="C249" t="s">
        <v>45</v>
      </c>
      <c r="D249" s="6">
        <v>17</v>
      </c>
      <c r="E249" s="5">
        <v>20000</v>
      </c>
      <c r="F249" t="s">
        <v>482</v>
      </c>
      <c r="G249" s="7">
        <v>46049</v>
      </c>
      <c r="H249" s="5">
        <v>2</v>
      </c>
      <c r="I24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49" t="b">
        <f>((ISNUMBER(Table3[[#This Row],[Quantity]]) )* (Table3[[#This Row],[Quantity]]&gt;0))=1</f>
        <v>1</v>
      </c>
      <c r="K249" t="b">
        <f>((Table3[[#This Row],[Quantity]]&gt;=Table3[[#This Row],[Return Qty]])*(ISNUMBER(Table3[[#This Row],[Quantity]])))=1</f>
        <v>1</v>
      </c>
      <c r="L249" t="b">
        <f>ISNUMBER(Table3[[#This Row],[Unit Price]])</f>
        <v>1</v>
      </c>
      <c r="M249" t="b">
        <f>ISNUMBER(Table3[[#This Row],[Order Date]])</f>
        <v>1</v>
      </c>
      <c r="N249">
        <f>IFERROR(IF(Table3[[#This Row],[Quantity]]*Table3[[#This Row],[Unit Price]]&lt;0, "N/A", Table3[[#This Row],[Quantity]]*Table3[[#This Row],[Unit Price]]), "N/A")</f>
        <v>340000</v>
      </c>
      <c r="O249">
        <f>IFERROR(Table3[[#This Row],[Unit Price]]*Table3[[#This Row],[Return Qty]], "N/A")</f>
        <v>40000</v>
      </c>
      <c r="P249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24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50" spans="1:17" x14ac:dyDescent="0.2">
      <c r="A250" t="s">
        <v>483</v>
      </c>
      <c r="B250" t="s">
        <v>21</v>
      </c>
      <c r="C250" t="s">
        <v>39</v>
      </c>
      <c r="D250" s="6">
        <v>25</v>
      </c>
      <c r="E250" s="5">
        <v>12000</v>
      </c>
      <c r="F250" t="s">
        <v>484</v>
      </c>
      <c r="G250" s="7">
        <v>46137</v>
      </c>
      <c r="H250" s="5">
        <v>5</v>
      </c>
      <c r="I25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50" t="b">
        <f>((ISNUMBER(Table3[[#This Row],[Quantity]]) )* (Table3[[#This Row],[Quantity]]&gt;0))=1</f>
        <v>1</v>
      </c>
      <c r="K250" t="b">
        <f>((Table3[[#This Row],[Quantity]]&gt;=Table3[[#This Row],[Return Qty]])*(ISNUMBER(Table3[[#This Row],[Quantity]])))=1</f>
        <v>1</v>
      </c>
      <c r="L250" t="b">
        <f>ISNUMBER(Table3[[#This Row],[Unit Price]])</f>
        <v>1</v>
      </c>
      <c r="M250" t="b">
        <f>ISNUMBER(Table3[[#This Row],[Order Date]])</f>
        <v>1</v>
      </c>
      <c r="N250">
        <f>IFERROR(IF(Table3[[#This Row],[Quantity]]*Table3[[#This Row],[Unit Price]]&lt;0, "N/A", Table3[[#This Row],[Quantity]]*Table3[[#This Row],[Unit Price]]), "N/A")</f>
        <v>300000</v>
      </c>
      <c r="O250">
        <f>IFERROR(Table3[[#This Row],[Unit Price]]*Table3[[#This Row],[Return Qty]], "N/A")</f>
        <v>60000</v>
      </c>
      <c r="P250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25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51" spans="1:17" x14ac:dyDescent="0.2">
      <c r="A251" t="s">
        <v>485</v>
      </c>
      <c r="B251" t="s">
        <v>14</v>
      </c>
      <c r="C251" t="s">
        <v>45</v>
      </c>
      <c r="D251" s="6">
        <v>1</v>
      </c>
      <c r="E251" s="5">
        <v>20000</v>
      </c>
      <c r="F251" t="s">
        <v>468</v>
      </c>
      <c r="G251" s="7">
        <v>46182</v>
      </c>
      <c r="H251" s="5">
        <v>0</v>
      </c>
      <c r="I25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51" t="b">
        <f>((ISNUMBER(Table3[[#This Row],[Quantity]]) )* (Table3[[#This Row],[Quantity]]&gt;0))=1</f>
        <v>1</v>
      </c>
      <c r="K251" t="b">
        <f>((Table3[[#This Row],[Quantity]]&gt;=Table3[[#This Row],[Return Qty]])*(ISNUMBER(Table3[[#This Row],[Quantity]])))=1</f>
        <v>1</v>
      </c>
      <c r="L251" t="b">
        <f>ISNUMBER(Table3[[#This Row],[Unit Price]])</f>
        <v>1</v>
      </c>
      <c r="M251" t="b">
        <f>ISNUMBER(Table3[[#This Row],[Order Date]])</f>
        <v>1</v>
      </c>
      <c r="N251">
        <f>IFERROR(IF(Table3[[#This Row],[Quantity]]*Table3[[#This Row],[Unit Price]]&lt;0, "N/A", Table3[[#This Row],[Quantity]]*Table3[[#This Row],[Unit Price]]), "N/A")</f>
        <v>20000</v>
      </c>
      <c r="O251">
        <f>IFERROR(Table3[[#This Row],[Unit Price]]*Table3[[#This Row],[Return Qty]], "N/A")</f>
        <v>0</v>
      </c>
      <c r="P251">
        <f>IFERROR(IF((Table3[[#This Row],[Revenue before return]]-Table3[[#This Row],[Amount of order  returned]])&lt;0, "N/A", Table3[[#This Row],[Revenue before return]]-Table3[[#This Row],[Amount of order  returned]]), "N/A")</f>
        <v>20000</v>
      </c>
      <c r="Q25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52" spans="1:17" x14ac:dyDescent="0.2">
      <c r="A252" t="s">
        <v>486</v>
      </c>
      <c r="B252" t="s">
        <v>14</v>
      </c>
      <c r="C252" t="s">
        <v>70</v>
      </c>
      <c r="D252" s="6">
        <v>3</v>
      </c>
      <c r="E252" s="5">
        <v>28000</v>
      </c>
      <c r="F252" t="s">
        <v>163</v>
      </c>
      <c r="G252" s="7">
        <v>46144</v>
      </c>
      <c r="H252" s="5">
        <v>0</v>
      </c>
      <c r="I25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52" t="b">
        <f>((ISNUMBER(Table3[[#This Row],[Quantity]]) )* (Table3[[#This Row],[Quantity]]&gt;0))=1</f>
        <v>1</v>
      </c>
      <c r="K252" t="b">
        <f>((Table3[[#This Row],[Quantity]]&gt;=Table3[[#This Row],[Return Qty]])*(ISNUMBER(Table3[[#This Row],[Quantity]])))=1</f>
        <v>1</v>
      </c>
      <c r="L252" t="b">
        <f>ISNUMBER(Table3[[#This Row],[Unit Price]])</f>
        <v>1</v>
      </c>
      <c r="M252" t="b">
        <f>ISNUMBER(Table3[[#This Row],[Order Date]])</f>
        <v>1</v>
      </c>
      <c r="N252">
        <f>IFERROR(IF(Table3[[#This Row],[Quantity]]*Table3[[#This Row],[Unit Price]]&lt;0, "N/A", Table3[[#This Row],[Quantity]]*Table3[[#This Row],[Unit Price]]), "N/A")</f>
        <v>84000</v>
      </c>
      <c r="O252">
        <f>IFERROR(Table3[[#This Row],[Unit Price]]*Table3[[#This Row],[Return Qty]], "N/A")</f>
        <v>0</v>
      </c>
      <c r="P252">
        <f>IFERROR(IF((Table3[[#This Row],[Revenue before return]]-Table3[[#This Row],[Amount of order  returned]])&lt;0, "N/A", Table3[[#This Row],[Revenue before return]]-Table3[[#This Row],[Amount of order  returned]]), "N/A")</f>
        <v>84000</v>
      </c>
      <c r="Q25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53" spans="1:17" x14ac:dyDescent="0.2">
      <c r="A253" t="s">
        <v>487</v>
      </c>
      <c r="B253" t="s">
        <v>25</v>
      </c>
      <c r="C253" t="s">
        <v>26</v>
      </c>
      <c r="D253" s="6">
        <v>2</v>
      </c>
      <c r="E253" s="5">
        <v>20000</v>
      </c>
      <c r="F253" t="s">
        <v>328</v>
      </c>
      <c r="G253" s="7">
        <v>46174</v>
      </c>
      <c r="H253" s="5">
        <v>2</v>
      </c>
      <c r="I25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53" t="b">
        <f>((ISNUMBER(Table3[[#This Row],[Quantity]]) )* (Table3[[#This Row],[Quantity]]&gt;0))=1</f>
        <v>1</v>
      </c>
      <c r="K253" t="b">
        <f>((Table3[[#This Row],[Quantity]]&gt;=Table3[[#This Row],[Return Qty]])*(ISNUMBER(Table3[[#This Row],[Quantity]])))=1</f>
        <v>1</v>
      </c>
      <c r="L253" t="b">
        <f>ISNUMBER(Table3[[#This Row],[Unit Price]])</f>
        <v>1</v>
      </c>
      <c r="M253" t="b">
        <f>ISNUMBER(Table3[[#This Row],[Order Date]])</f>
        <v>1</v>
      </c>
      <c r="N253">
        <f>IFERROR(IF(Table3[[#This Row],[Quantity]]*Table3[[#This Row],[Unit Price]]&lt;0, "N/A", Table3[[#This Row],[Quantity]]*Table3[[#This Row],[Unit Price]]), "N/A")</f>
        <v>40000</v>
      </c>
      <c r="O253">
        <f>IFERROR(Table3[[#This Row],[Unit Price]]*Table3[[#This Row],[Return Qty]], "N/A")</f>
        <v>40000</v>
      </c>
      <c r="P253">
        <f>IFERROR(IF((Table3[[#This Row],[Revenue before return]]-Table3[[#This Row],[Amount of order  returned]])&lt;0, "N/A", Table3[[#This Row],[Revenue before return]]-Table3[[#This Row],[Amount of order  returned]]), "N/A")</f>
        <v>0</v>
      </c>
      <c r="Q25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54" spans="1:17" x14ac:dyDescent="0.2">
      <c r="A254" t="s">
        <v>488</v>
      </c>
      <c r="B254" t="s">
        <v>21</v>
      </c>
      <c r="C254" t="s">
        <v>10</v>
      </c>
      <c r="D254" s="6">
        <v>18</v>
      </c>
      <c r="E254" s="5">
        <v>15000</v>
      </c>
      <c r="F254" t="s">
        <v>253</v>
      </c>
      <c r="G254" s="7">
        <v>46098</v>
      </c>
      <c r="H254" s="5">
        <v>0</v>
      </c>
      <c r="I25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54" t="b">
        <f>((ISNUMBER(Table3[[#This Row],[Quantity]]) )* (Table3[[#This Row],[Quantity]]&gt;0))=1</f>
        <v>1</v>
      </c>
      <c r="K254" t="b">
        <f>((Table3[[#This Row],[Quantity]]&gt;=Table3[[#This Row],[Return Qty]])*(ISNUMBER(Table3[[#This Row],[Quantity]])))=1</f>
        <v>1</v>
      </c>
      <c r="L254" t="b">
        <f>ISNUMBER(Table3[[#This Row],[Unit Price]])</f>
        <v>1</v>
      </c>
      <c r="M254" t="b">
        <f>ISNUMBER(Table3[[#This Row],[Order Date]])</f>
        <v>1</v>
      </c>
      <c r="N254">
        <f>IFERROR(IF(Table3[[#This Row],[Quantity]]*Table3[[#This Row],[Unit Price]]&lt;0, "N/A", Table3[[#This Row],[Quantity]]*Table3[[#This Row],[Unit Price]]), "N/A")</f>
        <v>270000</v>
      </c>
      <c r="O254">
        <f>IFERROR(Table3[[#This Row],[Unit Price]]*Table3[[#This Row],[Return Qty]], "N/A")</f>
        <v>0</v>
      </c>
      <c r="P254">
        <f>IFERROR(IF((Table3[[#This Row],[Revenue before return]]-Table3[[#This Row],[Amount of order  returned]])&lt;0, "N/A", Table3[[#This Row],[Revenue before return]]-Table3[[#This Row],[Amount of order  returned]]), "N/A")</f>
        <v>270000</v>
      </c>
      <c r="Q25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55" spans="1:17" x14ac:dyDescent="0.2">
      <c r="A255" t="s">
        <v>489</v>
      </c>
      <c r="B255" t="s">
        <v>25</v>
      </c>
      <c r="C255" t="s">
        <v>39</v>
      </c>
      <c r="D255" s="6">
        <v>25</v>
      </c>
      <c r="E255" s="5">
        <v>12000</v>
      </c>
      <c r="F255" t="s">
        <v>92</v>
      </c>
      <c r="G255" s="7">
        <v>46124</v>
      </c>
      <c r="H255" s="5">
        <v>0</v>
      </c>
      <c r="I25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55" t="b">
        <f>((ISNUMBER(Table3[[#This Row],[Quantity]]) )* (Table3[[#This Row],[Quantity]]&gt;0))=1</f>
        <v>1</v>
      </c>
      <c r="K255" t="b">
        <f>((Table3[[#This Row],[Quantity]]&gt;=Table3[[#This Row],[Return Qty]])*(ISNUMBER(Table3[[#This Row],[Quantity]])))=1</f>
        <v>1</v>
      </c>
      <c r="L255" t="b">
        <f>ISNUMBER(Table3[[#This Row],[Unit Price]])</f>
        <v>1</v>
      </c>
      <c r="M255" t="b">
        <f>ISNUMBER(Table3[[#This Row],[Order Date]])</f>
        <v>1</v>
      </c>
      <c r="N255">
        <f>IFERROR(IF(Table3[[#This Row],[Quantity]]*Table3[[#This Row],[Unit Price]]&lt;0, "N/A", Table3[[#This Row],[Quantity]]*Table3[[#This Row],[Unit Price]]), "N/A")</f>
        <v>300000</v>
      </c>
      <c r="O255">
        <f>IFERROR(Table3[[#This Row],[Unit Price]]*Table3[[#This Row],[Return Qty]], "N/A")</f>
        <v>0</v>
      </c>
      <c r="P255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25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56" spans="1:17" x14ac:dyDescent="0.2">
      <c r="A256" t="s">
        <v>491</v>
      </c>
      <c r="B256" t="s">
        <v>14</v>
      </c>
      <c r="C256" t="s">
        <v>22</v>
      </c>
      <c r="D256" s="6">
        <v>2</v>
      </c>
      <c r="E256" s="5">
        <v>35000</v>
      </c>
      <c r="F256" t="s">
        <v>493</v>
      </c>
      <c r="G256" s="7">
        <v>46192</v>
      </c>
      <c r="H256" s="5">
        <v>0</v>
      </c>
      <c r="I25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56" t="b">
        <f>((ISNUMBER(Table3[[#This Row],[Quantity]]) )* (Table3[[#This Row],[Quantity]]&gt;0))=1</f>
        <v>1</v>
      </c>
      <c r="K256" t="b">
        <f>((Table3[[#This Row],[Quantity]]&gt;=Table3[[#This Row],[Return Qty]])*(ISNUMBER(Table3[[#This Row],[Quantity]])))=1</f>
        <v>1</v>
      </c>
      <c r="L256" t="b">
        <f>ISNUMBER(Table3[[#This Row],[Unit Price]])</f>
        <v>1</v>
      </c>
      <c r="M256" t="b">
        <f>ISNUMBER(Table3[[#This Row],[Order Date]])</f>
        <v>1</v>
      </c>
      <c r="N256">
        <f>IFERROR(IF(Table3[[#This Row],[Quantity]]*Table3[[#This Row],[Unit Price]]&lt;0, "N/A", Table3[[#This Row],[Quantity]]*Table3[[#This Row],[Unit Price]]), "N/A")</f>
        <v>70000</v>
      </c>
      <c r="O256">
        <f>IFERROR(Table3[[#This Row],[Unit Price]]*Table3[[#This Row],[Return Qty]], "N/A")</f>
        <v>0</v>
      </c>
      <c r="P256">
        <f>IFERROR(IF((Table3[[#This Row],[Revenue before return]]-Table3[[#This Row],[Amount of order  returned]])&lt;0, "N/A", Table3[[#This Row],[Revenue before return]]-Table3[[#This Row],[Amount of order  returned]]), "N/A")</f>
        <v>70000</v>
      </c>
      <c r="Q25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57" spans="1:17" x14ac:dyDescent="0.2">
      <c r="A257" t="s">
        <v>494</v>
      </c>
      <c r="B257" t="s">
        <v>25</v>
      </c>
      <c r="C257" t="s">
        <v>10</v>
      </c>
      <c r="D257" s="6">
        <v>3</v>
      </c>
      <c r="E257" s="5">
        <v>15000</v>
      </c>
      <c r="F257" t="s">
        <v>73</v>
      </c>
      <c r="G257" s="7">
        <v>46153</v>
      </c>
      <c r="H257" s="5">
        <v>2</v>
      </c>
      <c r="I25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57" t="b">
        <f>((ISNUMBER(Table3[[#This Row],[Quantity]]) )* (Table3[[#This Row],[Quantity]]&gt;0))=1</f>
        <v>1</v>
      </c>
      <c r="K257" t="b">
        <f>((Table3[[#This Row],[Quantity]]&gt;=Table3[[#This Row],[Return Qty]])*(ISNUMBER(Table3[[#This Row],[Quantity]])))=1</f>
        <v>1</v>
      </c>
      <c r="L257" t="b">
        <f>ISNUMBER(Table3[[#This Row],[Unit Price]])</f>
        <v>1</v>
      </c>
      <c r="M257" t="b">
        <f>ISNUMBER(Table3[[#This Row],[Order Date]])</f>
        <v>1</v>
      </c>
      <c r="N257">
        <f>IFERROR(IF(Table3[[#This Row],[Quantity]]*Table3[[#This Row],[Unit Price]]&lt;0, "N/A", Table3[[#This Row],[Quantity]]*Table3[[#This Row],[Unit Price]]), "N/A")</f>
        <v>45000</v>
      </c>
      <c r="O257">
        <f>IFERROR(Table3[[#This Row],[Unit Price]]*Table3[[#This Row],[Return Qty]], "N/A")</f>
        <v>30000</v>
      </c>
      <c r="P257">
        <f>IFERROR(IF((Table3[[#This Row],[Revenue before return]]-Table3[[#This Row],[Amount of order  returned]])&lt;0, "N/A", Table3[[#This Row],[Revenue before return]]-Table3[[#This Row],[Amount of order  returned]]), "N/A")</f>
        <v>15000</v>
      </c>
      <c r="Q25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58" spans="1:17" x14ac:dyDescent="0.2">
      <c r="A258" t="s">
        <v>495</v>
      </c>
      <c r="B258" t="s">
        <v>9</v>
      </c>
      <c r="C258" t="s">
        <v>32</v>
      </c>
      <c r="D258" s="6">
        <v>20</v>
      </c>
      <c r="E258" s="5">
        <v>8000</v>
      </c>
      <c r="F258" t="s">
        <v>416</v>
      </c>
      <c r="G258" s="7">
        <v>46055</v>
      </c>
      <c r="H258" s="5">
        <v>1</v>
      </c>
      <c r="I25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58" t="b">
        <f>((ISNUMBER(Table3[[#This Row],[Quantity]]) )* (Table3[[#This Row],[Quantity]]&gt;0))=1</f>
        <v>1</v>
      </c>
      <c r="K258" t="b">
        <f>((Table3[[#This Row],[Quantity]]&gt;=Table3[[#This Row],[Return Qty]])*(ISNUMBER(Table3[[#This Row],[Quantity]])))=1</f>
        <v>1</v>
      </c>
      <c r="L258" t="b">
        <f>ISNUMBER(Table3[[#This Row],[Unit Price]])</f>
        <v>1</v>
      </c>
      <c r="M258" t="b">
        <f>ISNUMBER(Table3[[#This Row],[Order Date]])</f>
        <v>1</v>
      </c>
      <c r="N258">
        <f>IFERROR(IF(Table3[[#This Row],[Quantity]]*Table3[[#This Row],[Unit Price]]&lt;0, "N/A", Table3[[#This Row],[Quantity]]*Table3[[#This Row],[Unit Price]]), "N/A")</f>
        <v>160000</v>
      </c>
      <c r="O258">
        <f>IFERROR(Table3[[#This Row],[Unit Price]]*Table3[[#This Row],[Return Qty]], "N/A")</f>
        <v>8000</v>
      </c>
      <c r="P258">
        <f>IFERROR(IF((Table3[[#This Row],[Revenue before return]]-Table3[[#This Row],[Amount of order  returned]])&lt;0, "N/A", Table3[[#This Row],[Revenue before return]]-Table3[[#This Row],[Amount of order  returned]]), "N/A")</f>
        <v>152000</v>
      </c>
      <c r="Q25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59" spans="1:17" x14ac:dyDescent="0.2">
      <c r="A259" t="s">
        <v>496</v>
      </c>
      <c r="B259" t="s">
        <v>9</v>
      </c>
      <c r="C259" t="s">
        <v>45</v>
      </c>
      <c r="D259" s="6">
        <v>3</v>
      </c>
      <c r="E259" s="5">
        <v>20000</v>
      </c>
      <c r="F259" t="s">
        <v>253</v>
      </c>
      <c r="G259" s="7">
        <v>46125</v>
      </c>
      <c r="H259" s="5">
        <v>0</v>
      </c>
      <c r="I25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59" t="b">
        <f>((ISNUMBER(Table3[[#This Row],[Quantity]]) )* (Table3[[#This Row],[Quantity]]&gt;0))=1</f>
        <v>1</v>
      </c>
      <c r="K259" t="b">
        <f>((Table3[[#This Row],[Quantity]]&gt;=Table3[[#This Row],[Return Qty]])*(ISNUMBER(Table3[[#This Row],[Quantity]])))=1</f>
        <v>1</v>
      </c>
      <c r="L259" t="b">
        <f>ISNUMBER(Table3[[#This Row],[Unit Price]])</f>
        <v>1</v>
      </c>
      <c r="M259" t="b">
        <f>ISNUMBER(Table3[[#This Row],[Order Date]])</f>
        <v>1</v>
      </c>
      <c r="N259">
        <f>IFERROR(IF(Table3[[#This Row],[Quantity]]*Table3[[#This Row],[Unit Price]]&lt;0, "N/A", Table3[[#This Row],[Quantity]]*Table3[[#This Row],[Unit Price]]), "N/A")</f>
        <v>60000</v>
      </c>
      <c r="O259">
        <f>IFERROR(Table3[[#This Row],[Unit Price]]*Table3[[#This Row],[Return Qty]], "N/A")</f>
        <v>0</v>
      </c>
      <c r="P259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25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60" spans="1:17" x14ac:dyDescent="0.2">
      <c r="A260" t="s">
        <v>497</v>
      </c>
      <c r="B260" t="s">
        <v>21</v>
      </c>
      <c r="C260" t="s">
        <v>10</v>
      </c>
      <c r="D260" s="6">
        <v>20</v>
      </c>
      <c r="E260" s="5">
        <v>15000</v>
      </c>
      <c r="F260" t="s">
        <v>209</v>
      </c>
      <c r="G260" s="7">
        <v>46061</v>
      </c>
      <c r="H260" s="5">
        <v>0</v>
      </c>
      <c r="I26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60" t="b">
        <f>((ISNUMBER(Table3[[#This Row],[Quantity]]) )* (Table3[[#This Row],[Quantity]]&gt;0))=1</f>
        <v>1</v>
      </c>
      <c r="K260" t="b">
        <f>((Table3[[#This Row],[Quantity]]&gt;=Table3[[#This Row],[Return Qty]])*(ISNUMBER(Table3[[#This Row],[Quantity]])))=1</f>
        <v>1</v>
      </c>
      <c r="L260" t="b">
        <f>ISNUMBER(Table3[[#This Row],[Unit Price]])</f>
        <v>1</v>
      </c>
      <c r="M260" t="b">
        <f>ISNUMBER(Table3[[#This Row],[Order Date]])</f>
        <v>1</v>
      </c>
      <c r="N260">
        <f>IFERROR(IF(Table3[[#This Row],[Quantity]]*Table3[[#This Row],[Unit Price]]&lt;0, "N/A", Table3[[#This Row],[Quantity]]*Table3[[#This Row],[Unit Price]]), "N/A")</f>
        <v>300000</v>
      </c>
      <c r="O260">
        <f>IFERROR(Table3[[#This Row],[Unit Price]]*Table3[[#This Row],[Return Qty]], "N/A")</f>
        <v>0</v>
      </c>
      <c r="P260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26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61" spans="1:17" x14ac:dyDescent="0.2">
      <c r="A261" t="s">
        <v>498</v>
      </c>
      <c r="B261" t="s">
        <v>25</v>
      </c>
      <c r="C261" t="s">
        <v>32</v>
      </c>
      <c r="D261" s="6">
        <v>23</v>
      </c>
      <c r="E261" s="5">
        <v>8000</v>
      </c>
      <c r="F261" t="s">
        <v>499</v>
      </c>
      <c r="G261" s="7">
        <v>46156</v>
      </c>
      <c r="H261" s="5">
        <v>0</v>
      </c>
      <c r="I26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61" t="b">
        <f>((ISNUMBER(Table3[[#This Row],[Quantity]]) )* (Table3[[#This Row],[Quantity]]&gt;0))=1</f>
        <v>1</v>
      </c>
      <c r="K261" t="b">
        <f>((Table3[[#This Row],[Quantity]]&gt;=Table3[[#This Row],[Return Qty]])*(ISNUMBER(Table3[[#This Row],[Quantity]])))=1</f>
        <v>1</v>
      </c>
      <c r="L261" t="b">
        <f>ISNUMBER(Table3[[#This Row],[Unit Price]])</f>
        <v>1</v>
      </c>
      <c r="M261" t="b">
        <f>ISNUMBER(Table3[[#This Row],[Order Date]])</f>
        <v>1</v>
      </c>
      <c r="N261">
        <f>IFERROR(IF(Table3[[#This Row],[Quantity]]*Table3[[#This Row],[Unit Price]]&lt;0, "N/A", Table3[[#This Row],[Quantity]]*Table3[[#This Row],[Unit Price]]), "N/A")</f>
        <v>184000</v>
      </c>
      <c r="O261">
        <f>IFERROR(Table3[[#This Row],[Unit Price]]*Table3[[#This Row],[Return Qty]], "N/A")</f>
        <v>0</v>
      </c>
      <c r="P261">
        <f>IFERROR(IF((Table3[[#This Row],[Revenue before return]]-Table3[[#This Row],[Amount of order  returned]])&lt;0, "N/A", Table3[[#This Row],[Revenue before return]]-Table3[[#This Row],[Amount of order  returned]]), "N/A")</f>
        <v>184000</v>
      </c>
      <c r="Q26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62" spans="1:17" x14ac:dyDescent="0.2">
      <c r="A262" t="s">
        <v>500</v>
      </c>
      <c r="B262" t="s">
        <v>21</v>
      </c>
      <c r="C262" t="s">
        <v>70</v>
      </c>
      <c r="D262" s="6">
        <v>-10</v>
      </c>
      <c r="E262" s="5">
        <v>28000</v>
      </c>
      <c r="F262" t="s">
        <v>209</v>
      </c>
      <c r="G262" s="7">
        <v>46173</v>
      </c>
      <c r="H262" s="5">
        <v>0</v>
      </c>
      <c r="I26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62" t="b">
        <f>((ISNUMBER(Table3[[#This Row],[Quantity]]) )* (Table3[[#This Row],[Quantity]]&gt;0))=1</f>
        <v>0</v>
      </c>
      <c r="K262" t="b">
        <f>((Table3[[#This Row],[Quantity]]&gt;=Table3[[#This Row],[Return Qty]])*(ISNUMBER(Table3[[#This Row],[Quantity]])))=1</f>
        <v>0</v>
      </c>
      <c r="L262" t="b">
        <f>ISNUMBER(Table3[[#This Row],[Unit Price]])</f>
        <v>1</v>
      </c>
      <c r="M262" t="b">
        <f>ISNUMBER(Table3[[#This Row],[Order Date]])</f>
        <v>1</v>
      </c>
      <c r="N262" t="str">
        <f>IFERROR(IF(Table3[[#This Row],[Quantity]]*Table3[[#This Row],[Unit Price]]&lt;0, "N/A", Table3[[#This Row],[Quantity]]*Table3[[#This Row],[Unit Price]]), "N/A")</f>
        <v>N/A</v>
      </c>
      <c r="O262">
        <f>IFERROR(Table3[[#This Row],[Unit Price]]*Table3[[#This Row],[Return Qty]], "N/A")</f>
        <v>0</v>
      </c>
      <c r="P262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26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263" spans="1:17" x14ac:dyDescent="0.2">
      <c r="A263" t="s">
        <v>501</v>
      </c>
      <c r="B263" t="s">
        <v>25</v>
      </c>
      <c r="C263" t="s">
        <v>70</v>
      </c>
      <c r="D263" s="6">
        <v>14</v>
      </c>
      <c r="E263" s="5">
        <v>28000</v>
      </c>
      <c r="F263" t="s">
        <v>464</v>
      </c>
      <c r="G263" s="7">
        <v>46125</v>
      </c>
      <c r="H263" s="5">
        <v>0</v>
      </c>
      <c r="I26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63" t="b">
        <f>((ISNUMBER(Table3[[#This Row],[Quantity]]) )* (Table3[[#This Row],[Quantity]]&gt;0))=1</f>
        <v>1</v>
      </c>
      <c r="K263" t="b">
        <f>((Table3[[#This Row],[Quantity]]&gt;=Table3[[#This Row],[Return Qty]])*(ISNUMBER(Table3[[#This Row],[Quantity]])))=1</f>
        <v>1</v>
      </c>
      <c r="L263" t="b">
        <f>ISNUMBER(Table3[[#This Row],[Unit Price]])</f>
        <v>1</v>
      </c>
      <c r="M263" t="b">
        <f>ISNUMBER(Table3[[#This Row],[Order Date]])</f>
        <v>1</v>
      </c>
      <c r="N263">
        <f>IFERROR(IF(Table3[[#This Row],[Quantity]]*Table3[[#This Row],[Unit Price]]&lt;0, "N/A", Table3[[#This Row],[Quantity]]*Table3[[#This Row],[Unit Price]]), "N/A")</f>
        <v>392000</v>
      </c>
      <c r="O263">
        <f>IFERROR(Table3[[#This Row],[Unit Price]]*Table3[[#This Row],[Return Qty]], "N/A")</f>
        <v>0</v>
      </c>
      <c r="P263">
        <f>IFERROR(IF((Table3[[#This Row],[Revenue before return]]-Table3[[#This Row],[Amount of order  returned]])&lt;0, "N/A", Table3[[#This Row],[Revenue before return]]-Table3[[#This Row],[Amount of order  returned]]), "N/A")</f>
        <v>392000</v>
      </c>
      <c r="Q26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64" spans="1:17" x14ac:dyDescent="0.2">
      <c r="A264" t="s">
        <v>502</v>
      </c>
      <c r="B264" t="s">
        <v>14</v>
      </c>
      <c r="C264" t="s">
        <v>70</v>
      </c>
      <c r="D264" s="6">
        <v>2</v>
      </c>
      <c r="E264" s="5">
        <v>28000</v>
      </c>
      <c r="F264" t="s">
        <v>340</v>
      </c>
      <c r="G264" s="7">
        <v>46144</v>
      </c>
      <c r="H264" s="5">
        <v>0</v>
      </c>
      <c r="I26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64" t="b">
        <f>((ISNUMBER(Table3[[#This Row],[Quantity]]) )* (Table3[[#This Row],[Quantity]]&gt;0))=1</f>
        <v>1</v>
      </c>
      <c r="K264" t="b">
        <f>((Table3[[#This Row],[Quantity]]&gt;=Table3[[#This Row],[Return Qty]])*(ISNUMBER(Table3[[#This Row],[Quantity]])))=1</f>
        <v>1</v>
      </c>
      <c r="L264" t="b">
        <f>ISNUMBER(Table3[[#This Row],[Unit Price]])</f>
        <v>1</v>
      </c>
      <c r="M264" t="b">
        <f>ISNUMBER(Table3[[#This Row],[Order Date]])</f>
        <v>1</v>
      </c>
      <c r="N264">
        <f>IFERROR(IF(Table3[[#This Row],[Quantity]]*Table3[[#This Row],[Unit Price]]&lt;0, "N/A", Table3[[#This Row],[Quantity]]*Table3[[#This Row],[Unit Price]]), "N/A")</f>
        <v>56000</v>
      </c>
      <c r="O264">
        <f>IFERROR(Table3[[#This Row],[Unit Price]]*Table3[[#This Row],[Return Qty]], "N/A")</f>
        <v>0</v>
      </c>
      <c r="P264">
        <f>IFERROR(IF((Table3[[#This Row],[Revenue before return]]-Table3[[#This Row],[Amount of order  returned]])&lt;0, "N/A", Table3[[#This Row],[Revenue before return]]-Table3[[#This Row],[Amount of order  returned]]), "N/A")</f>
        <v>56000</v>
      </c>
      <c r="Q26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65" spans="1:17" x14ac:dyDescent="0.2">
      <c r="A265" t="s">
        <v>503</v>
      </c>
      <c r="B265" t="s">
        <v>25</v>
      </c>
      <c r="C265" t="s">
        <v>10</v>
      </c>
      <c r="D265" s="6">
        <v>3</v>
      </c>
      <c r="E265" s="5">
        <v>15000</v>
      </c>
      <c r="F265" t="s">
        <v>92</v>
      </c>
      <c r="G265" s="7">
        <v>46045</v>
      </c>
      <c r="H265" s="5">
        <v>0</v>
      </c>
      <c r="I26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65" t="b">
        <f>((ISNUMBER(Table3[[#This Row],[Quantity]]) )* (Table3[[#This Row],[Quantity]]&gt;0))=1</f>
        <v>1</v>
      </c>
      <c r="K265" t="b">
        <f>((Table3[[#This Row],[Quantity]]&gt;=Table3[[#This Row],[Return Qty]])*(ISNUMBER(Table3[[#This Row],[Quantity]])))=1</f>
        <v>1</v>
      </c>
      <c r="L265" t="b">
        <f>ISNUMBER(Table3[[#This Row],[Unit Price]])</f>
        <v>1</v>
      </c>
      <c r="M265" t="b">
        <f>ISNUMBER(Table3[[#This Row],[Order Date]])</f>
        <v>1</v>
      </c>
      <c r="N265">
        <f>IFERROR(IF(Table3[[#This Row],[Quantity]]*Table3[[#This Row],[Unit Price]]&lt;0, "N/A", Table3[[#This Row],[Quantity]]*Table3[[#This Row],[Unit Price]]), "N/A")</f>
        <v>45000</v>
      </c>
      <c r="O265">
        <f>IFERROR(Table3[[#This Row],[Unit Price]]*Table3[[#This Row],[Return Qty]], "N/A")</f>
        <v>0</v>
      </c>
      <c r="P265">
        <f>IFERROR(IF((Table3[[#This Row],[Revenue before return]]-Table3[[#This Row],[Amount of order  returned]])&lt;0, "N/A", Table3[[#This Row],[Revenue before return]]-Table3[[#This Row],[Amount of order  returned]]), "N/A")</f>
        <v>45000</v>
      </c>
      <c r="Q26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66" spans="1:17" x14ac:dyDescent="0.2">
      <c r="A266" t="s">
        <v>504</v>
      </c>
      <c r="B266" t="s">
        <v>25</v>
      </c>
      <c r="C266" t="s">
        <v>22</v>
      </c>
      <c r="D266" s="6">
        <v>13</v>
      </c>
      <c r="E266" s="5">
        <v>35000</v>
      </c>
      <c r="F266" t="s">
        <v>410</v>
      </c>
      <c r="G266" s="18" t="s">
        <v>224</v>
      </c>
      <c r="H266" s="5">
        <v>0</v>
      </c>
      <c r="I26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66" t="b">
        <f>((ISNUMBER(Table3[[#This Row],[Quantity]]) )* (Table3[[#This Row],[Quantity]]&gt;0))=1</f>
        <v>1</v>
      </c>
      <c r="K266" t="b">
        <f>((Table3[[#This Row],[Quantity]]&gt;=Table3[[#This Row],[Return Qty]])*(ISNUMBER(Table3[[#This Row],[Quantity]])))=1</f>
        <v>1</v>
      </c>
      <c r="L266" t="b">
        <f>ISNUMBER(Table3[[#This Row],[Unit Price]])</f>
        <v>1</v>
      </c>
      <c r="M266" t="b">
        <f>ISNUMBER(Table3[[#This Row],[Order Date]])</f>
        <v>0</v>
      </c>
      <c r="N266">
        <f>IFERROR(IF(Table3[[#This Row],[Quantity]]*Table3[[#This Row],[Unit Price]]&lt;0, "N/A", Table3[[#This Row],[Quantity]]*Table3[[#This Row],[Unit Price]]), "N/A")</f>
        <v>455000</v>
      </c>
      <c r="O266">
        <f>IFERROR(Table3[[#This Row],[Unit Price]]*Table3[[#This Row],[Return Qty]], "N/A")</f>
        <v>0</v>
      </c>
      <c r="P266">
        <f>IFERROR(IF((Table3[[#This Row],[Revenue before return]]-Table3[[#This Row],[Amount of order  returned]])&lt;0, "N/A", Table3[[#This Row],[Revenue before return]]-Table3[[#This Row],[Amount of order  returned]]), "N/A")</f>
        <v>455000</v>
      </c>
      <c r="Q26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267" spans="1:17" x14ac:dyDescent="0.2">
      <c r="A267" t="s">
        <v>505</v>
      </c>
      <c r="B267" t="s">
        <v>9</v>
      </c>
      <c r="C267" t="s">
        <v>32</v>
      </c>
      <c r="D267" s="6">
        <v>5</v>
      </c>
      <c r="E267" s="5">
        <v>8000</v>
      </c>
      <c r="F267" t="s">
        <v>302</v>
      </c>
      <c r="G267" s="7">
        <v>46117</v>
      </c>
      <c r="H267" s="5">
        <v>0</v>
      </c>
      <c r="I26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67" t="b">
        <f>((ISNUMBER(Table3[[#This Row],[Quantity]]) )* (Table3[[#This Row],[Quantity]]&gt;0))=1</f>
        <v>1</v>
      </c>
      <c r="K267" t="b">
        <f>((Table3[[#This Row],[Quantity]]&gt;=Table3[[#This Row],[Return Qty]])*(ISNUMBER(Table3[[#This Row],[Quantity]])))=1</f>
        <v>1</v>
      </c>
      <c r="L267" t="b">
        <f>ISNUMBER(Table3[[#This Row],[Unit Price]])</f>
        <v>1</v>
      </c>
      <c r="M267" t="b">
        <f>ISNUMBER(Table3[[#This Row],[Order Date]])</f>
        <v>1</v>
      </c>
      <c r="N267">
        <f>IFERROR(IF(Table3[[#This Row],[Quantity]]*Table3[[#This Row],[Unit Price]]&lt;0, "N/A", Table3[[#This Row],[Quantity]]*Table3[[#This Row],[Unit Price]]), "N/A")</f>
        <v>40000</v>
      </c>
      <c r="O267">
        <f>IFERROR(Table3[[#This Row],[Unit Price]]*Table3[[#This Row],[Return Qty]], "N/A")</f>
        <v>0</v>
      </c>
      <c r="P267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26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68" spans="1:17" x14ac:dyDescent="0.2">
      <c r="A268" t="s">
        <v>506</v>
      </c>
      <c r="B268" t="s">
        <v>14</v>
      </c>
      <c r="C268" t="s">
        <v>39</v>
      </c>
      <c r="D268" s="6">
        <v>3</v>
      </c>
      <c r="E268" s="5">
        <v>12000</v>
      </c>
      <c r="F268" t="s">
        <v>507</v>
      </c>
      <c r="G268" s="7">
        <v>46157</v>
      </c>
      <c r="H268" s="5">
        <v>0</v>
      </c>
      <c r="I26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68" t="b">
        <f>((ISNUMBER(Table3[[#This Row],[Quantity]]) )* (Table3[[#This Row],[Quantity]]&gt;0))=1</f>
        <v>1</v>
      </c>
      <c r="K268" t="b">
        <f>((Table3[[#This Row],[Quantity]]&gt;=Table3[[#This Row],[Return Qty]])*(ISNUMBER(Table3[[#This Row],[Quantity]])))=1</f>
        <v>1</v>
      </c>
      <c r="L268" t="b">
        <f>ISNUMBER(Table3[[#This Row],[Unit Price]])</f>
        <v>1</v>
      </c>
      <c r="M268" t="b">
        <f>ISNUMBER(Table3[[#This Row],[Order Date]])</f>
        <v>1</v>
      </c>
      <c r="N268">
        <f>IFERROR(IF(Table3[[#This Row],[Quantity]]*Table3[[#This Row],[Unit Price]]&lt;0, "N/A", Table3[[#This Row],[Quantity]]*Table3[[#This Row],[Unit Price]]), "N/A")</f>
        <v>36000</v>
      </c>
      <c r="O268">
        <f>IFERROR(Table3[[#This Row],[Unit Price]]*Table3[[#This Row],[Return Qty]], "N/A")</f>
        <v>0</v>
      </c>
      <c r="P268">
        <f>IFERROR(IF((Table3[[#This Row],[Revenue before return]]-Table3[[#This Row],[Amount of order  returned]])&lt;0, "N/A", Table3[[#This Row],[Revenue before return]]-Table3[[#This Row],[Amount of order  returned]]), "N/A")</f>
        <v>36000</v>
      </c>
      <c r="Q26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69" spans="1:17" x14ac:dyDescent="0.2">
      <c r="A269" t="s">
        <v>508</v>
      </c>
      <c r="B269" t="s">
        <v>304</v>
      </c>
      <c r="C269" t="s">
        <v>39</v>
      </c>
      <c r="D269" s="6">
        <v>8</v>
      </c>
      <c r="E269" s="5">
        <v>12000</v>
      </c>
      <c r="F269" t="s">
        <v>132</v>
      </c>
      <c r="G269" s="7">
        <v>46182</v>
      </c>
      <c r="H269" s="5">
        <v>0</v>
      </c>
      <c r="I26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69" t="b">
        <f>((ISNUMBER(Table3[[#This Row],[Quantity]]) )* (Table3[[#This Row],[Quantity]]&gt;0))=1</f>
        <v>1</v>
      </c>
      <c r="K269" t="b">
        <f>((Table3[[#This Row],[Quantity]]&gt;=Table3[[#This Row],[Return Qty]])*(ISNUMBER(Table3[[#This Row],[Quantity]])))=1</f>
        <v>1</v>
      </c>
      <c r="L269" t="b">
        <f>ISNUMBER(Table3[[#This Row],[Unit Price]])</f>
        <v>1</v>
      </c>
      <c r="M269" t="b">
        <f>ISNUMBER(Table3[[#This Row],[Order Date]])</f>
        <v>1</v>
      </c>
      <c r="N269">
        <f>IFERROR(IF(Table3[[#This Row],[Quantity]]*Table3[[#This Row],[Unit Price]]&lt;0, "N/A", Table3[[#This Row],[Quantity]]*Table3[[#This Row],[Unit Price]]), "N/A")</f>
        <v>96000</v>
      </c>
      <c r="O269">
        <f>IFERROR(Table3[[#This Row],[Unit Price]]*Table3[[#This Row],[Return Qty]], "N/A")</f>
        <v>0</v>
      </c>
      <c r="P269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26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70" spans="1:17" x14ac:dyDescent="0.2">
      <c r="A270" t="s">
        <v>509</v>
      </c>
      <c r="B270" t="s">
        <v>14</v>
      </c>
      <c r="C270" t="s">
        <v>39</v>
      </c>
      <c r="D270" s="6">
        <v>15</v>
      </c>
      <c r="E270" s="5">
        <v>12000</v>
      </c>
      <c r="F270" t="s">
        <v>61</v>
      </c>
      <c r="G270" s="7">
        <v>46067</v>
      </c>
      <c r="H270" s="5">
        <v>0</v>
      </c>
      <c r="I27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70" t="b">
        <f>((ISNUMBER(Table3[[#This Row],[Quantity]]) )* (Table3[[#This Row],[Quantity]]&gt;0))=1</f>
        <v>1</v>
      </c>
      <c r="K270" t="b">
        <f>((Table3[[#This Row],[Quantity]]&gt;=Table3[[#This Row],[Return Qty]])*(ISNUMBER(Table3[[#This Row],[Quantity]])))=1</f>
        <v>1</v>
      </c>
      <c r="L270" t="b">
        <f>ISNUMBER(Table3[[#This Row],[Unit Price]])</f>
        <v>1</v>
      </c>
      <c r="M270" t="b">
        <f>ISNUMBER(Table3[[#This Row],[Order Date]])</f>
        <v>1</v>
      </c>
      <c r="N270">
        <f>IFERROR(IF(Table3[[#This Row],[Quantity]]*Table3[[#This Row],[Unit Price]]&lt;0, "N/A", Table3[[#This Row],[Quantity]]*Table3[[#This Row],[Unit Price]]), "N/A")</f>
        <v>180000</v>
      </c>
      <c r="O270">
        <f>IFERROR(Table3[[#This Row],[Unit Price]]*Table3[[#This Row],[Return Qty]], "N/A")</f>
        <v>0</v>
      </c>
      <c r="P270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27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71" spans="1:17" x14ac:dyDescent="0.2">
      <c r="A271" t="s">
        <v>510</v>
      </c>
      <c r="B271" t="s">
        <v>21</v>
      </c>
      <c r="C271" t="s">
        <v>32</v>
      </c>
      <c r="D271" s="6">
        <v>13</v>
      </c>
      <c r="E271" s="5">
        <v>8000</v>
      </c>
      <c r="F271" t="s">
        <v>412</v>
      </c>
      <c r="G271" s="7">
        <v>46079</v>
      </c>
      <c r="H271" s="5">
        <v>0</v>
      </c>
      <c r="I27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71" t="b">
        <f>((ISNUMBER(Table3[[#This Row],[Quantity]]) )* (Table3[[#This Row],[Quantity]]&gt;0))=1</f>
        <v>1</v>
      </c>
      <c r="K271" t="b">
        <f>((Table3[[#This Row],[Quantity]]&gt;=Table3[[#This Row],[Return Qty]])*(ISNUMBER(Table3[[#This Row],[Quantity]])))=1</f>
        <v>1</v>
      </c>
      <c r="L271" t="b">
        <f>ISNUMBER(Table3[[#This Row],[Unit Price]])</f>
        <v>1</v>
      </c>
      <c r="M271" t="b">
        <f>ISNUMBER(Table3[[#This Row],[Order Date]])</f>
        <v>1</v>
      </c>
      <c r="N271">
        <f>IFERROR(IF(Table3[[#This Row],[Quantity]]*Table3[[#This Row],[Unit Price]]&lt;0, "N/A", Table3[[#This Row],[Quantity]]*Table3[[#This Row],[Unit Price]]), "N/A")</f>
        <v>104000</v>
      </c>
      <c r="O271">
        <f>IFERROR(Table3[[#This Row],[Unit Price]]*Table3[[#This Row],[Return Qty]], "N/A")</f>
        <v>0</v>
      </c>
      <c r="P271">
        <f>IFERROR(IF((Table3[[#This Row],[Revenue before return]]-Table3[[#This Row],[Amount of order  returned]])&lt;0, "N/A", Table3[[#This Row],[Revenue before return]]-Table3[[#This Row],[Amount of order  returned]]), "N/A")</f>
        <v>104000</v>
      </c>
      <c r="Q27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72" spans="1:17" x14ac:dyDescent="0.2">
      <c r="A272" t="s">
        <v>511</v>
      </c>
      <c r="B272" t="s">
        <v>21</v>
      </c>
      <c r="C272" t="s">
        <v>70</v>
      </c>
      <c r="D272" s="6">
        <v>1</v>
      </c>
      <c r="E272" s="5">
        <v>28000</v>
      </c>
      <c r="F272" t="s">
        <v>159</v>
      </c>
      <c r="G272" s="7" t="s">
        <v>11</v>
      </c>
      <c r="H272" s="5">
        <v>0</v>
      </c>
      <c r="I27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72" t="b">
        <f>((ISNUMBER(Table3[[#This Row],[Quantity]]) )* (Table3[[#This Row],[Quantity]]&gt;0))=1</f>
        <v>1</v>
      </c>
      <c r="K272" t="b">
        <f>((Table3[[#This Row],[Quantity]]&gt;=Table3[[#This Row],[Return Qty]])*(ISNUMBER(Table3[[#This Row],[Quantity]])))=1</f>
        <v>1</v>
      </c>
      <c r="L272" t="b">
        <f>ISNUMBER(Table3[[#This Row],[Unit Price]])</f>
        <v>1</v>
      </c>
      <c r="M272" t="b">
        <f>ISNUMBER(Table3[[#This Row],[Order Date]])</f>
        <v>0</v>
      </c>
      <c r="N272">
        <f>IFERROR(IF(Table3[[#This Row],[Quantity]]*Table3[[#This Row],[Unit Price]]&lt;0, "N/A", Table3[[#This Row],[Quantity]]*Table3[[#This Row],[Unit Price]]), "N/A")</f>
        <v>28000</v>
      </c>
      <c r="O272">
        <f>IFERROR(Table3[[#This Row],[Unit Price]]*Table3[[#This Row],[Return Qty]], "N/A")</f>
        <v>0</v>
      </c>
      <c r="P272">
        <f>IFERROR(IF((Table3[[#This Row],[Revenue before return]]-Table3[[#This Row],[Amount of order  returned]])&lt;0, "N/A", Table3[[#This Row],[Revenue before return]]-Table3[[#This Row],[Amount of order  returned]]), "N/A")</f>
        <v>28000</v>
      </c>
      <c r="Q27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273" spans="1:17" x14ac:dyDescent="0.2">
      <c r="A273" t="s">
        <v>512</v>
      </c>
      <c r="B273" t="s">
        <v>25</v>
      </c>
      <c r="C273" t="s">
        <v>70</v>
      </c>
      <c r="D273" s="6">
        <v>16</v>
      </c>
      <c r="E273" s="5">
        <v>28000</v>
      </c>
      <c r="F273" t="s">
        <v>514</v>
      </c>
      <c r="G273" s="7">
        <v>46190</v>
      </c>
      <c r="H273" s="5">
        <v>0</v>
      </c>
      <c r="I27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73" t="b">
        <f>((ISNUMBER(Table3[[#This Row],[Quantity]]) )* (Table3[[#This Row],[Quantity]]&gt;0))=1</f>
        <v>1</v>
      </c>
      <c r="K273" t="b">
        <f>((Table3[[#This Row],[Quantity]]&gt;=Table3[[#This Row],[Return Qty]])*(ISNUMBER(Table3[[#This Row],[Quantity]])))=1</f>
        <v>1</v>
      </c>
      <c r="L273" t="b">
        <f>ISNUMBER(Table3[[#This Row],[Unit Price]])</f>
        <v>1</v>
      </c>
      <c r="M273" t="b">
        <f>ISNUMBER(Table3[[#This Row],[Order Date]])</f>
        <v>1</v>
      </c>
      <c r="N273">
        <f>IFERROR(IF(Table3[[#This Row],[Quantity]]*Table3[[#This Row],[Unit Price]]&lt;0, "N/A", Table3[[#This Row],[Quantity]]*Table3[[#This Row],[Unit Price]]), "N/A")</f>
        <v>448000</v>
      </c>
      <c r="O273">
        <f>IFERROR(Table3[[#This Row],[Unit Price]]*Table3[[#This Row],[Return Qty]], "N/A")</f>
        <v>0</v>
      </c>
      <c r="P273">
        <f>IFERROR(IF((Table3[[#This Row],[Revenue before return]]-Table3[[#This Row],[Amount of order  returned]])&lt;0, "N/A", Table3[[#This Row],[Revenue before return]]-Table3[[#This Row],[Amount of order  returned]]), "N/A")</f>
        <v>448000</v>
      </c>
      <c r="Q27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74" spans="1:17" x14ac:dyDescent="0.2">
      <c r="A274" t="s">
        <v>515</v>
      </c>
      <c r="B274" t="s">
        <v>9</v>
      </c>
      <c r="C274" t="s">
        <v>10</v>
      </c>
      <c r="D274" s="6">
        <v>6</v>
      </c>
      <c r="E274" s="5">
        <v>15000</v>
      </c>
      <c r="F274" t="s">
        <v>516</v>
      </c>
      <c r="G274" s="7">
        <v>46118</v>
      </c>
      <c r="H274" s="5">
        <v>0</v>
      </c>
      <c r="I27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74" t="b">
        <f>((ISNUMBER(Table3[[#This Row],[Quantity]]) )* (Table3[[#This Row],[Quantity]]&gt;0))=1</f>
        <v>1</v>
      </c>
      <c r="K274" t="b">
        <f>((Table3[[#This Row],[Quantity]]&gt;=Table3[[#This Row],[Return Qty]])*(ISNUMBER(Table3[[#This Row],[Quantity]])))=1</f>
        <v>1</v>
      </c>
      <c r="L274" t="b">
        <f>ISNUMBER(Table3[[#This Row],[Unit Price]])</f>
        <v>1</v>
      </c>
      <c r="M274" t="b">
        <f>ISNUMBER(Table3[[#This Row],[Order Date]])</f>
        <v>1</v>
      </c>
      <c r="N274">
        <f>IFERROR(IF(Table3[[#This Row],[Quantity]]*Table3[[#This Row],[Unit Price]]&lt;0, "N/A", Table3[[#This Row],[Quantity]]*Table3[[#This Row],[Unit Price]]), "N/A")</f>
        <v>90000</v>
      </c>
      <c r="O274">
        <f>IFERROR(Table3[[#This Row],[Unit Price]]*Table3[[#This Row],[Return Qty]], "N/A")</f>
        <v>0</v>
      </c>
      <c r="P274">
        <f>IFERROR(IF((Table3[[#This Row],[Revenue before return]]-Table3[[#This Row],[Amount of order  returned]])&lt;0, "N/A", Table3[[#This Row],[Revenue before return]]-Table3[[#This Row],[Amount of order  returned]]), "N/A")</f>
        <v>90000</v>
      </c>
      <c r="Q27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75" spans="1:17" x14ac:dyDescent="0.2">
      <c r="A275" t="s">
        <v>517</v>
      </c>
      <c r="B275" t="s">
        <v>9</v>
      </c>
      <c r="C275" t="s">
        <v>45</v>
      </c>
      <c r="D275" s="6">
        <v>10</v>
      </c>
      <c r="E275" s="5">
        <v>20000</v>
      </c>
      <c r="F275" t="s">
        <v>11</v>
      </c>
      <c r="G275" s="7">
        <v>46132</v>
      </c>
      <c r="H275" s="5">
        <v>3</v>
      </c>
      <c r="I27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75" t="b">
        <f>((ISNUMBER(Table3[[#This Row],[Quantity]]) )* (Table3[[#This Row],[Quantity]]&gt;0))=1</f>
        <v>1</v>
      </c>
      <c r="K275" t="b">
        <f>((Table3[[#This Row],[Quantity]]&gt;=Table3[[#This Row],[Return Qty]])*(ISNUMBER(Table3[[#This Row],[Quantity]])))=1</f>
        <v>1</v>
      </c>
      <c r="L275" t="b">
        <f>ISNUMBER(Table3[[#This Row],[Unit Price]])</f>
        <v>1</v>
      </c>
      <c r="M275" t="b">
        <f>ISNUMBER(Table3[[#This Row],[Order Date]])</f>
        <v>1</v>
      </c>
      <c r="N275">
        <f>IFERROR(IF(Table3[[#This Row],[Quantity]]*Table3[[#This Row],[Unit Price]]&lt;0, "N/A", Table3[[#This Row],[Quantity]]*Table3[[#This Row],[Unit Price]]), "N/A")</f>
        <v>200000</v>
      </c>
      <c r="O275">
        <f>IFERROR(Table3[[#This Row],[Unit Price]]*Table3[[#This Row],[Return Qty]], "N/A")</f>
        <v>60000</v>
      </c>
      <c r="P275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27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76" spans="1:17" x14ac:dyDescent="0.2">
      <c r="A276" t="s">
        <v>518</v>
      </c>
      <c r="B276" t="s">
        <v>25</v>
      </c>
      <c r="C276" t="s">
        <v>22</v>
      </c>
      <c r="D276" s="6">
        <v>9</v>
      </c>
      <c r="E276" s="5">
        <v>35000</v>
      </c>
      <c r="F276" t="s">
        <v>177</v>
      </c>
      <c r="G276" s="7">
        <v>46202</v>
      </c>
      <c r="H276" s="5">
        <v>0</v>
      </c>
      <c r="I27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76" t="b">
        <f>((ISNUMBER(Table3[[#This Row],[Quantity]]) )* (Table3[[#This Row],[Quantity]]&gt;0))=1</f>
        <v>1</v>
      </c>
      <c r="K276" t="b">
        <f>((Table3[[#This Row],[Quantity]]&gt;=Table3[[#This Row],[Return Qty]])*(ISNUMBER(Table3[[#This Row],[Quantity]])))=1</f>
        <v>1</v>
      </c>
      <c r="L276" t="b">
        <f>ISNUMBER(Table3[[#This Row],[Unit Price]])</f>
        <v>1</v>
      </c>
      <c r="M276" t="b">
        <f>ISNUMBER(Table3[[#This Row],[Order Date]])</f>
        <v>1</v>
      </c>
      <c r="N276">
        <f>IFERROR(IF(Table3[[#This Row],[Quantity]]*Table3[[#This Row],[Unit Price]]&lt;0, "N/A", Table3[[#This Row],[Quantity]]*Table3[[#This Row],[Unit Price]]), "N/A")</f>
        <v>315000</v>
      </c>
      <c r="O276">
        <f>IFERROR(Table3[[#This Row],[Unit Price]]*Table3[[#This Row],[Return Qty]], "N/A")</f>
        <v>0</v>
      </c>
      <c r="P276">
        <f>IFERROR(IF((Table3[[#This Row],[Revenue before return]]-Table3[[#This Row],[Amount of order  returned]])&lt;0, "N/A", Table3[[#This Row],[Revenue before return]]-Table3[[#This Row],[Amount of order  returned]]), "N/A")</f>
        <v>315000</v>
      </c>
      <c r="Q27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77" spans="1:17" x14ac:dyDescent="0.2">
      <c r="A277" t="s">
        <v>519</v>
      </c>
      <c r="B277" t="s">
        <v>9</v>
      </c>
      <c r="C277" t="s">
        <v>10</v>
      </c>
      <c r="D277" s="6">
        <v>16</v>
      </c>
      <c r="E277" s="5">
        <v>15000</v>
      </c>
      <c r="F277" t="s">
        <v>80</v>
      </c>
      <c r="G277" s="7">
        <v>46187</v>
      </c>
      <c r="H277" s="5">
        <v>0</v>
      </c>
      <c r="I27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77" t="b">
        <f>((ISNUMBER(Table3[[#This Row],[Quantity]]) )* (Table3[[#This Row],[Quantity]]&gt;0))=1</f>
        <v>1</v>
      </c>
      <c r="K277" t="b">
        <f>((Table3[[#This Row],[Quantity]]&gt;=Table3[[#This Row],[Return Qty]])*(ISNUMBER(Table3[[#This Row],[Quantity]])))=1</f>
        <v>1</v>
      </c>
      <c r="L277" t="b">
        <f>ISNUMBER(Table3[[#This Row],[Unit Price]])</f>
        <v>1</v>
      </c>
      <c r="M277" t="b">
        <f>ISNUMBER(Table3[[#This Row],[Order Date]])</f>
        <v>1</v>
      </c>
      <c r="N277">
        <f>IFERROR(IF(Table3[[#This Row],[Quantity]]*Table3[[#This Row],[Unit Price]]&lt;0, "N/A", Table3[[#This Row],[Quantity]]*Table3[[#This Row],[Unit Price]]), "N/A")</f>
        <v>240000</v>
      </c>
      <c r="O277">
        <f>IFERROR(Table3[[#This Row],[Unit Price]]*Table3[[#This Row],[Return Qty]], "N/A")</f>
        <v>0</v>
      </c>
      <c r="P277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27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78" spans="1:17" x14ac:dyDescent="0.2">
      <c r="A278" t="s">
        <v>520</v>
      </c>
      <c r="B278" t="s">
        <v>14</v>
      </c>
      <c r="C278" t="s">
        <v>39</v>
      </c>
      <c r="D278" s="6">
        <v>15</v>
      </c>
      <c r="E278" s="5">
        <v>12000</v>
      </c>
      <c r="F278" t="s">
        <v>507</v>
      </c>
      <c r="G278" s="7">
        <v>46194</v>
      </c>
      <c r="H278" s="5">
        <v>0</v>
      </c>
      <c r="I27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78" t="b">
        <f>((ISNUMBER(Table3[[#This Row],[Quantity]]) )* (Table3[[#This Row],[Quantity]]&gt;0))=1</f>
        <v>1</v>
      </c>
      <c r="K278" t="b">
        <f>((Table3[[#This Row],[Quantity]]&gt;=Table3[[#This Row],[Return Qty]])*(ISNUMBER(Table3[[#This Row],[Quantity]])))=1</f>
        <v>1</v>
      </c>
      <c r="L278" t="b">
        <f>ISNUMBER(Table3[[#This Row],[Unit Price]])</f>
        <v>1</v>
      </c>
      <c r="M278" t="b">
        <f>ISNUMBER(Table3[[#This Row],[Order Date]])</f>
        <v>1</v>
      </c>
      <c r="N278">
        <f>IFERROR(IF(Table3[[#This Row],[Quantity]]*Table3[[#This Row],[Unit Price]]&lt;0, "N/A", Table3[[#This Row],[Quantity]]*Table3[[#This Row],[Unit Price]]), "N/A")</f>
        <v>180000</v>
      </c>
      <c r="O278">
        <f>IFERROR(Table3[[#This Row],[Unit Price]]*Table3[[#This Row],[Return Qty]], "N/A")</f>
        <v>0</v>
      </c>
      <c r="P278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27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79" spans="1:17" x14ac:dyDescent="0.2">
      <c r="A279" t="s">
        <v>521</v>
      </c>
      <c r="B279" t="s">
        <v>9</v>
      </c>
      <c r="C279" t="s">
        <v>32</v>
      </c>
      <c r="D279" s="6">
        <v>13</v>
      </c>
      <c r="E279" s="5">
        <v>8000</v>
      </c>
      <c r="F279" t="s">
        <v>523</v>
      </c>
      <c r="G279" s="7">
        <v>46110</v>
      </c>
      <c r="H279" s="5">
        <v>0</v>
      </c>
      <c r="I27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79" t="b">
        <f>((ISNUMBER(Table3[[#This Row],[Quantity]]) )* (Table3[[#This Row],[Quantity]]&gt;0))=1</f>
        <v>1</v>
      </c>
      <c r="K279" t="b">
        <f>((Table3[[#This Row],[Quantity]]&gt;=Table3[[#This Row],[Return Qty]])*(ISNUMBER(Table3[[#This Row],[Quantity]])))=1</f>
        <v>1</v>
      </c>
      <c r="L279" t="b">
        <f>ISNUMBER(Table3[[#This Row],[Unit Price]])</f>
        <v>1</v>
      </c>
      <c r="M279" t="b">
        <f>ISNUMBER(Table3[[#This Row],[Order Date]])</f>
        <v>1</v>
      </c>
      <c r="N279">
        <f>IFERROR(IF(Table3[[#This Row],[Quantity]]*Table3[[#This Row],[Unit Price]]&lt;0, "N/A", Table3[[#This Row],[Quantity]]*Table3[[#This Row],[Unit Price]]), "N/A")</f>
        <v>104000</v>
      </c>
      <c r="O279">
        <f>IFERROR(Table3[[#This Row],[Unit Price]]*Table3[[#This Row],[Return Qty]], "N/A")</f>
        <v>0</v>
      </c>
      <c r="P279">
        <f>IFERROR(IF((Table3[[#This Row],[Revenue before return]]-Table3[[#This Row],[Amount of order  returned]])&lt;0, "N/A", Table3[[#This Row],[Revenue before return]]-Table3[[#This Row],[Amount of order  returned]]), "N/A")</f>
        <v>104000</v>
      </c>
      <c r="Q27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80" spans="1:17" x14ac:dyDescent="0.2">
      <c r="A280" t="s">
        <v>524</v>
      </c>
      <c r="B280" t="s">
        <v>14</v>
      </c>
      <c r="C280" t="s">
        <v>45</v>
      </c>
      <c r="D280" s="6">
        <v>6</v>
      </c>
      <c r="E280" s="5">
        <v>20000</v>
      </c>
      <c r="F280" t="s">
        <v>525</v>
      </c>
      <c r="G280" s="7">
        <v>46054</v>
      </c>
      <c r="H280" s="5">
        <v>0</v>
      </c>
      <c r="I28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80" t="b">
        <f>((ISNUMBER(Table3[[#This Row],[Quantity]]) )* (Table3[[#This Row],[Quantity]]&gt;0))=1</f>
        <v>1</v>
      </c>
      <c r="K280" t="b">
        <f>((Table3[[#This Row],[Quantity]]&gt;=Table3[[#This Row],[Return Qty]])*(ISNUMBER(Table3[[#This Row],[Quantity]])))=1</f>
        <v>1</v>
      </c>
      <c r="L280" t="b">
        <f>ISNUMBER(Table3[[#This Row],[Unit Price]])</f>
        <v>1</v>
      </c>
      <c r="M280" t="b">
        <f>ISNUMBER(Table3[[#This Row],[Order Date]])</f>
        <v>1</v>
      </c>
      <c r="N280">
        <f>IFERROR(IF(Table3[[#This Row],[Quantity]]*Table3[[#This Row],[Unit Price]]&lt;0, "N/A", Table3[[#This Row],[Quantity]]*Table3[[#This Row],[Unit Price]]), "N/A")</f>
        <v>120000</v>
      </c>
      <c r="O280">
        <f>IFERROR(Table3[[#This Row],[Unit Price]]*Table3[[#This Row],[Return Qty]], "N/A")</f>
        <v>0</v>
      </c>
      <c r="P280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28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81" spans="1:17" x14ac:dyDescent="0.2">
      <c r="A281" t="s">
        <v>526</v>
      </c>
      <c r="B281" t="s">
        <v>21</v>
      </c>
      <c r="C281" t="s">
        <v>22</v>
      </c>
      <c r="D281" s="6">
        <v>16</v>
      </c>
      <c r="E281" s="5">
        <v>35000</v>
      </c>
      <c r="F281" t="s">
        <v>311</v>
      </c>
      <c r="G281" s="7">
        <v>46132</v>
      </c>
      <c r="H281" s="5">
        <v>17</v>
      </c>
      <c r="I28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81" t="b">
        <f>((ISNUMBER(Table3[[#This Row],[Quantity]]) )* (Table3[[#This Row],[Quantity]]&gt;0))=1</f>
        <v>1</v>
      </c>
      <c r="K281" t="b">
        <f>((Table3[[#This Row],[Quantity]]&gt;=Table3[[#This Row],[Return Qty]])*(ISNUMBER(Table3[[#This Row],[Quantity]])))=1</f>
        <v>0</v>
      </c>
      <c r="L281" t="b">
        <f>ISNUMBER(Table3[[#This Row],[Unit Price]])</f>
        <v>1</v>
      </c>
      <c r="M281" t="b">
        <f>ISNUMBER(Table3[[#This Row],[Order Date]])</f>
        <v>1</v>
      </c>
      <c r="N281">
        <f>IFERROR(IF(Table3[[#This Row],[Quantity]]*Table3[[#This Row],[Unit Price]]&lt;0, "N/A", Table3[[#This Row],[Quantity]]*Table3[[#This Row],[Unit Price]]), "N/A")</f>
        <v>560000</v>
      </c>
      <c r="O281">
        <f>IFERROR(Table3[[#This Row],[Unit Price]]*Table3[[#This Row],[Return Qty]], "N/A")</f>
        <v>595000</v>
      </c>
      <c r="P281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28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282" spans="1:17" x14ac:dyDescent="0.2">
      <c r="A282" t="s">
        <v>527</v>
      </c>
      <c r="B282" t="s">
        <v>9</v>
      </c>
      <c r="C282" t="s">
        <v>26</v>
      </c>
      <c r="D282" s="6">
        <v>2</v>
      </c>
      <c r="E282" s="5">
        <v>20000</v>
      </c>
      <c r="F282" t="s">
        <v>46</v>
      </c>
      <c r="G282" s="7">
        <v>46158</v>
      </c>
      <c r="H282" s="5">
        <v>0</v>
      </c>
      <c r="I28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82" t="b">
        <f>((ISNUMBER(Table3[[#This Row],[Quantity]]) )* (Table3[[#This Row],[Quantity]]&gt;0))=1</f>
        <v>1</v>
      </c>
      <c r="K282" t="b">
        <f>((Table3[[#This Row],[Quantity]]&gt;=Table3[[#This Row],[Return Qty]])*(ISNUMBER(Table3[[#This Row],[Quantity]])))=1</f>
        <v>1</v>
      </c>
      <c r="L282" t="b">
        <f>ISNUMBER(Table3[[#This Row],[Unit Price]])</f>
        <v>1</v>
      </c>
      <c r="M282" t="b">
        <f>ISNUMBER(Table3[[#This Row],[Order Date]])</f>
        <v>1</v>
      </c>
      <c r="N282">
        <f>IFERROR(IF(Table3[[#This Row],[Quantity]]*Table3[[#This Row],[Unit Price]]&lt;0, "N/A", Table3[[#This Row],[Quantity]]*Table3[[#This Row],[Unit Price]]), "N/A")</f>
        <v>40000</v>
      </c>
      <c r="O282">
        <f>IFERROR(Table3[[#This Row],[Unit Price]]*Table3[[#This Row],[Return Qty]], "N/A")</f>
        <v>0</v>
      </c>
      <c r="P282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28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83" spans="1:17" x14ac:dyDescent="0.2">
      <c r="A283" t="s">
        <v>528</v>
      </c>
      <c r="B283" t="s">
        <v>25</v>
      </c>
      <c r="C283" t="s">
        <v>10</v>
      </c>
      <c r="D283" s="6">
        <v>6</v>
      </c>
      <c r="E283" s="5">
        <v>15000</v>
      </c>
      <c r="F283" t="s">
        <v>530</v>
      </c>
      <c r="G283" s="7">
        <v>46079</v>
      </c>
      <c r="H283" s="5">
        <v>0</v>
      </c>
      <c r="I28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83" t="b">
        <f>((ISNUMBER(Table3[[#This Row],[Quantity]]) )* (Table3[[#This Row],[Quantity]]&gt;0))=1</f>
        <v>1</v>
      </c>
      <c r="K283" t="b">
        <f>((Table3[[#This Row],[Quantity]]&gt;=Table3[[#This Row],[Return Qty]])*(ISNUMBER(Table3[[#This Row],[Quantity]])))=1</f>
        <v>1</v>
      </c>
      <c r="L283" t="b">
        <f>ISNUMBER(Table3[[#This Row],[Unit Price]])</f>
        <v>1</v>
      </c>
      <c r="M283" t="b">
        <f>ISNUMBER(Table3[[#This Row],[Order Date]])</f>
        <v>1</v>
      </c>
      <c r="N283">
        <f>IFERROR(IF(Table3[[#This Row],[Quantity]]*Table3[[#This Row],[Unit Price]]&lt;0, "N/A", Table3[[#This Row],[Quantity]]*Table3[[#This Row],[Unit Price]]), "N/A")</f>
        <v>90000</v>
      </c>
      <c r="O283">
        <f>IFERROR(Table3[[#This Row],[Unit Price]]*Table3[[#This Row],[Return Qty]], "N/A")</f>
        <v>0</v>
      </c>
      <c r="P283">
        <f>IFERROR(IF((Table3[[#This Row],[Revenue before return]]-Table3[[#This Row],[Amount of order  returned]])&lt;0, "N/A", Table3[[#This Row],[Revenue before return]]-Table3[[#This Row],[Amount of order  returned]]), "N/A")</f>
        <v>90000</v>
      </c>
      <c r="Q28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84" spans="1:17" x14ac:dyDescent="0.2">
      <c r="A284" t="s">
        <v>531</v>
      </c>
      <c r="B284" t="s">
        <v>21</v>
      </c>
      <c r="C284" t="s">
        <v>39</v>
      </c>
      <c r="D284" s="6">
        <v>9</v>
      </c>
      <c r="E284" s="5">
        <v>12000</v>
      </c>
      <c r="F284" t="s">
        <v>19</v>
      </c>
      <c r="G284" s="7">
        <v>46180</v>
      </c>
      <c r="H284" s="5">
        <v>0</v>
      </c>
      <c r="I28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84" t="b">
        <f>((ISNUMBER(Table3[[#This Row],[Quantity]]) )* (Table3[[#This Row],[Quantity]]&gt;0))=1</f>
        <v>1</v>
      </c>
      <c r="K284" t="b">
        <f>((Table3[[#This Row],[Quantity]]&gt;=Table3[[#This Row],[Return Qty]])*(ISNUMBER(Table3[[#This Row],[Quantity]])))=1</f>
        <v>1</v>
      </c>
      <c r="L284" t="b">
        <f>ISNUMBER(Table3[[#This Row],[Unit Price]])</f>
        <v>1</v>
      </c>
      <c r="M284" t="b">
        <f>ISNUMBER(Table3[[#This Row],[Order Date]])</f>
        <v>1</v>
      </c>
      <c r="N284">
        <f>IFERROR(IF(Table3[[#This Row],[Quantity]]*Table3[[#This Row],[Unit Price]]&lt;0, "N/A", Table3[[#This Row],[Quantity]]*Table3[[#This Row],[Unit Price]]), "N/A")</f>
        <v>108000</v>
      </c>
      <c r="O284">
        <f>IFERROR(Table3[[#This Row],[Unit Price]]*Table3[[#This Row],[Return Qty]], "N/A")</f>
        <v>0</v>
      </c>
      <c r="P284">
        <f>IFERROR(IF((Table3[[#This Row],[Revenue before return]]-Table3[[#This Row],[Amount of order  returned]])&lt;0, "N/A", Table3[[#This Row],[Revenue before return]]-Table3[[#This Row],[Amount of order  returned]]), "N/A")</f>
        <v>108000</v>
      </c>
      <c r="Q28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85" spans="1:17" x14ac:dyDescent="0.2">
      <c r="A285" t="s">
        <v>532</v>
      </c>
      <c r="B285" t="s">
        <v>25</v>
      </c>
      <c r="C285" t="s">
        <v>32</v>
      </c>
      <c r="D285" s="6">
        <v>20</v>
      </c>
      <c r="E285" s="5">
        <v>8000</v>
      </c>
      <c r="F285" t="s">
        <v>119</v>
      </c>
      <c r="G285" s="7">
        <v>46144</v>
      </c>
      <c r="H285" s="5">
        <v>0</v>
      </c>
      <c r="I28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85" t="b">
        <f>((ISNUMBER(Table3[[#This Row],[Quantity]]) )* (Table3[[#This Row],[Quantity]]&gt;0))=1</f>
        <v>1</v>
      </c>
      <c r="K285" t="b">
        <f>((Table3[[#This Row],[Quantity]]&gt;=Table3[[#This Row],[Return Qty]])*(ISNUMBER(Table3[[#This Row],[Quantity]])))=1</f>
        <v>1</v>
      </c>
      <c r="L285" t="b">
        <f>ISNUMBER(Table3[[#This Row],[Unit Price]])</f>
        <v>1</v>
      </c>
      <c r="M285" t="b">
        <f>ISNUMBER(Table3[[#This Row],[Order Date]])</f>
        <v>1</v>
      </c>
      <c r="N285">
        <f>IFERROR(IF(Table3[[#This Row],[Quantity]]*Table3[[#This Row],[Unit Price]]&lt;0, "N/A", Table3[[#This Row],[Quantity]]*Table3[[#This Row],[Unit Price]]), "N/A")</f>
        <v>160000</v>
      </c>
      <c r="O285">
        <f>IFERROR(Table3[[#This Row],[Unit Price]]*Table3[[#This Row],[Return Qty]], "N/A")</f>
        <v>0</v>
      </c>
      <c r="P285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28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86" spans="1:17" x14ac:dyDescent="0.2">
      <c r="A286" t="s">
        <v>533</v>
      </c>
      <c r="B286" t="s">
        <v>25</v>
      </c>
      <c r="C286" t="s">
        <v>22</v>
      </c>
      <c r="D286" s="6">
        <v>16</v>
      </c>
      <c r="E286" s="5">
        <v>52500</v>
      </c>
      <c r="F286" t="s">
        <v>52</v>
      </c>
      <c r="G286" s="7">
        <v>46142</v>
      </c>
      <c r="H286" s="5">
        <v>1</v>
      </c>
      <c r="I28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86" t="b">
        <f>((ISNUMBER(Table3[[#This Row],[Quantity]]) )* (Table3[[#This Row],[Quantity]]&gt;0))=1</f>
        <v>1</v>
      </c>
      <c r="K286" t="b">
        <f>((Table3[[#This Row],[Quantity]]&gt;=Table3[[#This Row],[Return Qty]])*(ISNUMBER(Table3[[#This Row],[Quantity]])))=1</f>
        <v>1</v>
      </c>
      <c r="L286" t="b">
        <f>ISNUMBER(Table3[[#This Row],[Unit Price]])</f>
        <v>1</v>
      </c>
      <c r="M286" t="b">
        <f>ISNUMBER(Table3[[#This Row],[Order Date]])</f>
        <v>1</v>
      </c>
      <c r="N286">
        <f>IFERROR(IF(Table3[[#This Row],[Quantity]]*Table3[[#This Row],[Unit Price]]&lt;0, "N/A", Table3[[#This Row],[Quantity]]*Table3[[#This Row],[Unit Price]]), "N/A")</f>
        <v>840000</v>
      </c>
      <c r="O286">
        <f>IFERROR(Table3[[#This Row],[Unit Price]]*Table3[[#This Row],[Return Qty]], "N/A")</f>
        <v>52500</v>
      </c>
      <c r="P286">
        <f>IFERROR(IF((Table3[[#This Row],[Revenue before return]]-Table3[[#This Row],[Amount of order  returned]])&lt;0, "N/A", Table3[[#This Row],[Revenue before return]]-Table3[[#This Row],[Amount of order  returned]]), "N/A")</f>
        <v>787500</v>
      </c>
      <c r="Q28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87" spans="1:17" x14ac:dyDescent="0.2">
      <c r="A287" t="s">
        <v>534</v>
      </c>
      <c r="B287" t="s">
        <v>21</v>
      </c>
      <c r="C287" t="s">
        <v>18</v>
      </c>
      <c r="D287" s="6">
        <v>19</v>
      </c>
      <c r="E287" s="5">
        <v>50000</v>
      </c>
      <c r="F287" t="s">
        <v>535</v>
      </c>
      <c r="G287" s="7">
        <v>46074</v>
      </c>
      <c r="H287" s="5">
        <v>0</v>
      </c>
      <c r="I28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87" t="b">
        <f>((ISNUMBER(Table3[[#This Row],[Quantity]]) )* (Table3[[#This Row],[Quantity]]&gt;0))=1</f>
        <v>1</v>
      </c>
      <c r="K287" t="b">
        <f>((Table3[[#This Row],[Quantity]]&gt;=Table3[[#This Row],[Return Qty]])*(ISNUMBER(Table3[[#This Row],[Quantity]])))=1</f>
        <v>1</v>
      </c>
      <c r="L287" t="b">
        <f>ISNUMBER(Table3[[#This Row],[Unit Price]])</f>
        <v>1</v>
      </c>
      <c r="M287" t="b">
        <f>ISNUMBER(Table3[[#This Row],[Order Date]])</f>
        <v>1</v>
      </c>
      <c r="N287">
        <f>IFERROR(IF(Table3[[#This Row],[Quantity]]*Table3[[#This Row],[Unit Price]]&lt;0, "N/A", Table3[[#This Row],[Quantity]]*Table3[[#This Row],[Unit Price]]), "N/A")</f>
        <v>950000</v>
      </c>
      <c r="O287">
        <f>IFERROR(Table3[[#This Row],[Unit Price]]*Table3[[#This Row],[Return Qty]], "N/A")</f>
        <v>0</v>
      </c>
      <c r="P287">
        <f>IFERROR(IF((Table3[[#This Row],[Revenue before return]]-Table3[[#This Row],[Amount of order  returned]])&lt;0, "N/A", Table3[[#This Row],[Revenue before return]]-Table3[[#This Row],[Amount of order  returned]]), "N/A")</f>
        <v>950000</v>
      </c>
      <c r="Q28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88" spans="1:17" x14ac:dyDescent="0.2">
      <c r="A288" t="s">
        <v>536</v>
      </c>
      <c r="B288" t="s">
        <v>25</v>
      </c>
      <c r="C288" t="s">
        <v>26</v>
      </c>
      <c r="D288" s="6">
        <v>10</v>
      </c>
      <c r="E288" s="5">
        <v>20000</v>
      </c>
      <c r="F288" t="s">
        <v>419</v>
      </c>
      <c r="G288" s="7">
        <v>46140</v>
      </c>
      <c r="H288" s="5">
        <v>0</v>
      </c>
      <c r="I28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88" t="b">
        <f>((ISNUMBER(Table3[[#This Row],[Quantity]]) )* (Table3[[#This Row],[Quantity]]&gt;0))=1</f>
        <v>1</v>
      </c>
      <c r="K288" t="b">
        <f>((Table3[[#This Row],[Quantity]]&gt;=Table3[[#This Row],[Return Qty]])*(ISNUMBER(Table3[[#This Row],[Quantity]])))=1</f>
        <v>1</v>
      </c>
      <c r="L288" t="b">
        <f>ISNUMBER(Table3[[#This Row],[Unit Price]])</f>
        <v>1</v>
      </c>
      <c r="M288" t="b">
        <f>ISNUMBER(Table3[[#This Row],[Order Date]])</f>
        <v>1</v>
      </c>
      <c r="N288">
        <f>IFERROR(IF(Table3[[#This Row],[Quantity]]*Table3[[#This Row],[Unit Price]]&lt;0, "N/A", Table3[[#This Row],[Quantity]]*Table3[[#This Row],[Unit Price]]), "N/A")</f>
        <v>200000</v>
      </c>
      <c r="O288">
        <f>IFERROR(Table3[[#This Row],[Unit Price]]*Table3[[#This Row],[Return Qty]], "N/A")</f>
        <v>0</v>
      </c>
      <c r="P288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28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89" spans="1:17" x14ac:dyDescent="0.2">
      <c r="A289" t="s">
        <v>537</v>
      </c>
      <c r="B289" t="s">
        <v>21</v>
      </c>
      <c r="C289" t="s">
        <v>26</v>
      </c>
      <c r="D289" s="6">
        <v>20</v>
      </c>
      <c r="E289" s="5">
        <v>20000</v>
      </c>
      <c r="F289" t="s">
        <v>300</v>
      </c>
      <c r="G289" s="7">
        <v>46063</v>
      </c>
      <c r="H289" s="5">
        <v>0</v>
      </c>
      <c r="I28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89" t="b">
        <f>((ISNUMBER(Table3[[#This Row],[Quantity]]) )* (Table3[[#This Row],[Quantity]]&gt;0))=1</f>
        <v>1</v>
      </c>
      <c r="K289" t="b">
        <f>((Table3[[#This Row],[Quantity]]&gt;=Table3[[#This Row],[Return Qty]])*(ISNUMBER(Table3[[#This Row],[Quantity]])))=1</f>
        <v>1</v>
      </c>
      <c r="L289" t="b">
        <f>ISNUMBER(Table3[[#This Row],[Unit Price]])</f>
        <v>1</v>
      </c>
      <c r="M289" t="b">
        <f>ISNUMBER(Table3[[#This Row],[Order Date]])</f>
        <v>1</v>
      </c>
      <c r="N289">
        <f>IFERROR(IF(Table3[[#This Row],[Quantity]]*Table3[[#This Row],[Unit Price]]&lt;0, "N/A", Table3[[#This Row],[Quantity]]*Table3[[#This Row],[Unit Price]]), "N/A")</f>
        <v>400000</v>
      </c>
      <c r="O289">
        <f>IFERROR(Table3[[#This Row],[Unit Price]]*Table3[[#This Row],[Return Qty]], "N/A")</f>
        <v>0</v>
      </c>
      <c r="P289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28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90" spans="1:17" x14ac:dyDescent="0.2">
      <c r="A290" t="s">
        <v>538</v>
      </c>
      <c r="B290" t="s">
        <v>9</v>
      </c>
      <c r="C290" t="s">
        <v>39</v>
      </c>
      <c r="D290" s="6">
        <v>5</v>
      </c>
      <c r="E290" s="5">
        <v>12000</v>
      </c>
      <c r="F290" t="s">
        <v>539</v>
      </c>
      <c r="G290" s="7">
        <v>46070</v>
      </c>
      <c r="H290" s="5">
        <v>0</v>
      </c>
      <c r="I29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90" t="b">
        <f>((ISNUMBER(Table3[[#This Row],[Quantity]]) )* (Table3[[#This Row],[Quantity]]&gt;0))=1</f>
        <v>1</v>
      </c>
      <c r="K290" t="b">
        <f>((Table3[[#This Row],[Quantity]]&gt;=Table3[[#This Row],[Return Qty]])*(ISNUMBER(Table3[[#This Row],[Quantity]])))=1</f>
        <v>1</v>
      </c>
      <c r="L290" t="b">
        <f>ISNUMBER(Table3[[#This Row],[Unit Price]])</f>
        <v>1</v>
      </c>
      <c r="M290" t="b">
        <f>ISNUMBER(Table3[[#This Row],[Order Date]])</f>
        <v>1</v>
      </c>
      <c r="N290">
        <f>IFERROR(IF(Table3[[#This Row],[Quantity]]*Table3[[#This Row],[Unit Price]]&lt;0, "N/A", Table3[[#This Row],[Quantity]]*Table3[[#This Row],[Unit Price]]), "N/A")</f>
        <v>60000</v>
      </c>
      <c r="O290">
        <f>IFERROR(Table3[[#This Row],[Unit Price]]*Table3[[#This Row],[Return Qty]], "N/A")</f>
        <v>0</v>
      </c>
      <c r="P290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29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91" spans="1:17" x14ac:dyDescent="0.2">
      <c r="A291" t="s">
        <v>540</v>
      </c>
      <c r="B291" t="s">
        <v>14</v>
      </c>
      <c r="C291" t="s">
        <v>45</v>
      </c>
      <c r="D291" s="6">
        <v>12</v>
      </c>
      <c r="E291" s="5">
        <v>20000</v>
      </c>
      <c r="F291" t="s">
        <v>541</v>
      </c>
      <c r="G291" s="7">
        <v>46113</v>
      </c>
      <c r="H291" s="5">
        <v>4</v>
      </c>
      <c r="I29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91" t="b">
        <f>((ISNUMBER(Table3[[#This Row],[Quantity]]) )* (Table3[[#This Row],[Quantity]]&gt;0))=1</f>
        <v>1</v>
      </c>
      <c r="K291" t="b">
        <f>((Table3[[#This Row],[Quantity]]&gt;=Table3[[#This Row],[Return Qty]])*(ISNUMBER(Table3[[#This Row],[Quantity]])))=1</f>
        <v>1</v>
      </c>
      <c r="L291" t="b">
        <f>ISNUMBER(Table3[[#This Row],[Unit Price]])</f>
        <v>1</v>
      </c>
      <c r="M291" t="b">
        <f>ISNUMBER(Table3[[#This Row],[Order Date]])</f>
        <v>1</v>
      </c>
      <c r="N291">
        <f>IFERROR(IF(Table3[[#This Row],[Quantity]]*Table3[[#This Row],[Unit Price]]&lt;0, "N/A", Table3[[#This Row],[Quantity]]*Table3[[#This Row],[Unit Price]]), "N/A")</f>
        <v>240000</v>
      </c>
      <c r="O291">
        <f>IFERROR(Table3[[#This Row],[Unit Price]]*Table3[[#This Row],[Return Qty]], "N/A")</f>
        <v>80000</v>
      </c>
      <c r="P291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29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92" spans="1:17" x14ac:dyDescent="0.2">
      <c r="A292" t="s">
        <v>542</v>
      </c>
      <c r="B292" t="s">
        <v>14</v>
      </c>
      <c r="C292" t="s">
        <v>70</v>
      </c>
      <c r="D292" s="6" t="s">
        <v>11</v>
      </c>
      <c r="E292" s="5">
        <v>28000</v>
      </c>
      <c r="F292" t="s">
        <v>543</v>
      </c>
      <c r="G292" s="7">
        <v>46043</v>
      </c>
      <c r="H292" s="5">
        <v>0</v>
      </c>
      <c r="I29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92" t="b">
        <f>((ISNUMBER(Table3[[#This Row],[Quantity]]) )* (Table3[[#This Row],[Quantity]]&gt;0))=1</f>
        <v>0</v>
      </c>
      <c r="K292" t="b">
        <f>((Table3[[#This Row],[Quantity]]&gt;=Table3[[#This Row],[Return Qty]])*(ISNUMBER(Table3[[#This Row],[Quantity]])))=1</f>
        <v>0</v>
      </c>
      <c r="L292" t="b">
        <f>ISNUMBER(Table3[[#This Row],[Unit Price]])</f>
        <v>1</v>
      </c>
      <c r="M292" t="b">
        <f>ISNUMBER(Table3[[#This Row],[Order Date]])</f>
        <v>1</v>
      </c>
      <c r="N292" t="str">
        <f>IFERROR(IF(Table3[[#This Row],[Quantity]]*Table3[[#This Row],[Unit Price]]&lt;0, "N/A", Table3[[#This Row],[Quantity]]*Table3[[#This Row],[Unit Price]]), "N/A")</f>
        <v>N/A</v>
      </c>
      <c r="O292">
        <f>IFERROR(Table3[[#This Row],[Unit Price]]*Table3[[#This Row],[Return Qty]], "N/A")</f>
        <v>0</v>
      </c>
      <c r="P292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29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293" spans="1:17" x14ac:dyDescent="0.2">
      <c r="A293" t="s">
        <v>544</v>
      </c>
      <c r="B293" t="s">
        <v>14</v>
      </c>
      <c r="C293" t="s">
        <v>10</v>
      </c>
      <c r="D293" s="6">
        <v>13</v>
      </c>
      <c r="E293" s="5">
        <v>15000</v>
      </c>
      <c r="F293" t="s">
        <v>530</v>
      </c>
      <c r="G293" s="7">
        <v>46162</v>
      </c>
      <c r="H293" s="5">
        <v>0</v>
      </c>
      <c r="I29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93" t="b">
        <f>((ISNUMBER(Table3[[#This Row],[Quantity]]) )* (Table3[[#This Row],[Quantity]]&gt;0))=1</f>
        <v>1</v>
      </c>
      <c r="K293" t="b">
        <f>((Table3[[#This Row],[Quantity]]&gt;=Table3[[#This Row],[Return Qty]])*(ISNUMBER(Table3[[#This Row],[Quantity]])))=1</f>
        <v>1</v>
      </c>
      <c r="L293" t="b">
        <f>ISNUMBER(Table3[[#This Row],[Unit Price]])</f>
        <v>1</v>
      </c>
      <c r="M293" t="b">
        <f>ISNUMBER(Table3[[#This Row],[Order Date]])</f>
        <v>1</v>
      </c>
      <c r="N293">
        <f>IFERROR(IF(Table3[[#This Row],[Quantity]]*Table3[[#This Row],[Unit Price]]&lt;0, "N/A", Table3[[#This Row],[Quantity]]*Table3[[#This Row],[Unit Price]]), "N/A")</f>
        <v>195000</v>
      </c>
      <c r="O293">
        <f>IFERROR(Table3[[#This Row],[Unit Price]]*Table3[[#This Row],[Return Qty]], "N/A")</f>
        <v>0</v>
      </c>
      <c r="P293">
        <f>IFERROR(IF((Table3[[#This Row],[Revenue before return]]-Table3[[#This Row],[Amount of order  returned]])&lt;0, "N/A", Table3[[#This Row],[Revenue before return]]-Table3[[#This Row],[Amount of order  returned]]), "N/A")</f>
        <v>195000</v>
      </c>
      <c r="Q29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94" spans="1:17" x14ac:dyDescent="0.2">
      <c r="A294" t="s">
        <v>545</v>
      </c>
      <c r="B294" t="s">
        <v>14</v>
      </c>
      <c r="C294" t="s">
        <v>39</v>
      </c>
      <c r="D294" s="6">
        <v>2</v>
      </c>
      <c r="E294" s="5">
        <v>12000</v>
      </c>
      <c r="F294" t="s">
        <v>474</v>
      </c>
      <c r="G294" s="7">
        <v>46094</v>
      </c>
      <c r="H294" s="5">
        <v>0</v>
      </c>
      <c r="I29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94" t="b">
        <f>((ISNUMBER(Table3[[#This Row],[Quantity]]) )* (Table3[[#This Row],[Quantity]]&gt;0))=1</f>
        <v>1</v>
      </c>
      <c r="K294" t="b">
        <f>((Table3[[#This Row],[Quantity]]&gt;=Table3[[#This Row],[Return Qty]])*(ISNUMBER(Table3[[#This Row],[Quantity]])))=1</f>
        <v>1</v>
      </c>
      <c r="L294" t="b">
        <f>ISNUMBER(Table3[[#This Row],[Unit Price]])</f>
        <v>1</v>
      </c>
      <c r="M294" t="b">
        <f>ISNUMBER(Table3[[#This Row],[Order Date]])</f>
        <v>1</v>
      </c>
      <c r="N294">
        <f>IFERROR(IF(Table3[[#This Row],[Quantity]]*Table3[[#This Row],[Unit Price]]&lt;0, "N/A", Table3[[#This Row],[Quantity]]*Table3[[#This Row],[Unit Price]]), "N/A")</f>
        <v>24000</v>
      </c>
      <c r="O294">
        <f>IFERROR(Table3[[#This Row],[Unit Price]]*Table3[[#This Row],[Return Qty]], "N/A")</f>
        <v>0</v>
      </c>
      <c r="P294">
        <f>IFERROR(IF((Table3[[#This Row],[Revenue before return]]-Table3[[#This Row],[Amount of order  returned]])&lt;0, "N/A", Table3[[#This Row],[Revenue before return]]-Table3[[#This Row],[Amount of order  returned]]), "N/A")</f>
        <v>24000</v>
      </c>
      <c r="Q29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95" spans="1:17" x14ac:dyDescent="0.2">
      <c r="A295" t="s">
        <v>546</v>
      </c>
      <c r="B295" t="s">
        <v>14</v>
      </c>
      <c r="C295" t="s">
        <v>10</v>
      </c>
      <c r="D295" s="6">
        <v>8</v>
      </c>
      <c r="E295" s="5">
        <v>15000</v>
      </c>
      <c r="F295" t="s">
        <v>228</v>
      </c>
      <c r="G295" s="7">
        <v>46084</v>
      </c>
      <c r="H295" s="5">
        <v>0</v>
      </c>
      <c r="I29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95" t="b">
        <f>((ISNUMBER(Table3[[#This Row],[Quantity]]) )* (Table3[[#This Row],[Quantity]]&gt;0))=1</f>
        <v>1</v>
      </c>
      <c r="K295" t="b">
        <f>((Table3[[#This Row],[Quantity]]&gt;=Table3[[#This Row],[Return Qty]])*(ISNUMBER(Table3[[#This Row],[Quantity]])))=1</f>
        <v>1</v>
      </c>
      <c r="L295" t="b">
        <f>ISNUMBER(Table3[[#This Row],[Unit Price]])</f>
        <v>1</v>
      </c>
      <c r="M295" t="b">
        <f>ISNUMBER(Table3[[#This Row],[Order Date]])</f>
        <v>1</v>
      </c>
      <c r="N295">
        <f>IFERROR(IF(Table3[[#This Row],[Quantity]]*Table3[[#This Row],[Unit Price]]&lt;0, "N/A", Table3[[#This Row],[Quantity]]*Table3[[#This Row],[Unit Price]]), "N/A")</f>
        <v>120000</v>
      </c>
      <c r="O295">
        <f>IFERROR(Table3[[#This Row],[Unit Price]]*Table3[[#This Row],[Return Qty]], "N/A")</f>
        <v>0</v>
      </c>
      <c r="P295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29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96" spans="1:17" x14ac:dyDescent="0.2">
      <c r="A296" t="s">
        <v>547</v>
      </c>
      <c r="B296" t="s">
        <v>9</v>
      </c>
      <c r="C296" t="s">
        <v>18</v>
      </c>
      <c r="D296" s="6">
        <v>8</v>
      </c>
      <c r="E296" s="5">
        <v>50000</v>
      </c>
      <c r="F296" t="s">
        <v>525</v>
      </c>
      <c r="G296" s="7">
        <v>46170</v>
      </c>
      <c r="H296" s="5">
        <v>0</v>
      </c>
      <c r="I29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96" t="b">
        <f>((ISNUMBER(Table3[[#This Row],[Quantity]]) )* (Table3[[#This Row],[Quantity]]&gt;0))=1</f>
        <v>1</v>
      </c>
      <c r="K296" t="b">
        <f>((Table3[[#This Row],[Quantity]]&gt;=Table3[[#This Row],[Return Qty]])*(ISNUMBER(Table3[[#This Row],[Quantity]])))=1</f>
        <v>1</v>
      </c>
      <c r="L296" t="b">
        <f>ISNUMBER(Table3[[#This Row],[Unit Price]])</f>
        <v>1</v>
      </c>
      <c r="M296" t="b">
        <f>ISNUMBER(Table3[[#This Row],[Order Date]])</f>
        <v>1</v>
      </c>
      <c r="N296">
        <f>IFERROR(IF(Table3[[#This Row],[Quantity]]*Table3[[#This Row],[Unit Price]]&lt;0, "N/A", Table3[[#This Row],[Quantity]]*Table3[[#This Row],[Unit Price]]), "N/A")</f>
        <v>400000</v>
      </c>
      <c r="O296">
        <f>IFERROR(Table3[[#This Row],[Unit Price]]*Table3[[#This Row],[Return Qty]], "N/A")</f>
        <v>0</v>
      </c>
      <c r="P296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29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97" spans="1:17" x14ac:dyDescent="0.2">
      <c r="A297" t="s">
        <v>548</v>
      </c>
      <c r="B297" t="s">
        <v>14</v>
      </c>
      <c r="C297" t="s">
        <v>70</v>
      </c>
      <c r="D297" s="6">
        <v>12</v>
      </c>
      <c r="E297" s="5">
        <v>28000</v>
      </c>
      <c r="F297" t="s">
        <v>290</v>
      </c>
      <c r="G297" s="7">
        <v>46194</v>
      </c>
      <c r="H297" s="5">
        <v>0</v>
      </c>
      <c r="I29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97" t="b">
        <f>((ISNUMBER(Table3[[#This Row],[Quantity]]) )* (Table3[[#This Row],[Quantity]]&gt;0))=1</f>
        <v>1</v>
      </c>
      <c r="K297" t="b">
        <f>((Table3[[#This Row],[Quantity]]&gt;=Table3[[#This Row],[Return Qty]])*(ISNUMBER(Table3[[#This Row],[Quantity]])))=1</f>
        <v>1</v>
      </c>
      <c r="L297" t="b">
        <f>ISNUMBER(Table3[[#This Row],[Unit Price]])</f>
        <v>1</v>
      </c>
      <c r="M297" t="b">
        <f>ISNUMBER(Table3[[#This Row],[Order Date]])</f>
        <v>1</v>
      </c>
      <c r="N297">
        <f>IFERROR(IF(Table3[[#This Row],[Quantity]]*Table3[[#This Row],[Unit Price]]&lt;0, "N/A", Table3[[#This Row],[Quantity]]*Table3[[#This Row],[Unit Price]]), "N/A")</f>
        <v>336000</v>
      </c>
      <c r="O297">
        <f>IFERROR(Table3[[#This Row],[Unit Price]]*Table3[[#This Row],[Return Qty]], "N/A")</f>
        <v>0</v>
      </c>
      <c r="P297">
        <f>IFERROR(IF((Table3[[#This Row],[Revenue before return]]-Table3[[#This Row],[Amount of order  returned]])&lt;0, "N/A", Table3[[#This Row],[Revenue before return]]-Table3[[#This Row],[Amount of order  returned]]), "N/A")</f>
        <v>336000</v>
      </c>
      <c r="Q29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98" spans="1:17" x14ac:dyDescent="0.2">
      <c r="A298" t="s">
        <v>549</v>
      </c>
      <c r="B298" t="s">
        <v>9</v>
      </c>
      <c r="C298" t="s">
        <v>22</v>
      </c>
      <c r="D298" s="6">
        <v>100</v>
      </c>
      <c r="E298" s="5">
        <v>35000</v>
      </c>
      <c r="F298" t="s">
        <v>241</v>
      </c>
      <c r="G298" s="7">
        <v>46104</v>
      </c>
      <c r="H298" s="5">
        <v>0</v>
      </c>
      <c r="I29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98" t="b">
        <f>((ISNUMBER(Table3[[#This Row],[Quantity]]) )* (Table3[[#This Row],[Quantity]]&gt;0))=1</f>
        <v>1</v>
      </c>
      <c r="K298" t="b">
        <f>((Table3[[#This Row],[Quantity]]&gt;=Table3[[#This Row],[Return Qty]])*(ISNUMBER(Table3[[#This Row],[Quantity]])))=1</f>
        <v>1</v>
      </c>
      <c r="L298" t="b">
        <f>ISNUMBER(Table3[[#This Row],[Unit Price]])</f>
        <v>1</v>
      </c>
      <c r="M298" t="b">
        <f>ISNUMBER(Table3[[#This Row],[Order Date]])</f>
        <v>1</v>
      </c>
      <c r="N298">
        <f>IFERROR(IF(Table3[[#This Row],[Quantity]]*Table3[[#This Row],[Unit Price]]&lt;0, "N/A", Table3[[#This Row],[Quantity]]*Table3[[#This Row],[Unit Price]]), "N/A")</f>
        <v>3500000</v>
      </c>
      <c r="O298">
        <f>IFERROR(Table3[[#This Row],[Unit Price]]*Table3[[#This Row],[Return Qty]], "N/A")</f>
        <v>0</v>
      </c>
      <c r="P298">
        <f>IFERROR(IF((Table3[[#This Row],[Revenue before return]]-Table3[[#This Row],[Amount of order  returned]])&lt;0, "N/A", Table3[[#This Row],[Revenue before return]]-Table3[[#This Row],[Amount of order  returned]]), "N/A")</f>
        <v>3500000</v>
      </c>
      <c r="Q29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299" spans="1:17" x14ac:dyDescent="0.2">
      <c r="A299" t="s">
        <v>550</v>
      </c>
      <c r="B299" t="s">
        <v>9</v>
      </c>
      <c r="C299" t="s">
        <v>22</v>
      </c>
      <c r="D299" s="6">
        <v>23</v>
      </c>
      <c r="E299" s="5">
        <v>35000</v>
      </c>
      <c r="F299" t="s">
        <v>551</v>
      </c>
      <c r="G299" s="7">
        <v>46026</v>
      </c>
      <c r="H299" s="5">
        <v>0</v>
      </c>
      <c r="I29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299" t="b">
        <f>((ISNUMBER(Table3[[#This Row],[Quantity]]) )* (Table3[[#This Row],[Quantity]]&gt;0))=1</f>
        <v>1</v>
      </c>
      <c r="K299" t="b">
        <f>((Table3[[#This Row],[Quantity]]&gt;=Table3[[#This Row],[Return Qty]])*(ISNUMBER(Table3[[#This Row],[Quantity]])))=1</f>
        <v>1</v>
      </c>
      <c r="L299" t="b">
        <f>ISNUMBER(Table3[[#This Row],[Unit Price]])</f>
        <v>1</v>
      </c>
      <c r="M299" t="b">
        <f>ISNUMBER(Table3[[#This Row],[Order Date]])</f>
        <v>1</v>
      </c>
      <c r="N299">
        <f>IFERROR(IF(Table3[[#This Row],[Quantity]]*Table3[[#This Row],[Unit Price]]&lt;0, "N/A", Table3[[#This Row],[Quantity]]*Table3[[#This Row],[Unit Price]]), "N/A")</f>
        <v>805000</v>
      </c>
      <c r="O299">
        <f>IFERROR(Table3[[#This Row],[Unit Price]]*Table3[[#This Row],[Return Qty]], "N/A")</f>
        <v>0</v>
      </c>
      <c r="P299">
        <f>IFERROR(IF((Table3[[#This Row],[Revenue before return]]-Table3[[#This Row],[Amount of order  returned]])&lt;0, "N/A", Table3[[#This Row],[Revenue before return]]-Table3[[#This Row],[Amount of order  returned]]), "N/A")</f>
        <v>805000</v>
      </c>
      <c r="Q29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00" spans="1:17" x14ac:dyDescent="0.2">
      <c r="A300" t="s">
        <v>552</v>
      </c>
      <c r="B300" t="s">
        <v>21</v>
      </c>
      <c r="C300" t="s">
        <v>18</v>
      </c>
      <c r="D300" s="6">
        <v>1</v>
      </c>
      <c r="E300" s="5">
        <v>50000</v>
      </c>
      <c r="F300" t="s">
        <v>389</v>
      </c>
      <c r="G300" s="7">
        <v>46060</v>
      </c>
      <c r="H300" s="5">
        <v>0</v>
      </c>
      <c r="I30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00" t="b">
        <f>((ISNUMBER(Table3[[#This Row],[Quantity]]) )* (Table3[[#This Row],[Quantity]]&gt;0))=1</f>
        <v>1</v>
      </c>
      <c r="K300" t="b">
        <f>((Table3[[#This Row],[Quantity]]&gt;=Table3[[#This Row],[Return Qty]])*(ISNUMBER(Table3[[#This Row],[Quantity]])))=1</f>
        <v>1</v>
      </c>
      <c r="L300" t="b">
        <f>ISNUMBER(Table3[[#This Row],[Unit Price]])</f>
        <v>1</v>
      </c>
      <c r="M300" t="b">
        <f>ISNUMBER(Table3[[#This Row],[Order Date]])</f>
        <v>1</v>
      </c>
      <c r="N300">
        <f>IFERROR(IF(Table3[[#This Row],[Quantity]]*Table3[[#This Row],[Unit Price]]&lt;0, "N/A", Table3[[#This Row],[Quantity]]*Table3[[#This Row],[Unit Price]]), "N/A")</f>
        <v>50000</v>
      </c>
      <c r="O300">
        <f>IFERROR(Table3[[#This Row],[Unit Price]]*Table3[[#This Row],[Return Qty]], "N/A")</f>
        <v>0</v>
      </c>
      <c r="P300">
        <f>IFERROR(IF((Table3[[#This Row],[Revenue before return]]-Table3[[#This Row],[Amount of order  returned]])&lt;0, "N/A", Table3[[#This Row],[Revenue before return]]-Table3[[#This Row],[Amount of order  returned]]), "N/A")</f>
        <v>50000</v>
      </c>
      <c r="Q30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01" spans="1:17" x14ac:dyDescent="0.2">
      <c r="A301" t="s">
        <v>553</v>
      </c>
      <c r="B301" t="s">
        <v>9</v>
      </c>
      <c r="C301" t="s">
        <v>45</v>
      </c>
      <c r="D301" s="6">
        <v>7</v>
      </c>
      <c r="E301" s="5">
        <v>20000</v>
      </c>
      <c r="F301" t="s">
        <v>554</v>
      </c>
      <c r="G301" s="7">
        <v>46162</v>
      </c>
      <c r="H301" s="5">
        <v>9</v>
      </c>
      <c r="I30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01" t="b">
        <f>((ISNUMBER(Table3[[#This Row],[Quantity]]) )* (Table3[[#This Row],[Quantity]]&gt;0))=1</f>
        <v>1</v>
      </c>
      <c r="K301" t="b">
        <f>((Table3[[#This Row],[Quantity]]&gt;=Table3[[#This Row],[Return Qty]])*(ISNUMBER(Table3[[#This Row],[Quantity]])))=1</f>
        <v>0</v>
      </c>
      <c r="L301" t="b">
        <f>ISNUMBER(Table3[[#This Row],[Unit Price]])</f>
        <v>1</v>
      </c>
      <c r="M301" t="b">
        <f>ISNUMBER(Table3[[#This Row],[Order Date]])</f>
        <v>1</v>
      </c>
      <c r="N301">
        <f>IFERROR(IF(Table3[[#This Row],[Quantity]]*Table3[[#This Row],[Unit Price]]&lt;0, "N/A", Table3[[#This Row],[Quantity]]*Table3[[#This Row],[Unit Price]]), "N/A")</f>
        <v>140000</v>
      </c>
      <c r="O301">
        <f>IFERROR(Table3[[#This Row],[Unit Price]]*Table3[[#This Row],[Return Qty]], "N/A")</f>
        <v>180000</v>
      </c>
      <c r="P301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30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302" spans="1:17" x14ac:dyDescent="0.2">
      <c r="A302" t="s">
        <v>555</v>
      </c>
      <c r="B302" t="s">
        <v>21</v>
      </c>
      <c r="C302" t="s">
        <v>70</v>
      </c>
      <c r="D302" s="6">
        <v>13</v>
      </c>
      <c r="E302" s="5">
        <v>28000</v>
      </c>
      <c r="F302" t="s">
        <v>199</v>
      </c>
      <c r="G302" s="7">
        <v>46144</v>
      </c>
      <c r="H302" s="5">
        <v>0</v>
      </c>
      <c r="I30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02" t="b">
        <f>((ISNUMBER(Table3[[#This Row],[Quantity]]) )* (Table3[[#This Row],[Quantity]]&gt;0))=1</f>
        <v>1</v>
      </c>
      <c r="K302" t="b">
        <f>((Table3[[#This Row],[Quantity]]&gt;=Table3[[#This Row],[Return Qty]])*(ISNUMBER(Table3[[#This Row],[Quantity]])))=1</f>
        <v>1</v>
      </c>
      <c r="L302" t="b">
        <f>ISNUMBER(Table3[[#This Row],[Unit Price]])</f>
        <v>1</v>
      </c>
      <c r="M302" t="b">
        <f>ISNUMBER(Table3[[#This Row],[Order Date]])</f>
        <v>1</v>
      </c>
      <c r="N302">
        <f>IFERROR(IF(Table3[[#This Row],[Quantity]]*Table3[[#This Row],[Unit Price]]&lt;0, "N/A", Table3[[#This Row],[Quantity]]*Table3[[#This Row],[Unit Price]]), "N/A")</f>
        <v>364000</v>
      </c>
      <c r="O302">
        <f>IFERROR(Table3[[#This Row],[Unit Price]]*Table3[[#This Row],[Return Qty]], "N/A")</f>
        <v>0</v>
      </c>
      <c r="P302">
        <f>IFERROR(IF((Table3[[#This Row],[Revenue before return]]-Table3[[#This Row],[Amount of order  returned]])&lt;0, "N/A", Table3[[#This Row],[Revenue before return]]-Table3[[#This Row],[Amount of order  returned]]), "N/A")</f>
        <v>364000</v>
      </c>
      <c r="Q30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03" spans="1:17" x14ac:dyDescent="0.2">
      <c r="A303" t="s">
        <v>556</v>
      </c>
      <c r="B303" t="s">
        <v>451</v>
      </c>
      <c r="C303" t="s">
        <v>32</v>
      </c>
      <c r="D303" s="6">
        <v>13</v>
      </c>
      <c r="E303" s="5">
        <v>8000</v>
      </c>
      <c r="F303" t="s">
        <v>35</v>
      </c>
      <c r="G303" s="7">
        <v>46112</v>
      </c>
      <c r="H303" s="5">
        <v>0</v>
      </c>
      <c r="I30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03" t="b">
        <f>((ISNUMBER(Table3[[#This Row],[Quantity]]) )* (Table3[[#This Row],[Quantity]]&gt;0))=1</f>
        <v>1</v>
      </c>
      <c r="K303" t="b">
        <f>((Table3[[#This Row],[Quantity]]&gt;=Table3[[#This Row],[Return Qty]])*(ISNUMBER(Table3[[#This Row],[Quantity]])))=1</f>
        <v>1</v>
      </c>
      <c r="L303" t="b">
        <f>ISNUMBER(Table3[[#This Row],[Unit Price]])</f>
        <v>1</v>
      </c>
      <c r="M303" t="b">
        <f>ISNUMBER(Table3[[#This Row],[Order Date]])</f>
        <v>1</v>
      </c>
      <c r="N303">
        <f>IFERROR(IF(Table3[[#This Row],[Quantity]]*Table3[[#This Row],[Unit Price]]&lt;0, "N/A", Table3[[#This Row],[Quantity]]*Table3[[#This Row],[Unit Price]]), "N/A")</f>
        <v>104000</v>
      </c>
      <c r="O303">
        <f>IFERROR(Table3[[#This Row],[Unit Price]]*Table3[[#This Row],[Return Qty]], "N/A")</f>
        <v>0</v>
      </c>
      <c r="P303">
        <f>IFERROR(IF((Table3[[#This Row],[Revenue before return]]-Table3[[#This Row],[Amount of order  returned]])&lt;0, "N/A", Table3[[#This Row],[Revenue before return]]-Table3[[#This Row],[Amount of order  returned]]), "N/A")</f>
        <v>104000</v>
      </c>
      <c r="Q30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04" spans="1:17" x14ac:dyDescent="0.2">
      <c r="A304" t="s">
        <v>557</v>
      </c>
      <c r="B304" t="s">
        <v>14</v>
      </c>
      <c r="C304" t="s">
        <v>22</v>
      </c>
      <c r="D304" s="6">
        <v>8</v>
      </c>
      <c r="E304" s="5">
        <v>35000</v>
      </c>
      <c r="F304" t="s">
        <v>311</v>
      </c>
      <c r="G304" s="7">
        <v>46086</v>
      </c>
      <c r="H304" s="5">
        <v>0</v>
      </c>
      <c r="I30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04" t="b">
        <f>((ISNUMBER(Table3[[#This Row],[Quantity]]) )* (Table3[[#This Row],[Quantity]]&gt;0))=1</f>
        <v>1</v>
      </c>
      <c r="K304" t="b">
        <f>((Table3[[#This Row],[Quantity]]&gt;=Table3[[#This Row],[Return Qty]])*(ISNUMBER(Table3[[#This Row],[Quantity]])))=1</f>
        <v>1</v>
      </c>
      <c r="L304" t="b">
        <f>ISNUMBER(Table3[[#This Row],[Unit Price]])</f>
        <v>1</v>
      </c>
      <c r="M304" t="b">
        <f>ISNUMBER(Table3[[#This Row],[Order Date]])</f>
        <v>1</v>
      </c>
      <c r="N304">
        <f>IFERROR(IF(Table3[[#This Row],[Quantity]]*Table3[[#This Row],[Unit Price]]&lt;0, "N/A", Table3[[#This Row],[Quantity]]*Table3[[#This Row],[Unit Price]]), "N/A")</f>
        <v>280000</v>
      </c>
      <c r="O304">
        <f>IFERROR(Table3[[#This Row],[Unit Price]]*Table3[[#This Row],[Return Qty]], "N/A")</f>
        <v>0</v>
      </c>
      <c r="P304">
        <f>IFERROR(IF((Table3[[#This Row],[Revenue before return]]-Table3[[#This Row],[Amount of order  returned]])&lt;0, "N/A", Table3[[#This Row],[Revenue before return]]-Table3[[#This Row],[Amount of order  returned]]), "N/A")</f>
        <v>280000</v>
      </c>
      <c r="Q30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05" spans="1:17" x14ac:dyDescent="0.2">
      <c r="A305" t="s">
        <v>558</v>
      </c>
      <c r="B305" t="s">
        <v>14</v>
      </c>
      <c r="C305" t="s">
        <v>10</v>
      </c>
      <c r="D305" s="6">
        <v>13</v>
      </c>
      <c r="E305" s="5">
        <v>15000</v>
      </c>
      <c r="F305" t="s">
        <v>302</v>
      </c>
      <c r="G305" s="7">
        <v>46110</v>
      </c>
      <c r="H305" s="5">
        <v>0</v>
      </c>
      <c r="I30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05" t="b">
        <f>((ISNUMBER(Table3[[#This Row],[Quantity]]) )* (Table3[[#This Row],[Quantity]]&gt;0))=1</f>
        <v>1</v>
      </c>
      <c r="K305" t="b">
        <f>((Table3[[#This Row],[Quantity]]&gt;=Table3[[#This Row],[Return Qty]])*(ISNUMBER(Table3[[#This Row],[Quantity]])))=1</f>
        <v>1</v>
      </c>
      <c r="L305" t="b">
        <f>ISNUMBER(Table3[[#This Row],[Unit Price]])</f>
        <v>1</v>
      </c>
      <c r="M305" t="b">
        <f>ISNUMBER(Table3[[#This Row],[Order Date]])</f>
        <v>1</v>
      </c>
      <c r="N305">
        <f>IFERROR(IF(Table3[[#This Row],[Quantity]]*Table3[[#This Row],[Unit Price]]&lt;0, "N/A", Table3[[#This Row],[Quantity]]*Table3[[#This Row],[Unit Price]]), "N/A")</f>
        <v>195000</v>
      </c>
      <c r="O305">
        <f>IFERROR(Table3[[#This Row],[Unit Price]]*Table3[[#This Row],[Return Qty]], "N/A")</f>
        <v>0</v>
      </c>
      <c r="P305">
        <f>IFERROR(IF((Table3[[#This Row],[Revenue before return]]-Table3[[#This Row],[Amount of order  returned]])&lt;0, "N/A", Table3[[#This Row],[Revenue before return]]-Table3[[#This Row],[Amount of order  returned]]), "N/A")</f>
        <v>195000</v>
      </c>
      <c r="Q30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06" spans="1:17" x14ac:dyDescent="0.2">
      <c r="A306" t="s">
        <v>560</v>
      </c>
      <c r="B306" t="s">
        <v>14</v>
      </c>
      <c r="C306" t="s">
        <v>45</v>
      </c>
      <c r="D306" s="6">
        <v>18</v>
      </c>
      <c r="E306" s="5">
        <v>20000</v>
      </c>
      <c r="F306" t="s">
        <v>195</v>
      </c>
      <c r="G306" s="7">
        <v>46063</v>
      </c>
      <c r="H306" s="5">
        <v>0</v>
      </c>
      <c r="I30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06" t="b">
        <f>((ISNUMBER(Table3[[#This Row],[Quantity]]) )* (Table3[[#This Row],[Quantity]]&gt;0))=1</f>
        <v>1</v>
      </c>
      <c r="K306" t="b">
        <f>((Table3[[#This Row],[Quantity]]&gt;=Table3[[#This Row],[Return Qty]])*(ISNUMBER(Table3[[#This Row],[Quantity]])))=1</f>
        <v>1</v>
      </c>
      <c r="L306" t="b">
        <f>ISNUMBER(Table3[[#This Row],[Unit Price]])</f>
        <v>1</v>
      </c>
      <c r="M306" t="b">
        <f>ISNUMBER(Table3[[#This Row],[Order Date]])</f>
        <v>1</v>
      </c>
      <c r="N306">
        <f>IFERROR(IF(Table3[[#This Row],[Quantity]]*Table3[[#This Row],[Unit Price]]&lt;0, "N/A", Table3[[#This Row],[Quantity]]*Table3[[#This Row],[Unit Price]]), "N/A")</f>
        <v>360000</v>
      </c>
      <c r="O306">
        <f>IFERROR(Table3[[#This Row],[Unit Price]]*Table3[[#This Row],[Return Qty]], "N/A")</f>
        <v>0</v>
      </c>
      <c r="P306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30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07" spans="1:17" x14ac:dyDescent="0.2">
      <c r="A307" t="s">
        <v>561</v>
      </c>
      <c r="B307" t="s">
        <v>25</v>
      </c>
      <c r="C307" t="s">
        <v>45</v>
      </c>
      <c r="D307" s="6">
        <v>13</v>
      </c>
      <c r="E307" s="5">
        <v>20000</v>
      </c>
      <c r="F307" t="s">
        <v>484</v>
      </c>
      <c r="G307" s="7">
        <v>46123</v>
      </c>
      <c r="H307" s="5">
        <v>0</v>
      </c>
      <c r="I30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07" t="b">
        <f>((ISNUMBER(Table3[[#This Row],[Quantity]]) )* (Table3[[#This Row],[Quantity]]&gt;0))=1</f>
        <v>1</v>
      </c>
      <c r="K307" t="b">
        <f>((Table3[[#This Row],[Quantity]]&gt;=Table3[[#This Row],[Return Qty]])*(ISNUMBER(Table3[[#This Row],[Quantity]])))=1</f>
        <v>1</v>
      </c>
      <c r="L307" t="b">
        <f>ISNUMBER(Table3[[#This Row],[Unit Price]])</f>
        <v>1</v>
      </c>
      <c r="M307" t="b">
        <f>ISNUMBER(Table3[[#This Row],[Order Date]])</f>
        <v>1</v>
      </c>
      <c r="N307">
        <f>IFERROR(IF(Table3[[#This Row],[Quantity]]*Table3[[#This Row],[Unit Price]]&lt;0, "N/A", Table3[[#This Row],[Quantity]]*Table3[[#This Row],[Unit Price]]), "N/A")</f>
        <v>260000</v>
      </c>
      <c r="O307">
        <f>IFERROR(Table3[[#This Row],[Unit Price]]*Table3[[#This Row],[Return Qty]], "N/A")</f>
        <v>0</v>
      </c>
      <c r="P307">
        <f>IFERROR(IF((Table3[[#This Row],[Revenue before return]]-Table3[[#This Row],[Amount of order  returned]])&lt;0, "N/A", Table3[[#This Row],[Revenue before return]]-Table3[[#This Row],[Amount of order  returned]]), "N/A")</f>
        <v>260000</v>
      </c>
      <c r="Q30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08" spans="1:17" x14ac:dyDescent="0.2">
      <c r="A308" t="s">
        <v>562</v>
      </c>
      <c r="B308" t="s">
        <v>25</v>
      </c>
      <c r="C308" t="s">
        <v>70</v>
      </c>
      <c r="D308" s="6">
        <v>9</v>
      </c>
      <c r="E308" s="5">
        <v>28000</v>
      </c>
      <c r="F308" t="s">
        <v>563</v>
      </c>
      <c r="G308" s="7">
        <v>46136</v>
      </c>
      <c r="H308" s="5">
        <v>2</v>
      </c>
      <c r="I30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08" t="b">
        <f>((ISNUMBER(Table3[[#This Row],[Quantity]]) )* (Table3[[#This Row],[Quantity]]&gt;0))=1</f>
        <v>1</v>
      </c>
      <c r="K308" t="b">
        <f>((Table3[[#This Row],[Quantity]]&gt;=Table3[[#This Row],[Return Qty]])*(ISNUMBER(Table3[[#This Row],[Quantity]])))=1</f>
        <v>1</v>
      </c>
      <c r="L308" t="b">
        <f>ISNUMBER(Table3[[#This Row],[Unit Price]])</f>
        <v>1</v>
      </c>
      <c r="M308" t="b">
        <f>ISNUMBER(Table3[[#This Row],[Order Date]])</f>
        <v>1</v>
      </c>
      <c r="N308">
        <f>IFERROR(IF(Table3[[#This Row],[Quantity]]*Table3[[#This Row],[Unit Price]]&lt;0, "N/A", Table3[[#This Row],[Quantity]]*Table3[[#This Row],[Unit Price]]), "N/A")</f>
        <v>252000</v>
      </c>
      <c r="O308">
        <f>IFERROR(Table3[[#This Row],[Unit Price]]*Table3[[#This Row],[Return Qty]], "N/A")</f>
        <v>56000</v>
      </c>
      <c r="P308">
        <f>IFERROR(IF((Table3[[#This Row],[Revenue before return]]-Table3[[#This Row],[Amount of order  returned]])&lt;0, "N/A", Table3[[#This Row],[Revenue before return]]-Table3[[#This Row],[Amount of order  returned]]), "N/A")</f>
        <v>196000</v>
      </c>
      <c r="Q30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09" spans="1:17" x14ac:dyDescent="0.2">
      <c r="A309" t="s">
        <v>564</v>
      </c>
      <c r="B309" t="s">
        <v>25</v>
      </c>
      <c r="C309" t="s">
        <v>18</v>
      </c>
      <c r="D309" s="6">
        <v>22</v>
      </c>
      <c r="E309" s="5">
        <v>50000</v>
      </c>
      <c r="F309" t="s">
        <v>565</v>
      </c>
      <c r="G309" s="7">
        <v>46141</v>
      </c>
      <c r="H309" s="5">
        <v>0</v>
      </c>
      <c r="I30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09" t="b">
        <f>((ISNUMBER(Table3[[#This Row],[Quantity]]) )* (Table3[[#This Row],[Quantity]]&gt;0))=1</f>
        <v>1</v>
      </c>
      <c r="K309" t="b">
        <f>((Table3[[#This Row],[Quantity]]&gt;=Table3[[#This Row],[Return Qty]])*(ISNUMBER(Table3[[#This Row],[Quantity]])))=1</f>
        <v>1</v>
      </c>
      <c r="L309" t="b">
        <f>ISNUMBER(Table3[[#This Row],[Unit Price]])</f>
        <v>1</v>
      </c>
      <c r="M309" t="b">
        <f>ISNUMBER(Table3[[#This Row],[Order Date]])</f>
        <v>1</v>
      </c>
      <c r="N309">
        <f>IFERROR(IF(Table3[[#This Row],[Quantity]]*Table3[[#This Row],[Unit Price]]&lt;0, "N/A", Table3[[#This Row],[Quantity]]*Table3[[#This Row],[Unit Price]]), "N/A")</f>
        <v>1100000</v>
      </c>
      <c r="O309">
        <f>IFERROR(Table3[[#This Row],[Unit Price]]*Table3[[#This Row],[Return Qty]], "N/A")</f>
        <v>0</v>
      </c>
      <c r="P309">
        <f>IFERROR(IF((Table3[[#This Row],[Revenue before return]]-Table3[[#This Row],[Amount of order  returned]])&lt;0, "N/A", Table3[[#This Row],[Revenue before return]]-Table3[[#This Row],[Amount of order  returned]]), "N/A")</f>
        <v>1100000</v>
      </c>
      <c r="Q30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10" spans="1:17" x14ac:dyDescent="0.2">
      <c r="A310" t="s">
        <v>566</v>
      </c>
      <c r="B310" t="s">
        <v>9</v>
      </c>
      <c r="C310" t="s">
        <v>10</v>
      </c>
      <c r="D310" s="6">
        <v>20</v>
      </c>
      <c r="E310" s="5">
        <v>15000</v>
      </c>
      <c r="F310" t="s">
        <v>52</v>
      </c>
      <c r="G310" s="7">
        <v>46058</v>
      </c>
      <c r="H310" s="5">
        <v>0</v>
      </c>
      <c r="I31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10" t="b">
        <f>((ISNUMBER(Table3[[#This Row],[Quantity]]) )* (Table3[[#This Row],[Quantity]]&gt;0))=1</f>
        <v>1</v>
      </c>
      <c r="K310" t="b">
        <f>((Table3[[#This Row],[Quantity]]&gt;=Table3[[#This Row],[Return Qty]])*(ISNUMBER(Table3[[#This Row],[Quantity]])))=1</f>
        <v>1</v>
      </c>
      <c r="L310" t="b">
        <f>ISNUMBER(Table3[[#This Row],[Unit Price]])</f>
        <v>1</v>
      </c>
      <c r="M310" t="b">
        <f>ISNUMBER(Table3[[#This Row],[Order Date]])</f>
        <v>1</v>
      </c>
      <c r="N310">
        <f>IFERROR(IF(Table3[[#This Row],[Quantity]]*Table3[[#This Row],[Unit Price]]&lt;0, "N/A", Table3[[#This Row],[Quantity]]*Table3[[#This Row],[Unit Price]]), "N/A")</f>
        <v>300000</v>
      </c>
      <c r="O310">
        <f>IFERROR(Table3[[#This Row],[Unit Price]]*Table3[[#This Row],[Return Qty]], "N/A")</f>
        <v>0</v>
      </c>
      <c r="P310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31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11" spans="1:17" x14ac:dyDescent="0.2">
      <c r="A311" t="s">
        <v>567</v>
      </c>
      <c r="B311" t="s">
        <v>21</v>
      </c>
      <c r="C311" t="s">
        <v>26</v>
      </c>
      <c r="D311" s="6">
        <v>19</v>
      </c>
      <c r="E311" s="5">
        <v>20000</v>
      </c>
      <c r="F311" t="s">
        <v>261</v>
      </c>
      <c r="G311" s="7">
        <v>46155</v>
      </c>
      <c r="H311" s="5">
        <v>0</v>
      </c>
      <c r="I31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11" t="b">
        <f>((ISNUMBER(Table3[[#This Row],[Quantity]]) )* (Table3[[#This Row],[Quantity]]&gt;0))=1</f>
        <v>1</v>
      </c>
      <c r="K311" t="b">
        <f>((Table3[[#This Row],[Quantity]]&gt;=Table3[[#This Row],[Return Qty]])*(ISNUMBER(Table3[[#This Row],[Quantity]])))=1</f>
        <v>1</v>
      </c>
      <c r="L311" t="b">
        <f>ISNUMBER(Table3[[#This Row],[Unit Price]])</f>
        <v>1</v>
      </c>
      <c r="M311" t="b">
        <f>ISNUMBER(Table3[[#This Row],[Order Date]])</f>
        <v>1</v>
      </c>
      <c r="N311">
        <f>IFERROR(IF(Table3[[#This Row],[Quantity]]*Table3[[#This Row],[Unit Price]]&lt;0, "N/A", Table3[[#This Row],[Quantity]]*Table3[[#This Row],[Unit Price]]), "N/A")</f>
        <v>380000</v>
      </c>
      <c r="O311">
        <f>IFERROR(Table3[[#This Row],[Unit Price]]*Table3[[#This Row],[Return Qty]], "N/A")</f>
        <v>0</v>
      </c>
      <c r="P311">
        <f>IFERROR(IF((Table3[[#This Row],[Revenue before return]]-Table3[[#This Row],[Amount of order  returned]])&lt;0, "N/A", Table3[[#This Row],[Revenue before return]]-Table3[[#This Row],[Amount of order  returned]]), "N/A")</f>
        <v>380000</v>
      </c>
      <c r="Q31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12" spans="1:17" x14ac:dyDescent="0.2">
      <c r="A312" t="s">
        <v>568</v>
      </c>
      <c r="B312" t="s">
        <v>14</v>
      </c>
      <c r="C312" t="s">
        <v>18</v>
      </c>
      <c r="D312" s="6">
        <v>20</v>
      </c>
      <c r="E312" s="5">
        <v>50000</v>
      </c>
      <c r="F312" t="s">
        <v>11</v>
      </c>
      <c r="G312" s="7">
        <v>46110</v>
      </c>
      <c r="H312" s="5">
        <v>0</v>
      </c>
      <c r="I31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12" t="b">
        <f>((ISNUMBER(Table3[[#This Row],[Quantity]]) )* (Table3[[#This Row],[Quantity]]&gt;0))=1</f>
        <v>1</v>
      </c>
      <c r="K312" t="b">
        <f>((Table3[[#This Row],[Quantity]]&gt;=Table3[[#This Row],[Return Qty]])*(ISNUMBER(Table3[[#This Row],[Quantity]])))=1</f>
        <v>1</v>
      </c>
      <c r="L312" t="b">
        <f>ISNUMBER(Table3[[#This Row],[Unit Price]])</f>
        <v>1</v>
      </c>
      <c r="M312" t="b">
        <f>ISNUMBER(Table3[[#This Row],[Order Date]])</f>
        <v>1</v>
      </c>
      <c r="N312">
        <f>IFERROR(IF(Table3[[#This Row],[Quantity]]*Table3[[#This Row],[Unit Price]]&lt;0, "N/A", Table3[[#This Row],[Quantity]]*Table3[[#This Row],[Unit Price]]), "N/A")</f>
        <v>1000000</v>
      </c>
      <c r="O312">
        <f>IFERROR(Table3[[#This Row],[Unit Price]]*Table3[[#This Row],[Return Qty]], "N/A")</f>
        <v>0</v>
      </c>
      <c r="P312">
        <f>IFERROR(IF((Table3[[#This Row],[Revenue before return]]-Table3[[#This Row],[Amount of order  returned]])&lt;0, "N/A", Table3[[#This Row],[Revenue before return]]-Table3[[#This Row],[Amount of order  returned]]), "N/A")</f>
        <v>1000000</v>
      </c>
      <c r="Q31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13" spans="1:17" x14ac:dyDescent="0.2">
      <c r="A313" t="s">
        <v>569</v>
      </c>
      <c r="B313" t="s">
        <v>21</v>
      </c>
      <c r="C313" t="s">
        <v>18</v>
      </c>
      <c r="D313" s="6">
        <v>11</v>
      </c>
      <c r="E313" s="5">
        <v>50000</v>
      </c>
      <c r="F313" t="s">
        <v>106</v>
      </c>
      <c r="G313" s="7">
        <v>46039</v>
      </c>
      <c r="H313" s="5">
        <v>0</v>
      </c>
      <c r="I31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13" t="b">
        <f>((ISNUMBER(Table3[[#This Row],[Quantity]]) )* (Table3[[#This Row],[Quantity]]&gt;0))=1</f>
        <v>1</v>
      </c>
      <c r="K313" t="b">
        <f>((Table3[[#This Row],[Quantity]]&gt;=Table3[[#This Row],[Return Qty]])*(ISNUMBER(Table3[[#This Row],[Quantity]])))=1</f>
        <v>1</v>
      </c>
      <c r="L313" t="b">
        <f>ISNUMBER(Table3[[#This Row],[Unit Price]])</f>
        <v>1</v>
      </c>
      <c r="M313" t="b">
        <f>ISNUMBER(Table3[[#This Row],[Order Date]])</f>
        <v>1</v>
      </c>
      <c r="N313">
        <f>IFERROR(IF(Table3[[#This Row],[Quantity]]*Table3[[#This Row],[Unit Price]]&lt;0, "N/A", Table3[[#This Row],[Quantity]]*Table3[[#This Row],[Unit Price]]), "N/A")</f>
        <v>550000</v>
      </c>
      <c r="O313">
        <f>IFERROR(Table3[[#This Row],[Unit Price]]*Table3[[#This Row],[Return Qty]], "N/A")</f>
        <v>0</v>
      </c>
      <c r="P313">
        <f>IFERROR(IF((Table3[[#This Row],[Revenue before return]]-Table3[[#This Row],[Amount of order  returned]])&lt;0, "N/A", Table3[[#This Row],[Revenue before return]]-Table3[[#This Row],[Amount of order  returned]]), "N/A")</f>
        <v>550000</v>
      </c>
      <c r="Q31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14" spans="1:17" x14ac:dyDescent="0.2">
      <c r="A314" t="s">
        <v>570</v>
      </c>
      <c r="B314" t="s">
        <v>9</v>
      </c>
      <c r="C314" t="s">
        <v>70</v>
      </c>
      <c r="D314" s="6">
        <v>22</v>
      </c>
      <c r="E314" s="5">
        <v>28000</v>
      </c>
      <c r="F314" t="s">
        <v>11</v>
      </c>
      <c r="G314" s="7">
        <v>46167</v>
      </c>
      <c r="H314" s="5">
        <v>0</v>
      </c>
      <c r="I31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14" t="b">
        <f>((ISNUMBER(Table3[[#This Row],[Quantity]]) )* (Table3[[#This Row],[Quantity]]&gt;0))=1</f>
        <v>1</v>
      </c>
      <c r="K314" t="b">
        <f>((Table3[[#This Row],[Quantity]]&gt;=Table3[[#This Row],[Return Qty]])*(ISNUMBER(Table3[[#This Row],[Quantity]])))=1</f>
        <v>1</v>
      </c>
      <c r="L314" t="b">
        <f>ISNUMBER(Table3[[#This Row],[Unit Price]])</f>
        <v>1</v>
      </c>
      <c r="M314" t="b">
        <f>ISNUMBER(Table3[[#This Row],[Order Date]])</f>
        <v>1</v>
      </c>
      <c r="N314">
        <f>IFERROR(IF(Table3[[#This Row],[Quantity]]*Table3[[#This Row],[Unit Price]]&lt;0, "N/A", Table3[[#This Row],[Quantity]]*Table3[[#This Row],[Unit Price]]), "N/A")</f>
        <v>616000</v>
      </c>
      <c r="O314">
        <f>IFERROR(Table3[[#This Row],[Unit Price]]*Table3[[#This Row],[Return Qty]], "N/A")</f>
        <v>0</v>
      </c>
      <c r="P314">
        <f>IFERROR(IF((Table3[[#This Row],[Revenue before return]]-Table3[[#This Row],[Amount of order  returned]])&lt;0, "N/A", Table3[[#This Row],[Revenue before return]]-Table3[[#This Row],[Amount of order  returned]]), "N/A")</f>
        <v>616000</v>
      </c>
      <c r="Q31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15" spans="1:17" x14ac:dyDescent="0.2">
      <c r="A315" t="s">
        <v>571</v>
      </c>
      <c r="B315" t="s">
        <v>9</v>
      </c>
      <c r="C315" t="s">
        <v>18</v>
      </c>
      <c r="D315" s="6">
        <v>19</v>
      </c>
      <c r="E315" s="5">
        <v>50000</v>
      </c>
      <c r="F315" t="s">
        <v>572</v>
      </c>
      <c r="G315" s="7">
        <v>46096</v>
      </c>
      <c r="H315" s="5">
        <v>0</v>
      </c>
      <c r="I31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15" t="b">
        <f>((ISNUMBER(Table3[[#This Row],[Quantity]]) )* (Table3[[#This Row],[Quantity]]&gt;0))=1</f>
        <v>1</v>
      </c>
      <c r="K315" t="b">
        <f>((Table3[[#This Row],[Quantity]]&gt;=Table3[[#This Row],[Return Qty]])*(ISNUMBER(Table3[[#This Row],[Quantity]])))=1</f>
        <v>1</v>
      </c>
      <c r="L315" t="b">
        <f>ISNUMBER(Table3[[#This Row],[Unit Price]])</f>
        <v>1</v>
      </c>
      <c r="M315" t="b">
        <f>ISNUMBER(Table3[[#This Row],[Order Date]])</f>
        <v>1</v>
      </c>
      <c r="N315">
        <f>IFERROR(IF(Table3[[#This Row],[Quantity]]*Table3[[#This Row],[Unit Price]]&lt;0, "N/A", Table3[[#This Row],[Quantity]]*Table3[[#This Row],[Unit Price]]), "N/A")</f>
        <v>950000</v>
      </c>
      <c r="O315">
        <f>IFERROR(Table3[[#This Row],[Unit Price]]*Table3[[#This Row],[Return Qty]], "N/A")</f>
        <v>0</v>
      </c>
      <c r="P315">
        <f>IFERROR(IF((Table3[[#This Row],[Revenue before return]]-Table3[[#This Row],[Amount of order  returned]])&lt;0, "N/A", Table3[[#This Row],[Revenue before return]]-Table3[[#This Row],[Amount of order  returned]]), "N/A")</f>
        <v>950000</v>
      </c>
      <c r="Q31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16" spans="1:17" x14ac:dyDescent="0.2">
      <c r="A316" t="s">
        <v>573</v>
      </c>
      <c r="B316" t="s">
        <v>9</v>
      </c>
      <c r="C316" t="s">
        <v>70</v>
      </c>
      <c r="D316" s="6">
        <v>4</v>
      </c>
      <c r="E316" s="5">
        <v>28000</v>
      </c>
      <c r="F316" t="s">
        <v>169</v>
      </c>
      <c r="G316" s="7">
        <v>46098</v>
      </c>
      <c r="H316" s="5">
        <v>0</v>
      </c>
      <c r="I31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16" t="b">
        <f>((ISNUMBER(Table3[[#This Row],[Quantity]]) )* (Table3[[#This Row],[Quantity]]&gt;0))=1</f>
        <v>1</v>
      </c>
      <c r="K316" t="b">
        <f>((Table3[[#This Row],[Quantity]]&gt;=Table3[[#This Row],[Return Qty]])*(ISNUMBER(Table3[[#This Row],[Quantity]])))=1</f>
        <v>1</v>
      </c>
      <c r="L316" t="b">
        <f>ISNUMBER(Table3[[#This Row],[Unit Price]])</f>
        <v>1</v>
      </c>
      <c r="M316" t="b">
        <f>ISNUMBER(Table3[[#This Row],[Order Date]])</f>
        <v>1</v>
      </c>
      <c r="N316">
        <f>IFERROR(IF(Table3[[#This Row],[Quantity]]*Table3[[#This Row],[Unit Price]]&lt;0, "N/A", Table3[[#This Row],[Quantity]]*Table3[[#This Row],[Unit Price]]), "N/A")</f>
        <v>112000</v>
      </c>
      <c r="O316">
        <f>IFERROR(Table3[[#This Row],[Unit Price]]*Table3[[#This Row],[Return Qty]], "N/A")</f>
        <v>0</v>
      </c>
      <c r="P316">
        <f>IFERROR(IF((Table3[[#This Row],[Revenue before return]]-Table3[[#This Row],[Amount of order  returned]])&lt;0, "N/A", Table3[[#This Row],[Revenue before return]]-Table3[[#This Row],[Amount of order  returned]]), "N/A")</f>
        <v>112000</v>
      </c>
      <c r="Q31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17" spans="1:17" x14ac:dyDescent="0.2">
      <c r="A317" t="s">
        <v>574</v>
      </c>
      <c r="B317" t="s">
        <v>14</v>
      </c>
      <c r="C317" t="s">
        <v>22</v>
      </c>
      <c r="D317" s="6">
        <v>7</v>
      </c>
      <c r="E317" s="5">
        <v>35000</v>
      </c>
      <c r="F317" t="s">
        <v>575</v>
      </c>
      <c r="G317" s="7">
        <v>46168</v>
      </c>
      <c r="H317" s="5">
        <v>2</v>
      </c>
      <c r="I31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17" t="b">
        <f>((ISNUMBER(Table3[[#This Row],[Quantity]]) )* (Table3[[#This Row],[Quantity]]&gt;0))=1</f>
        <v>1</v>
      </c>
      <c r="K317" t="b">
        <f>((Table3[[#This Row],[Quantity]]&gt;=Table3[[#This Row],[Return Qty]])*(ISNUMBER(Table3[[#This Row],[Quantity]])))=1</f>
        <v>1</v>
      </c>
      <c r="L317" t="b">
        <f>ISNUMBER(Table3[[#This Row],[Unit Price]])</f>
        <v>1</v>
      </c>
      <c r="M317" t="b">
        <f>ISNUMBER(Table3[[#This Row],[Order Date]])</f>
        <v>1</v>
      </c>
      <c r="N317">
        <f>IFERROR(IF(Table3[[#This Row],[Quantity]]*Table3[[#This Row],[Unit Price]]&lt;0, "N/A", Table3[[#This Row],[Quantity]]*Table3[[#This Row],[Unit Price]]), "N/A")</f>
        <v>245000</v>
      </c>
      <c r="O317">
        <f>IFERROR(Table3[[#This Row],[Unit Price]]*Table3[[#This Row],[Return Qty]], "N/A")</f>
        <v>70000</v>
      </c>
      <c r="P317">
        <f>IFERROR(IF((Table3[[#This Row],[Revenue before return]]-Table3[[#This Row],[Amount of order  returned]])&lt;0, "N/A", Table3[[#This Row],[Revenue before return]]-Table3[[#This Row],[Amount of order  returned]]), "N/A")</f>
        <v>175000</v>
      </c>
      <c r="Q31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18" spans="1:17" x14ac:dyDescent="0.2">
      <c r="A318" t="s">
        <v>576</v>
      </c>
      <c r="B318" t="s">
        <v>451</v>
      </c>
      <c r="C318" t="s">
        <v>39</v>
      </c>
      <c r="D318" s="6">
        <v>1</v>
      </c>
      <c r="E318" s="5">
        <v>12000</v>
      </c>
      <c r="F318" t="s">
        <v>577</v>
      </c>
      <c r="G318" s="7">
        <v>46079</v>
      </c>
      <c r="H318" s="5">
        <v>0</v>
      </c>
      <c r="I31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18" t="b">
        <f>((ISNUMBER(Table3[[#This Row],[Quantity]]) )* (Table3[[#This Row],[Quantity]]&gt;0))=1</f>
        <v>1</v>
      </c>
      <c r="K318" t="b">
        <f>((Table3[[#This Row],[Quantity]]&gt;=Table3[[#This Row],[Return Qty]])*(ISNUMBER(Table3[[#This Row],[Quantity]])))=1</f>
        <v>1</v>
      </c>
      <c r="L318" t="b">
        <f>ISNUMBER(Table3[[#This Row],[Unit Price]])</f>
        <v>1</v>
      </c>
      <c r="M318" t="b">
        <f>ISNUMBER(Table3[[#This Row],[Order Date]])</f>
        <v>1</v>
      </c>
      <c r="N318">
        <f>IFERROR(IF(Table3[[#This Row],[Quantity]]*Table3[[#This Row],[Unit Price]]&lt;0, "N/A", Table3[[#This Row],[Quantity]]*Table3[[#This Row],[Unit Price]]), "N/A")</f>
        <v>12000</v>
      </c>
      <c r="O318">
        <f>IFERROR(Table3[[#This Row],[Unit Price]]*Table3[[#This Row],[Return Qty]], "N/A")</f>
        <v>0</v>
      </c>
      <c r="P318">
        <f>IFERROR(IF((Table3[[#This Row],[Revenue before return]]-Table3[[#This Row],[Amount of order  returned]])&lt;0, "N/A", Table3[[#This Row],[Revenue before return]]-Table3[[#This Row],[Amount of order  returned]]), "N/A")</f>
        <v>12000</v>
      </c>
      <c r="Q31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19" spans="1:17" x14ac:dyDescent="0.2">
      <c r="A319" t="s">
        <v>578</v>
      </c>
      <c r="B319" t="s">
        <v>14</v>
      </c>
      <c r="C319" t="s">
        <v>45</v>
      </c>
      <c r="D319" s="6">
        <v>6</v>
      </c>
      <c r="E319" s="5">
        <v>20000</v>
      </c>
      <c r="F319" t="s">
        <v>579</v>
      </c>
      <c r="G319" s="7">
        <v>46159</v>
      </c>
      <c r="H319" s="5">
        <v>0</v>
      </c>
      <c r="I31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19" t="b">
        <f>((ISNUMBER(Table3[[#This Row],[Quantity]]) )* (Table3[[#This Row],[Quantity]]&gt;0))=1</f>
        <v>1</v>
      </c>
      <c r="K319" t="b">
        <f>((Table3[[#This Row],[Quantity]]&gt;=Table3[[#This Row],[Return Qty]])*(ISNUMBER(Table3[[#This Row],[Quantity]])))=1</f>
        <v>1</v>
      </c>
      <c r="L319" t="b">
        <f>ISNUMBER(Table3[[#This Row],[Unit Price]])</f>
        <v>1</v>
      </c>
      <c r="M319" t="b">
        <f>ISNUMBER(Table3[[#This Row],[Order Date]])</f>
        <v>1</v>
      </c>
      <c r="N319">
        <f>IFERROR(IF(Table3[[#This Row],[Quantity]]*Table3[[#This Row],[Unit Price]]&lt;0, "N/A", Table3[[#This Row],[Quantity]]*Table3[[#This Row],[Unit Price]]), "N/A")</f>
        <v>120000</v>
      </c>
      <c r="O319">
        <f>IFERROR(Table3[[#This Row],[Unit Price]]*Table3[[#This Row],[Return Qty]], "N/A")</f>
        <v>0</v>
      </c>
      <c r="P319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31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20" spans="1:17" x14ac:dyDescent="0.2">
      <c r="A320" t="s">
        <v>580</v>
      </c>
      <c r="B320" t="s">
        <v>581</v>
      </c>
      <c r="C320" t="s">
        <v>39</v>
      </c>
      <c r="D320" s="6">
        <v>10</v>
      </c>
      <c r="E320" s="5">
        <v>12000</v>
      </c>
      <c r="F320" t="s">
        <v>115</v>
      </c>
      <c r="G320" s="7">
        <v>46096</v>
      </c>
      <c r="H320" s="5">
        <v>0</v>
      </c>
      <c r="I32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0</v>
      </c>
      <c r="J320" t="b">
        <f>((ISNUMBER(Table3[[#This Row],[Quantity]]) )* (Table3[[#This Row],[Quantity]]&gt;0))=1</f>
        <v>1</v>
      </c>
      <c r="K320" t="b">
        <f>((Table3[[#This Row],[Quantity]]&gt;=Table3[[#This Row],[Return Qty]])*(ISNUMBER(Table3[[#This Row],[Quantity]])))=1</f>
        <v>1</v>
      </c>
      <c r="L320" t="b">
        <f>ISNUMBER(Table3[[#This Row],[Unit Price]])</f>
        <v>1</v>
      </c>
      <c r="M320" t="b">
        <f>ISNUMBER(Table3[[#This Row],[Order Date]])</f>
        <v>1</v>
      </c>
      <c r="N320">
        <f>IFERROR(IF(Table3[[#This Row],[Quantity]]*Table3[[#This Row],[Unit Price]]&lt;0, "N/A", Table3[[#This Row],[Quantity]]*Table3[[#This Row],[Unit Price]]), "N/A")</f>
        <v>120000</v>
      </c>
      <c r="O320">
        <f>IFERROR(Table3[[#This Row],[Unit Price]]*Table3[[#This Row],[Return Qty]], "N/A")</f>
        <v>0</v>
      </c>
      <c r="P320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32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321" spans="1:17" x14ac:dyDescent="0.2">
      <c r="A321" t="s">
        <v>582</v>
      </c>
      <c r="B321" t="s">
        <v>25</v>
      </c>
      <c r="C321" t="s">
        <v>18</v>
      </c>
      <c r="D321" s="6">
        <v>15</v>
      </c>
      <c r="E321" s="5">
        <v>50000</v>
      </c>
      <c r="F321" t="s">
        <v>583</v>
      </c>
      <c r="G321" s="7">
        <v>46080</v>
      </c>
      <c r="H321" s="5">
        <v>4</v>
      </c>
      <c r="I32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21" t="b">
        <f>((ISNUMBER(Table3[[#This Row],[Quantity]]) )* (Table3[[#This Row],[Quantity]]&gt;0))=1</f>
        <v>1</v>
      </c>
      <c r="K321" t="b">
        <f>((Table3[[#This Row],[Quantity]]&gt;=Table3[[#This Row],[Return Qty]])*(ISNUMBER(Table3[[#This Row],[Quantity]])))=1</f>
        <v>1</v>
      </c>
      <c r="L321" t="b">
        <f>ISNUMBER(Table3[[#This Row],[Unit Price]])</f>
        <v>1</v>
      </c>
      <c r="M321" t="b">
        <f>ISNUMBER(Table3[[#This Row],[Order Date]])</f>
        <v>1</v>
      </c>
      <c r="N321">
        <f>IFERROR(IF(Table3[[#This Row],[Quantity]]*Table3[[#This Row],[Unit Price]]&lt;0, "N/A", Table3[[#This Row],[Quantity]]*Table3[[#This Row],[Unit Price]]), "N/A")</f>
        <v>750000</v>
      </c>
      <c r="O321">
        <f>IFERROR(Table3[[#This Row],[Unit Price]]*Table3[[#This Row],[Return Qty]], "N/A")</f>
        <v>200000</v>
      </c>
      <c r="P321">
        <f>IFERROR(IF((Table3[[#This Row],[Revenue before return]]-Table3[[#This Row],[Amount of order  returned]])&lt;0, "N/A", Table3[[#This Row],[Revenue before return]]-Table3[[#This Row],[Amount of order  returned]]), "N/A")</f>
        <v>550000</v>
      </c>
      <c r="Q32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22" spans="1:17" x14ac:dyDescent="0.2">
      <c r="A322" t="s">
        <v>584</v>
      </c>
      <c r="B322" t="s">
        <v>21</v>
      </c>
      <c r="C322" t="s">
        <v>10</v>
      </c>
      <c r="D322" s="6">
        <v>9</v>
      </c>
      <c r="E322" s="5">
        <v>15000</v>
      </c>
      <c r="F322" t="s">
        <v>95</v>
      </c>
      <c r="G322" s="7">
        <v>46191</v>
      </c>
      <c r="H322" s="5">
        <v>0</v>
      </c>
      <c r="I32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22" t="b">
        <f>((ISNUMBER(Table3[[#This Row],[Quantity]]) )* (Table3[[#This Row],[Quantity]]&gt;0))=1</f>
        <v>1</v>
      </c>
      <c r="K322" t="b">
        <f>((Table3[[#This Row],[Quantity]]&gt;=Table3[[#This Row],[Return Qty]])*(ISNUMBER(Table3[[#This Row],[Quantity]])))=1</f>
        <v>1</v>
      </c>
      <c r="L322" t="b">
        <f>ISNUMBER(Table3[[#This Row],[Unit Price]])</f>
        <v>1</v>
      </c>
      <c r="M322" t="b">
        <f>ISNUMBER(Table3[[#This Row],[Order Date]])</f>
        <v>1</v>
      </c>
      <c r="N322">
        <f>IFERROR(IF(Table3[[#This Row],[Quantity]]*Table3[[#This Row],[Unit Price]]&lt;0, "N/A", Table3[[#This Row],[Quantity]]*Table3[[#This Row],[Unit Price]]), "N/A")</f>
        <v>135000</v>
      </c>
      <c r="O322">
        <f>IFERROR(Table3[[#This Row],[Unit Price]]*Table3[[#This Row],[Return Qty]], "N/A")</f>
        <v>0</v>
      </c>
      <c r="P322">
        <f>IFERROR(IF((Table3[[#This Row],[Revenue before return]]-Table3[[#This Row],[Amount of order  returned]])&lt;0, "N/A", Table3[[#This Row],[Revenue before return]]-Table3[[#This Row],[Amount of order  returned]]), "N/A")</f>
        <v>135000</v>
      </c>
      <c r="Q32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23" spans="1:17" x14ac:dyDescent="0.2">
      <c r="A323" t="s">
        <v>585</v>
      </c>
      <c r="B323" t="s">
        <v>25</v>
      </c>
      <c r="C323" t="s">
        <v>26</v>
      </c>
      <c r="D323" s="6">
        <v>20</v>
      </c>
      <c r="E323" s="5">
        <v>20000</v>
      </c>
      <c r="F323" t="s">
        <v>82</v>
      </c>
      <c r="G323" s="7">
        <v>46180</v>
      </c>
      <c r="H323" s="5">
        <v>0</v>
      </c>
      <c r="I32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23" t="b">
        <f>((ISNUMBER(Table3[[#This Row],[Quantity]]) )* (Table3[[#This Row],[Quantity]]&gt;0))=1</f>
        <v>1</v>
      </c>
      <c r="K323" t="b">
        <f>((Table3[[#This Row],[Quantity]]&gt;=Table3[[#This Row],[Return Qty]])*(ISNUMBER(Table3[[#This Row],[Quantity]])))=1</f>
        <v>1</v>
      </c>
      <c r="L323" t="b">
        <f>ISNUMBER(Table3[[#This Row],[Unit Price]])</f>
        <v>1</v>
      </c>
      <c r="M323" t="b">
        <f>ISNUMBER(Table3[[#This Row],[Order Date]])</f>
        <v>1</v>
      </c>
      <c r="N323">
        <f>IFERROR(IF(Table3[[#This Row],[Quantity]]*Table3[[#This Row],[Unit Price]]&lt;0, "N/A", Table3[[#This Row],[Quantity]]*Table3[[#This Row],[Unit Price]]), "N/A")</f>
        <v>400000</v>
      </c>
      <c r="O323">
        <f>IFERROR(Table3[[#This Row],[Unit Price]]*Table3[[#This Row],[Return Qty]], "N/A")</f>
        <v>0</v>
      </c>
      <c r="P323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32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24" spans="1:17" x14ac:dyDescent="0.2">
      <c r="A324" t="s">
        <v>586</v>
      </c>
      <c r="B324" t="s">
        <v>14</v>
      </c>
      <c r="C324" t="s">
        <v>22</v>
      </c>
      <c r="D324" s="6">
        <v>10</v>
      </c>
      <c r="E324" s="5">
        <v>35000</v>
      </c>
      <c r="F324" t="s">
        <v>468</v>
      </c>
      <c r="G324" s="7">
        <v>46156</v>
      </c>
      <c r="H324" s="5">
        <v>5</v>
      </c>
      <c r="I32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24" t="b">
        <f>((ISNUMBER(Table3[[#This Row],[Quantity]]) )* (Table3[[#This Row],[Quantity]]&gt;0))=1</f>
        <v>1</v>
      </c>
      <c r="K324" t="b">
        <f>((Table3[[#This Row],[Quantity]]&gt;=Table3[[#This Row],[Return Qty]])*(ISNUMBER(Table3[[#This Row],[Quantity]])))=1</f>
        <v>1</v>
      </c>
      <c r="L324" t="b">
        <f>ISNUMBER(Table3[[#This Row],[Unit Price]])</f>
        <v>1</v>
      </c>
      <c r="M324" t="b">
        <f>ISNUMBER(Table3[[#This Row],[Order Date]])</f>
        <v>1</v>
      </c>
      <c r="N324">
        <f>IFERROR(IF(Table3[[#This Row],[Quantity]]*Table3[[#This Row],[Unit Price]]&lt;0, "N/A", Table3[[#This Row],[Quantity]]*Table3[[#This Row],[Unit Price]]), "N/A")</f>
        <v>350000</v>
      </c>
      <c r="O324">
        <f>IFERROR(Table3[[#This Row],[Unit Price]]*Table3[[#This Row],[Return Qty]], "N/A")</f>
        <v>175000</v>
      </c>
      <c r="P324">
        <f>IFERROR(IF((Table3[[#This Row],[Revenue before return]]-Table3[[#This Row],[Amount of order  returned]])&lt;0, "N/A", Table3[[#This Row],[Revenue before return]]-Table3[[#This Row],[Amount of order  returned]]), "N/A")</f>
        <v>175000</v>
      </c>
      <c r="Q32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25" spans="1:17" x14ac:dyDescent="0.2">
      <c r="A325" t="s">
        <v>587</v>
      </c>
      <c r="B325" t="s">
        <v>25</v>
      </c>
      <c r="C325" t="s">
        <v>45</v>
      </c>
      <c r="D325" s="6">
        <v>16</v>
      </c>
      <c r="E325" s="5">
        <v>20000</v>
      </c>
      <c r="F325" t="s">
        <v>588</v>
      </c>
      <c r="G325" s="7">
        <v>46059</v>
      </c>
      <c r="H325" s="5">
        <v>0</v>
      </c>
      <c r="I32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25" t="b">
        <f>((ISNUMBER(Table3[[#This Row],[Quantity]]) )* (Table3[[#This Row],[Quantity]]&gt;0))=1</f>
        <v>1</v>
      </c>
      <c r="K325" t="b">
        <f>((Table3[[#This Row],[Quantity]]&gt;=Table3[[#This Row],[Return Qty]])*(ISNUMBER(Table3[[#This Row],[Quantity]])))=1</f>
        <v>1</v>
      </c>
      <c r="L325" t="b">
        <f>ISNUMBER(Table3[[#This Row],[Unit Price]])</f>
        <v>1</v>
      </c>
      <c r="M325" t="b">
        <f>ISNUMBER(Table3[[#This Row],[Order Date]])</f>
        <v>1</v>
      </c>
      <c r="N325">
        <f>IFERROR(IF(Table3[[#This Row],[Quantity]]*Table3[[#This Row],[Unit Price]]&lt;0, "N/A", Table3[[#This Row],[Quantity]]*Table3[[#This Row],[Unit Price]]), "N/A")</f>
        <v>320000</v>
      </c>
      <c r="O325">
        <f>IFERROR(Table3[[#This Row],[Unit Price]]*Table3[[#This Row],[Return Qty]], "N/A")</f>
        <v>0</v>
      </c>
      <c r="P325">
        <f>IFERROR(IF((Table3[[#This Row],[Revenue before return]]-Table3[[#This Row],[Amount of order  returned]])&lt;0, "N/A", Table3[[#This Row],[Revenue before return]]-Table3[[#This Row],[Amount of order  returned]]), "N/A")</f>
        <v>320000</v>
      </c>
      <c r="Q32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26" spans="1:17" x14ac:dyDescent="0.2">
      <c r="A326" t="s">
        <v>589</v>
      </c>
      <c r="B326" t="s">
        <v>9</v>
      </c>
      <c r="C326" t="s">
        <v>39</v>
      </c>
      <c r="D326" s="6">
        <v>10</v>
      </c>
      <c r="E326" s="5">
        <v>12000</v>
      </c>
      <c r="F326" t="s">
        <v>410</v>
      </c>
      <c r="G326" s="7">
        <v>46086</v>
      </c>
      <c r="H326" s="5">
        <v>0</v>
      </c>
      <c r="I32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26" t="b">
        <f>((ISNUMBER(Table3[[#This Row],[Quantity]]) )* (Table3[[#This Row],[Quantity]]&gt;0))=1</f>
        <v>1</v>
      </c>
      <c r="K326" t="b">
        <f>((Table3[[#This Row],[Quantity]]&gt;=Table3[[#This Row],[Return Qty]])*(ISNUMBER(Table3[[#This Row],[Quantity]])))=1</f>
        <v>1</v>
      </c>
      <c r="L326" t="b">
        <f>ISNUMBER(Table3[[#This Row],[Unit Price]])</f>
        <v>1</v>
      </c>
      <c r="M326" t="b">
        <f>ISNUMBER(Table3[[#This Row],[Order Date]])</f>
        <v>1</v>
      </c>
      <c r="N326">
        <f>IFERROR(IF(Table3[[#This Row],[Quantity]]*Table3[[#This Row],[Unit Price]]&lt;0, "N/A", Table3[[#This Row],[Quantity]]*Table3[[#This Row],[Unit Price]]), "N/A")</f>
        <v>120000</v>
      </c>
      <c r="O326">
        <f>IFERROR(Table3[[#This Row],[Unit Price]]*Table3[[#This Row],[Return Qty]], "N/A")</f>
        <v>0</v>
      </c>
      <c r="P326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32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27" spans="1:17" x14ac:dyDescent="0.2">
      <c r="A327" t="s">
        <v>590</v>
      </c>
      <c r="B327" t="s">
        <v>9</v>
      </c>
      <c r="C327" t="s">
        <v>22</v>
      </c>
      <c r="D327" s="6">
        <v>7</v>
      </c>
      <c r="E327" s="5">
        <v>35000</v>
      </c>
      <c r="F327" t="s">
        <v>591</v>
      </c>
      <c r="G327" s="7">
        <v>46106</v>
      </c>
      <c r="H327" s="5">
        <v>0</v>
      </c>
      <c r="I32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27" t="b">
        <f>((ISNUMBER(Table3[[#This Row],[Quantity]]) )* (Table3[[#This Row],[Quantity]]&gt;0))=1</f>
        <v>1</v>
      </c>
      <c r="K327" t="b">
        <f>((Table3[[#This Row],[Quantity]]&gt;=Table3[[#This Row],[Return Qty]])*(ISNUMBER(Table3[[#This Row],[Quantity]])))=1</f>
        <v>1</v>
      </c>
      <c r="L327" t="b">
        <f>ISNUMBER(Table3[[#This Row],[Unit Price]])</f>
        <v>1</v>
      </c>
      <c r="M327" t="b">
        <f>ISNUMBER(Table3[[#This Row],[Order Date]])</f>
        <v>1</v>
      </c>
      <c r="N327">
        <f>IFERROR(IF(Table3[[#This Row],[Quantity]]*Table3[[#This Row],[Unit Price]]&lt;0, "N/A", Table3[[#This Row],[Quantity]]*Table3[[#This Row],[Unit Price]]), "N/A")</f>
        <v>245000</v>
      </c>
      <c r="O327">
        <f>IFERROR(Table3[[#This Row],[Unit Price]]*Table3[[#This Row],[Return Qty]], "N/A")</f>
        <v>0</v>
      </c>
      <c r="P327">
        <f>IFERROR(IF((Table3[[#This Row],[Revenue before return]]-Table3[[#This Row],[Amount of order  returned]])&lt;0, "N/A", Table3[[#This Row],[Revenue before return]]-Table3[[#This Row],[Amount of order  returned]]), "N/A")</f>
        <v>245000</v>
      </c>
      <c r="Q32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28" spans="1:17" x14ac:dyDescent="0.2">
      <c r="A328" t="s">
        <v>592</v>
      </c>
      <c r="B328" t="s">
        <v>25</v>
      </c>
      <c r="C328" t="s">
        <v>10</v>
      </c>
      <c r="D328" s="6">
        <v>25</v>
      </c>
      <c r="E328" s="5">
        <v>15000</v>
      </c>
      <c r="F328" t="s">
        <v>593</v>
      </c>
      <c r="G328" s="7">
        <v>46176</v>
      </c>
      <c r="H328" s="5">
        <v>0</v>
      </c>
      <c r="I32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28" t="b">
        <f>((ISNUMBER(Table3[[#This Row],[Quantity]]) )* (Table3[[#This Row],[Quantity]]&gt;0))=1</f>
        <v>1</v>
      </c>
      <c r="K328" t="b">
        <f>((Table3[[#This Row],[Quantity]]&gt;=Table3[[#This Row],[Return Qty]])*(ISNUMBER(Table3[[#This Row],[Quantity]])))=1</f>
        <v>1</v>
      </c>
      <c r="L328" t="b">
        <f>ISNUMBER(Table3[[#This Row],[Unit Price]])</f>
        <v>1</v>
      </c>
      <c r="M328" t="b">
        <f>ISNUMBER(Table3[[#This Row],[Order Date]])</f>
        <v>1</v>
      </c>
      <c r="N328">
        <f>IFERROR(IF(Table3[[#This Row],[Quantity]]*Table3[[#This Row],[Unit Price]]&lt;0, "N/A", Table3[[#This Row],[Quantity]]*Table3[[#This Row],[Unit Price]]), "N/A")</f>
        <v>375000</v>
      </c>
      <c r="O328">
        <f>IFERROR(Table3[[#This Row],[Unit Price]]*Table3[[#This Row],[Return Qty]], "N/A")</f>
        <v>0</v>
      </c>
      <c r="P328">
        <f>IFERROR(IF((Table3[[#This Row],[Revenue before return]]-Table3[[#This Row],[Amount of order  returned]])&lt;0, "N/A", Table3[[#This Row],[Revenue before return]]-Table3[[#This Row],[Amount of order  returned]]), "N/A")</f>
        <v>375000</v>
      </c>
      <c r="Q32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29" spans="1:17" x14ac:dyDescent="0.2">
      <c r="A329" t="s">
        <v>594</v>
      </c>
      <c r="B329" t="s">
        <v>25</v>
      </c>
      <c r="C329" t="s">
        <v>26</v>
      </c>
      <c r="D329" s="6">
        <v>8</v>
      </c>
      <c r="E329" s="5">
        <v>20000</v>
      </c>
      <c r="F329" t="s">
        <v>595</v>
      </c>
      <c r="G329" s="7">
        <v>46116</v>
      </c>
      <c r="H329" s="5">
        <v>0</v>
      </c>
      <c r="I32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29" t="b">
        <f>((ISNUMBER(Table3[[#This Row],[Quantity]]) )* (Table3[[#This Row],[Quantity]]&gt;0))=1</f>
        <v>1</v>
      </c>
      <c r="K329" t="b">
        <f>((Table3[[#This Row],[Quantity]]&gt;=Table3[[#This Row],[Return Qty]])*(ISNUMBER(Table3[[#This Row],[Quantity]])))=1</f>
        <v>1</v>
      </c>
      <c r="L329" t="b">
        <f>ISNUMBER(Table3[[#This Row],[Unit Price]])</f>
        <v>1</v>
      </c>
      <c r="M329" t="b">
        <f>ISNUMBER(Table3[[#This Row],[Order Date]])</f>
        <v>1</v>
      </c>
      <c r="N329">
        <f>IFERROR(IF(Table3[[#This Row],[Quantity]]*Table3[[#This Row],[Unit Price]]&lt;0, "N/A", Table3[[#This Row],[Quantity]]*Table3[[#This Row],[Unit Price]]), "N/A")</f>
        <v>160000</v>
      </c>
      <c r="O329">
        <f>IFERROR(Table3[[#This Row],[Unit Price]]*Table3[[#This Row],[Return Qty]], "N/A")</f>
        <v>0</v>
      </c>
      <c r="P329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32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30" spans="1:17" x14ac:dyDescent="0.2">
      <c r="A330" t="s">
        <v>597</v>
      </c>
      <c r="B330" t="s">
        <v>14</v>
      </c>
      <c r="C330" t="s">
        <v>18</v>
      </c>
      <c r="D330" s="6">
        <v>7</v>
      </c>
      <c r="E330" s="5">
        <v>50000</v>
      </c>
      <c r="F330" t="s">
        <v>121</v>
      </c>
      <c r="G330" s="7">
        <v>46177</v>
      </c>
      <c r="H330" s="5">
        <v>0</v>
      </c>
      <c r="I33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30" t="b">
        <f>((ISNUMBER(Table3[[#This Row],[Quantity]]) )* (Table3[[#This Row],[Quantity]]&gt;0))=1</f>
        <v>1</v>
      </c>
      <c r="K330" t="b">
        <f>((Table3[[#This Row],[Quantity]]&gt;=Table3[[#This Row],[Return Qty]])*(ISNUMBER(Table3[[#This Row],[Quantity]])))=1</f>
        <v>1</v>
      </c>
      <c r="L330" t="b">
        <f>ISNUMBER(Table3[[#This Row],[Unit Price]])</f>
        <v>1</v>
      </c>
      <c r="M330" t="b">
        <f>ISNUMBER(Table3[[#This Row],[Order Date]])</f>
        <v>1</v>
      </c>
      <c r="N330">
        <f>IFERROR(IF(Table3[[#This Row],[Quantity]]*Table3[[#This Row],[Unit Price]]&lt;0, "N/A", Table3[[#This Row],[Quantity]]*Table3[[#This Row],[Unit Price]]), "N/A")</f>
        <v>350000</v>
      </c>
      <c r="O330">
        <f>IFERROR(Table3[[#This Row],[Unit Price]]*Table3[[#This Row],[Return Qty]], "N/A")</f>
        <v>0</v>
      </c>
      <c r="P330">
        <f>IFERROR(IF((Table3[[#This Row],[Revenue before return]]-Table3[[#This Row],[Amount of order  returned]])&lt;0, "N/A", Table3[[#This Row],[Revenue before return]]-Table3[[#This Row],[Amount of order  returned]]), "N/A")</f>
        <v>350000</v>
      </c>
      <c r="Q33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31" spans="1:17" x14ac:dyDescent="0.2">
      <c r="A331" t="s">
        <v>598</v>
      </c>
      <c r="B331" t="s">
        <v>25</v>
      </c>
      <c r="C331" t="s">
        <v>10</v>
      </c>
      <c r="D331" s="6">
        <v>7</v>
      </c>
      <c r="E331" s="5">
        <v>15000</v>
      </c>
      <c r="F331" t="s">
        <v>599</v>
      </c>
      <c r="G331" s="7">
        <v>46139</v>
      </c>
      <c r="H331" s="5">
        <v>0</v>
      </c>
      <c r="I33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31" t="b">
        <f>((ISNUMBER(Table3[[#This Row],[Quantity]]) )* (Table3[[#This Row],[Quantity]]&gt;0))=1</f>
        <v>1</v>
      </c>
      <c r="K331" t="b">
        <f>((Table3[[#This Row],[Quantity]]&gt;=Table3[[#This Row],[Return Qty]])*(ISNUMBER(Table3[[#This Row],[Quantity]])))=1</f>
        <v>1</v>
      </c>
      <c r="L331" t="b">
        <f>ISNUMBER(Table3[[#This Row],[Unit Price]])</f>
        <v>1</v>
      </c>
      <c r="M331" t="b">
        <f>ISNUMBER(Table3[[#This Row],[Order Date]])</f>
        <v>1</v>
      </c>
      <c r="N331">
        <f>IFERROR(IF(Table3[[#This Row],[Quantity]]*Table3[[#This Row],[Unit Price]]&lt;0, "N/A", Table3[[#This Row],[Quantity]]*Table3[[#This Row],[Unit Price]]), "N/A")</f>
        <v>105000</v>
      </c>
      <c r="O331">
        <f>IFERROR(Table3[[#This Row],[Unit Price]]*Table3[[#This Row],[Return Qty]], "N/A")</f>
        <v>0</v>
      </c>
      <c r="P331">
        <f>IFERROR(IF((Table3[[#This Row],[Revenue before return]]-Table3[[#This Row],[Amount of order  returned]])&lt;0, "N/A", Table3[[#This Row],[Revenue before return]]-Table3[[#This Row],[Amount of order  returned]]), "N/A")</f>
        <v>105000</v>
      </c>
      <c r="Q33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32" spans="1:17" x14ac:dyDescent="0.2">
      <c r="A332" t="s">
        <v>600</v>
      </c>
      <c r="B332" t="s">
        <v>14</v>
      </c>
      <c r="C332" t="s">
        <v>26</v>
      </c>
      <c r="D332" s="6">
        <v>24</v>
      </c>
      <c r="E332" s="5">
        <v>20000</v>
      </c>
      <c r="F332" t="s">
        <v>601</v>
      </c>
      <c r="G332" s="7">
        <v>46156</v>
      </c>
      <c r="H332" s="5">
        <v>0</v>
      </c>
      <c r="I33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32" t="b">
        <f>((ISNUMBER(Table3[[#This Row],[Quantity]]) )* (Table3[[#This Row],[Quantity]]&gt;0))=1</f>
        <v>1</v>
      </c>
      <c r="K332" t="b">
        <f>((Table3[[#This Row],[Quantity]]&gt;=Table3[[#This Row],[Return Qty]])*(ISNUMBER(Table3[[#This Row],[Quantity]])))=1</f>
        <v>1</v>
      </c>
      <c r="L332" t="b">
        <f>ISNUMBER(Table3[[#This Row],[Unit Price]])</f>
        <v>1</v>
      </c>
      <c r="M332" t="b">
        <f>ISNUMBER(Table3[[#This Row],[Order Date]])</f>
        <v>1</v>
      </c>
      <c r="N332">
        <f>IFERROR(IF(Table3[[#This Row],[Quantity]]*Table3[[#This Row],[Unit Price]]&lt;0, "N/A", Table3[[#This Row],[Quantity]]*Table3[[#This Row],[Unit Price]]), "N/A")</f>
        <v>480000</v>
      </c>
      <c r="O332">
        <f>IFERROR(Table3[[#This Row],[Unit Price]]*Table3[[#This Row],[Return Qty]], "N/A")</f>
        <v>0</v>
      </c>
      <c r="P332">
        <f>IFERROR(IF((Table3[[#This Row],[Revenue before return]]-Table3[[#This Row],[Amount of order  returned]])&lt;0, "N/A", Table3[[#This Row],[Revenue before return]]-Table3[[#This Row],[Amount of order  returned]]), "N/A")</f>
        <v>480000</v>
      </c>
      <c r="Q33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33" spans="1:17" x14ac:dyDescent="0.2">
      <c r="A333" t="s">
        <v>602</v>
      </c>
      <c r="B333" t="s">
        <v>25</v>
      </c>
      <c r="C333" t="s">
        <v>32</v>
      </c>
      <c r="D333" s="6">
        <v>6</v>
      </c>
      <c r="E333" s="5">
        <v>8000</v>
      </c>
      <c r="F333" t="s">
        <v>410</v>
      </c>
      <c r="G333" s="7">
        <v>46142</v>
      </c>
      <c r="H333" s="5">
        <v>0</v>
      </c>
      <c r="I33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33" t="b">
        <f>((ISNUMBER(Table3[[#This Row],[Quantity]]) )* (Table3[[#This Row],[Quantity]]&gt;0))=1</f>
        <v>1</v>
      </c>
      <c r="K333" t="b">
        <f>((Table3[[#This Row],[Quantity]]&gt;=Table3[[#This Row],[Return Qty]])*(ISNUMBER(Table3[[#This Row],[Quantity]])))=1</f>
        <v>1</v>
      </c>
      <c r="L333" t="b">
        <f>ISNUMBER(Table3[[#This Row],[Unit Price]])</f>
        <v>1</v>
      </c>
      <c r="M333" t="b">
        <f>ISNUMBER(Table3[[#This Row],[Order Date]])</f>
        <v>1</v>
      </c>
      <c r="N333">
        <f>IFERROR(IF(Table3[[#This Row],[Quantity]]*Table3[[#This Row],[Unit Price]]&lt;0, "N/A", Table3[[#This Row],[Quantity]]*Table3[[#This Row],[Unit Price]]), "N/A")</f>
        <v>48000</v>
      </c>
      <c r="O333">
        <f>IFERROR(Table3[[#This Row],[Unit Price]]*Table3[[#This Row],[Return Qty]], "N/A")</f>
        <v>0</v>
      </c>
      <c r="P333">
        <f>IFERROR(IF((Table3[[#This Row],[Revenue before return]]-Table3[[#This Row],[Amount of order  returned]])&lt;0, "N/A", Table3[[#This Row],[Revenue before return]]-Table3[[#This Row],[Amount of order  returned]]), "N/A")</f>
        <v>48000</v>
      </c>
      <c r="Q33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34" spans="1:17" x14ac:dyDescent="0.2">
      <c r="A334" t="s">
        <v>603</v>
      </c>
      <c r="B334" t="s">
        <v>21</v>
      </c>
      <c r="C334" t="s">
        <v>45</v>
      </c>
      <c r="D334" s="6">
        <v>20</v>
      </c>
      <c r="E334" s="5">
        <v>20000</v>
      </c>
      <c r="F334" t="s">
        <v>604</v>
      </c>
      <c r="G334" s="7">
        <v>46091</v>
      </c>
      <c r="H334" s="5">
        <v>0</v>
      </c>
      <c r="I33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34" t="b">
        <f>((ISNUMBER(Table3[[#This Row],[Quantity]]) )* (Table3[[#This Row],[Quantity]]&gt;0))=1</f>
        <v>1</v>
      </c>
      <c r="K334" t="b">
        <f>((Table3[[#This Row],[Quantity]]&gt;=Table3[[#This Row],[Return Qty]])*(ISNUMBER(Table3[[#This Row],[Quantity]])))=1</f>
        <v>1</v>
      </c>
      <c r="L334" t="b">
        <f>ISNUMBER(Table3[[#This Row],[Unit Price]])</f>
        <v>1</v>
      </c>
      <c r="M334" t="b">
        <f>ISNUMBER(Table3[[#This Row],[Order Date]])</f>
        <v>1</v>
      </c>
      <c r="N334">
        <f>IFERROR(IF(Table3[[#This Row],[Quantity]]*Table3[[#This Row],[Unit Price]]&lt;0, "N/A", Table3[[#This Row],[Quantity]]*Table3[[#This Row],[Unit Price]]), "N/A")</f>
        <v>400000</v>
      </c>
      <c r="O334">
        <f>IFERROR(Table3[[#This Row],[Unit Price]]*Table3[[#This Row],[Return Qty]], "N/A")</f>
        <v>0</v>
      </c>
      <c r="P334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33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35" spans="1:17" x14ac:dyDescent="0.2">
      <c r="A335" t="s">
        <v>605</v>
      </c>
      <c r="B335" t="s">
        <v>25</v>
      </c>
      <c r="C335" t="s">
        <v>45</v>
      </c>
      <c r="D335" s="6">
        <v>16</v>
      </c>
      <c r="E335" s="5">
        <v>20000</v>
      </c>
      <c r="F335" t="s">
        <v>27</v>
      </c>
      <c r="G335" s="7">
        <v>46023</v>
      </c>
      <c r="H335" s="5">
        <v>0</v>
      </c>
      <c r="I33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35" t="b">
        <f>((ISNUMBER(Table3[[#This Row],[Quantity]]) )* (Table3[[#This Row],[Quantity]]&gt;0))=1</f>
        <v>1</v>
      </c>
      <c r="K335" t="b">
        <f>((Table3[[#This Row],[Quantity]]&gt;=Table3[[#This Row],[Return Qty]])*(ISNUMBER(Table3[[#This Row],[Quantity]])))=1</f>
        <v>1</v>
      </c>
      <c r="L335" t="b">
        <f>ISNUMBER(Table3[[#This Row],[Unit Price]])</f>
        <v>1</v>
      </c>
      <c r="M335" t="b">
        <f>ISNUMBER(Table3[[#This Row],[Order Date]])</f>
        <v>1</v>
      </c>
      <c r="N335">
        <f>IFERROR(IF(Table3[[#This Row],[Quantity]]*Table3[[#This Row],[Unit Price]]&lt;0, "N/A", Table3[[#This Row],[Quantity]]*Table3[[#This Row],[Unit Price]]), "N/A")</f>
        <v>320000</v>
      </c>
      <c r="O335">
        <f>IFERROR(Table3[[#This Row],[Unit Price]]*Table3[[#This Row],[Return Qty]], "N/A")</f>
        <v>0</v>
      </c>
      <c r="P335">
        <f>IFERROR(IF((Table3[[#This Row],[Revenue before return]]-Table3[[#This Row],[Amount of order  returned]])&lt;0, "N/A", Table3[[#This Row],[Revenue before return]]-Table3[[#This Row],[Amount of order  returned]]), "N/A")</f>
        <v>320000</v>
      </c>
      <c r="Q33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36" spans="1:17" x14ac:dyDescent="0.2">
      <c r="A336" t="s">
        <v>606</v>
      </c>
      <c r="B336" t="s">
        <v>9</v>
      </c>
      <c r="C336" t="s">
        <v>26</v>
      </c>
      <c r="D336" s="6">
        <v>2</v>
      </c>
      <c r="E336" s="5">
        <v>20000</v>
      </c>
      <c r="F336" t="s">
        <v>599</v>
      </c>
      <c r="G336" s="7">
        <v>46091</v>
      </c>
      <c r="H336" s="5">
        <v>2</v>
      </c>
      <c r="I33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36" t="b">
        <f>((ISNUMBER(Table3[[#This Row],[Quantity]]) )* (Table3[[#This Row],[Quantity]]&gt;0))=1</f>
        <v>1</v>
      </c>
      <c r="K336" t="b">
        <f>((Table3[[#This Row],[Quantity]]&gt;=Table3[[#This Row],[Return Qty]])*(ISNUMBER(Table3[[#This Row],[Quantity]])))=1</f>
        <v>1</v>
      </c>
      <c r="L336" t="b">
        <f>ISNUMBER(Table3[[#This Row],[Unit Price]])</f>
        <v>1</v>
      </c>
      <c r="M336" t="b">
        <f>ISNUMBER(Table3[[#This Row],[Order Date]])</f>
        <v>1</v>
      </c>
      <c r="N336">
        <f>IFERROR(IF(Table3[[#This Row],[Quantity]]*Table3[[#This Row],[Unit Price]]&lt;0, "N/A", Table3[[#This Row],[Quantity]]*Table3[[#This Row],[Unit Price]]), "N/A")</f>
        <v>40000</v>
      </c>
      <c r="O336">
        <f>IFERROR(Table3[[#This Row],[Unit Price]]*Table3[[#This Row],[Return Qty]], "N/A")</f>
        <v>40000</v>
      </c>
      <c r="P336">
        <f>IFERROR(IF((Table3[[#This Row],[Revenue before return]]-Table3[[#This Row],[Amount of order  returned]])&lt;0, "N/A", Table3[[#This Row],[Revenue before return]]-Table3[[#This Row],[Amount of order  returned]]), "N/A")</f>
        <v>0</v>
      </c>
      <c r="Q33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37" spans="1:17" x14ac:dyDescent="0.2">
      <c r="A337" t="s">
        <v>608</v>
      </c>
      <c r="B337" t="s">
        <v>25</v>
      </c>
      <c r="C337" t="s">
        <v>26</v>
      </c>
      <c r="D337" s="6">
        <v>5</v>
      </c>
      <c r="E337" s="5">
        <v>20000</v>
      </c>
      <c r="F337" t="s">
        <v>169</v>
      </c>
      <c r="G337" s="7">
        <v>46193</v>
      </c>
      <c r="H337" s="5">
        <v>0</v>
      </c>
      <c r="I33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37" t="b">
        <f>((ISNUMBER(Table3[[#This Row],[Quantity]]) )* (Table3[[#This Row],[Quantity]]&gt;0))=1</f>
        <v>1</v>
      </c>
      <c r="K337" t="b">
        <f>((Table3[[#This Row],[Quantity]]&gt;=Table3[[#This Row],[Return Qty]])*(ISNUMBER(Table3[[#This Row],[Quantity]])))=1</f>
        <v>1</v>
      </c>
      <c r="L337" t="b">
        <f>ISNUMBER(Table3[[#This Row],[Unit Price]])</f>
        <v>1</v>
      </c>
      <c r="M337" t="b">
        <f>ISNUMBER(Table3[[#This Row],[Order Date]])</f>
        <v>1</v>
      </c>
      <c r="N337">
        <f>IFERROR(IF(Table3[[#This Row],[Quantity]]*Table3[[#This Row],[Unit Price]]&lt;0, "N/A", Table3[[#This Row],[Quantity]]*Table3[[#This Row],[Unit Price]]), "N/A")</f>
        <v>100000</v>
      </c>
      <c r="O337">
        <f>IFERROR(Table3[[#This Row],[Unit Price]]*Table3[[#This Row],[Return Qty]], "N/A")</f>
        <v>0</v>
      </c>
      <c r="P337">
        <f>IFERROR(IF((Table3[[#This Row],[Revenue before return]]-Table3[[#This Row],[Amount of order  returned]])&lt;0, "N/A", Table3[[#This Row],[Revenue before return]]-Table3[[#This Row],[Amount of order  returned]]), "N/A")</f>
        <v>100000</v>
      </c>
      <c r="Q33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38" spans="1:17" x14ac:dyDescent="0.2">
      <c r="A338" t="s">
        <v>609</v>
      </c>
      <c r="B338" t="s">
        <v>9</v>
      </c>
      <c r="C338" t="s">
        <v>32</v>
      </c>
      <c r="D338" s="6">
        <v>-4</v>
      </c>
      <c r="E338" s="5">
        <v>8000</v>
      </c>
      <c r="F338" t="s">
        <v>95</v>
      </c>
      <c r="G338" s="7">
        <v>46202</v>
      </c>
      <c r="H338" s="5">
        <v>4</v>
      </c>
      <c r="I33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38" t="b">
        <f>((ISNUMBER(Table3[[#This Row],[Quantity]]) )* (Table3[[#This Row],[Quantity]]&gt;0))=1</f>
        <v>0</v>
      </c>
      <c r="K338" t="b">
        <f>((Table3[[#This Row],[Quantity]]&gt;=Table3[[#This Row],[Return Qty]])*(ISNUMBER(Table3[[#This Row],[Quantity]])))=1</f>
        <v>0</v>
      </c>
      <c r="L338" t="b">
        <f>ISNUMBER(Table3[[#This Row],[Unit Price]])</f>
        <v>1</v>
      </c>
      <c r="M338" t="b">
        <f>ISNUMBER(Table3[[#This Row],[Order Date]])</f>
        <v>1</v>
      </c>
      <c r="N338" t="str">
        <f>IFERROR(IF(Table3[[#This Row],[Quantity]]*Table3[[#This Row],[Unit Price]]&lt;0, "N/A", Table3[[#This Row],[Quantity]]*Table3[[#This Row],[Unit Price]]), "N/A")</f>
        <v>N/A</v>
      </c>
      <c r="O338">
        <f>IFERROR(Table3[[#This Row],[Unit Price]]*Table3[[#This Row],[Return Qty]], "N/A")</f>
        <v>32000</v>
      </c>
      <c r="P338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33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339" spans="1:17" x14ac:dyDescent="0.2">
      <c r="A339" t="s">
        <v>610</v>
      </c>
      <c r="B339" t="s">
        <v>9</v>
      </c>
      <c r="C339" t="s">
        <v>32</v>
      </c>
      <c r="D339" s="6">
        <v>3</v>
      </c>
      <c r="E339" s="5">
        <v>8000</v>
      </c>
      <c r="F339" t="s">
        <v>331</v>
      </c>
      <c r="G339" s="7">
        <v>46045</v>
      </c>
      <c r="H339" s="5">
        <v>0</v>
      </c>
      <c r="I33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39" t="b">
        <f>((ISNUMBER(Table3[[#This Row],[Quantity]]) )* (Table3[[#This Row],[Quantity]]&gt;0))=1</f>
        <v>1</v>
      </c>
      <c r="K339" t="b">
        <f>((Table3[[#This Row],[Quantity]]&gt;=Table3[[#This Row],[Return Qty]])*(ISNUMBER(Table3[[#This Row],[Quantity]])))=1</f>
        <v>1</v>
      </c>
      <c r="L339" t="b">
        <f>ISNUMBER(Table3[[#This Row],[Unit Price]])</f>
        <v>1</v>
      </c>
      <c r="M339" t="b">
        <f>ISNUMBER(Table3[[#This Row],[Order Date]])</f>
        <v>1</v>
      </c>
      <c r="N339">
        <f>IFERROR(IF(Table3[[#This Row],[Quantity]]*Table3[[#This Row],[Unit Price]]&lt;0, "N/A", Table3[[#This Row],[Quantity]]*Table3[[#This Row],[Unit Price]]), "N/A")</f>
        <v>24000</v>
      </c>
      <c r="O339">
        <f>IFERROR(Table3[[#This Row],[Unit Price]]*Table3[[#This Row],[Return Qty]], "N/A")</f>
        <v>0</v>
      </c>
      <c r="P339">
        <f>IFERROR(IF((Table3[[#This Row],[Revenue before return]]-Table3[[#This Row],[Amount of order  returned]])&lt;0, "N/A", Table3[[#This Row],[Revenue before return]]-Table3[[#This Row],[Amount of order  returned]]), "N/A")</f>
        <v>24000</v>
      </c>
      <c r="Q33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40" spans="1:17" x14ac:dyDescent="0.2">
      <c r="A340" t="s">
        <v>611</v>
      </c>
      <c r="B340" t="s">
        <v>9</v>
      </c>
      <c r="C340" t="s">
        <v>26</v>
      </c>
      <c r="D340" s="6">
        <v>22</v>
      </c>
      <c r="E340" s="5">
        <v>20000</v>
      </c>
      <c r="F340" t="s">
        <v>121</v>
      </c>
      <c r="G340" s="7">
        <v>46190</v>
      </c>
      <c r="H340" s="5">
        <v>0</v>
      </c>
      <c r="I34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40" t="b">
        <f>((ISNUMBER(Table3[[#This Row],[Quantity]]) )* (Table3[[#This Row],[Quantity]]&gt;0))=1</f>
        <v>1</v>
      </c>
      <c r="K340" t="b">
        <f>((Table3[[#This Row],[Quantity]]&gt;=Table3[[#This Row],[Return Qty]])*(ISNUMBER(Table3[[#This Row],[Quantity]])))=1</f>
        <v>1</v>
      </c>
      <c r="L340" t="b">
        <f>ISNUMBER(Table3[[#This Row],[Unit Price]])</f>
        <v>1</v>
      </c>
      <c r="M340" t="b">
        <f>ISNUMBER(Table3[[#This Row],[Order Date]])</f>
        <v>1</v>
      </c>
      <c r="N340">
        <f>IFERROR(IF(Table3[[#This Row],[Quantity]]*Table3[[#This Row],[Unit Price]]&lt;0, "N/A", Table3[[#This Row],[Quantity]]*Table3[[#This Row],[Unit Price]]), "N/A")</f>
        <v>440000</v>
      </c>
      <c r="O340">
        <f>IFERROR(Table3[[#This Row],[Unit Price]]*Table3[[#This Row],[Return Qty]], "N/A")</f>
        <v>0</v>
      </c>
      <c r="P340">
        <f>IFERROR(IF((Table3[[#This Row],[Revenue before return]]-Table3[[#This Row],[Amount of order  returned]])&lt;0, "N/A", Table3[[#This Row],[Revenue before return]]-Table3[[#This Row],[Amount of order  returned]]), "N/A")</f>
        <v>440000</v>
      </c>
      <c r="Q34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41" spans="1:17" x14ac:dyDescent="0.2">
      <c r="A341" t="s">
        <v>612</v>
      </c>
      <c r="B341" t="s">
        <v>9</v>
      </c>
      <c r="C341" t="s">
        <v>18</v>
      </c>
      <c r="D341" s="6">
        <v>1</v>
      </c>
      <c r="E341" s="5">
        <v>50000</v>
      </c>
      <c r="F341" t="s">
        <v>197</v>
      </c>
      <c r="G341" s="7">
        <v>46039</v>
      </c>
      <c r="H341" s="5">
        <v>0</v>
      </c>
      <c r="I34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41" t="b">
        <f>((ISNUMBER(Table3[[#This Row],[Quantity]]) )* (Table3[[#This Row],[Quantity]]&gt;0))=1</f>
        <v>1</v>
      </c>
      <c r="K341" t="b">
        <f>((Table3[[#This Row],[Quantity]]&gt;=Table3[[#This Row],[Return Qty]])*(ISNUMBER(Table3[[#This Row],[Quantity]])))=1</f>
        <v>1</v>
      </c>
      <c r="L341" t="b">
        <f>ISNUMBER(Table3[[#This Row],[Unit Price]])</f>
        <v>1</v>
      </c>
      <c r="M341" t="b">
        <f>ISNUMBER(Table3[[#This Row],[Order Date]])</f>
        <v>1</v>
      </c>
      <c r="N341">
        <f>IFERROR(IF(Table3[[#This Row],[Quantity]]*Table3[[#This Row],[Unit Price]]&lt;0, "N/A", Table3[[#This Row],[Quantity]]*Table3[[#This Row],[Unit Price]]), "N/A")</f>
        <v>50000</v>
      </c>
      <c r="O341">
        <f>IFERROR(Table3[[#This Row],[Unit Price]]*Table3[[#This Row],[Return Qty]], "N/A")</f>
        <v>0</v>
      </c>
      <c r="P341">
        <f>IFERROR(IF((Table3[[#This Row],[Revenue before return]]-Table3[[#This Row],[Amount of order  returned]])&lt;0, "N/A", Table3[[#This Row],[Revenue before return]]-Table3[[#This Row],[Amount of order  returned]]), "N/A")</f>
        <v>50000</v>
      </c>
      <c r="Q34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42" spans="1:17" x14ac:dyDescent="0.2">
      <c r="A342" t="s">
        <v>613</v>
      </c>
      <c r="B342" t="s">
        <v>25</v>
      </c>
      <c r="C342" t="s">
        <v>45</v>
      </c>
      <c r="D342" s="6">
        <v>25</v>
      </c>
      <c r="E342" s="5">
        <v>20000</v>
      </c>
      <c r="F342" t="s">
        <v>614</v>
      </c>
      <c r="G342" s="7">
        <v>46158</v>
      </c>
      <c r="H342" s="5">
        <v>1</v>
      </c>
      <c r="I34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42" t="b">
        <f>((ISNUMBER(Table3[[#This Row],[Quantity]]) )* (Table3[[#This Row],[Quantity]]&gt;0))=1</f>
        <v>1</v>
      </c>
      <c r="K342" t="b">
        <f>((Table3[[#This Row],[Quantity]]&gt;=Table3[[#This Row],[Return Qty]])*(ISNUMBER(Table3[[#This Row],[Quantity]])))=1</f>
        <v>1</v>
      </c>
      <c r="L342" t="b">
        <f>ISNUMBER(Table3[[#This Row],[Unit Price]])</f>
        <v>1</v>
      </c>
      <c r="M342" t="b">
        <f>ISNUMBER(Table3[[#This Row],[Order Date]])</f>
        <v>1</v>
      </c>
      <c r="N342">
        <f>IFERROR(IF(Table3[[#This Row],[Quantity]]*Table3[[#This Row],[Unit Price]]&lt;0, "N/A", Table3[[#This Row],[Quantity]]*Table3[[#This Row],[Unit Price]]), "N/A")</f>
        <v>500000</v>
      </c>
      <c r="O342">
        <f>IFERROR(Table3[[#This Row],[Unit Price]]*Table3[[#This Row],[Return Qty]], "N/A")</f>
        <v>20000</v>
      </c>
      <c r="P342">
        <f>IFERROR(IF((Table3[[#This Row],[Revenue before return]]-Table3[[#This Row],[Amount of order  returned]])&lt;0, "N/A", Table3[[#This Row],[Revenue before return]]-Table3[[#This Row],[Amount of order  returned]]), "N/A")</f>
        <v>480000</v>
      </c>
      <c r="Q34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43" spans="1:17" x14ac:dyDescent="0.2">
      <c r="A343" t="s">
        <v>615</v>
      </c>
      <c r="B343" t="s">
        <v>25</v>
      </c>
      <c r="C343" t="s">
        <v>70</v>
      </c>
      <c r="D343" s="6">
        <v>4</v>
      </c>
      <c r="E343" s="5">
        <v>28000</v>
      </c>
      <c r="F343" t="s">
        <v>616</v>
      </c>
      <c r="G343" s="7">
        <v>46100</v>
      </c>
      <c r="H343" s="5">
        <v>0</v>
      </c>
      <c r="I34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43" t="b">
        <f>((ISNUMBER(Table3[[#This Row],[Quantity]]) )* (Table3[[#This Row],[Quantity]]&gt;0))=1</f>
        <v>1</v>
      </c>
      <c r="K343" t="b">
        <f>((Table3[[#This Row],[Quantity]]&gt;=Table3[[#This Row],[Return Qty]])*(ISNUMBER(Table3[[#This Row],[Quantity]])))=1</f>
        <v>1</v>
      </c>
      <c r="L343" t="b">
        <f>ISNUMBER(Table3[[#This Row],[Unit Price]])</f>
        <v>1</v>
      </c>
      <c r="M343" t="b">
        <f>ISNUMBER(Table3[[#This Row],[Order Date]])</f>
        <v>1</v>
      </c>
      <c r="N343">
        <f>IFERROR(IF(Table3[[#This Row],[Quantity]]*Table3[[#This Row],[Unit Price]]&lt;0, "N/A", Table3[[#This Row],[Quantity]]*Table3[[#This Row],[Unit Price]]), "N/A")</f>
        <v>112000</v>
      </c>
      <c r="O343">
        <f>IFERROR(Table3[[#This Row],[Unit Price]]*Table3[[#This Row],[Return Qty]], "N/A")</f>
        <v>0</v>
      </c>
      <c r="P343">
        <f>IFERROR(IF((Table3[[#This Row],[Revenue before return]]-Table3[[#This Row],[Amount of order  returned]])&lt;0, "N/A", Table3[[#This Row],[Revenue before return]]-Table3[[#This Row],[Amount of order  returned]]), "N/A")</f>
        <v>112000</v>
      </c>
      <c r="Q34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44" spans="1:17" x14ac:dyDescent="0.2">
      <c r="A344" t="s">
        <v>617</v>
      </c>
      <c r="B344" t="s">
        <v>21</v>
      </c>
      <c r="C344" t="s">
        <v>10</v>
      </c>
      <c r="D344" s="6">
        <v>16</v>
      </c>
      <c r="E344" s="5">
        <v>15000</v>
      </c>
      <c r="F344" t="s">
        <v>618</v>
      </c>
      <c r="G344" s="7">
        <v>46159</v>
      </c>
      <c r="H344" s="5">
        <v>0</v>
      </c>
      <c r="I34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44" t="b">
        <f>((ISNUMBER(Table3[[#This Row],[Quantity]]) )* (Table3[[#This Row],[Quantity]]&gt;0))=1</f>
        <v>1</v>
      </c>
      <c r="K344" t="b">
        <f>((Table3[[#This Row],[Quantity]]&gt;=Table3[[#This Row],[Return Qty]])*(ISNUMBER(Table3[[#This Row],[Quantity]])))=1</f>
        <v>1</v>
      </c>
      <c r="L344" t="b">
        <f>ISNUMBER(Table3[[#This Row],[Unit Price]])</f>
        <v>1</v>
      </c>
      <c r="M344" t="b">
        <f>ISNUMBER(Table3[[#This Row],[Order Date]])</f>
        <v>1</v>
      </c>
      <c r="N344">
        <f>IFERROR(IF(Table3[[#This Row],[Quantity]]*Table3[[#This Row],[Unit Price]]&lt;0, "N/A", Table3[[#This Row],[Quantity]]*Table3[[#This Row],[Unit Price]]), "N/A")</f>
        <v>240000</v>
      </c>
      <c r="O344">
        <f>IFERROR(Table3[[#This Row],[Unit Price]]*Table3[[#This Row],[Return Qty]], "N/A")</f>
        <v>0</v>
      </c>
      <c r="P344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34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45" spans="1:17" x14ac:dyDescent="0.2">
      <c r="A345" t="s">
        <v>619</v>
      </c>
      <c r="B345" t="s">
        <v>25</v>
      </c>
      <c r="C345" t="s">
        <v>70</v>
      </c>
      <c r="D345" s="6">
        <v>24</v>
      </c>
      <c r="E345" s="5">
        <v>28000</v>
      </c>
      <c r="F345" t="s">
        <v>620</v>
      </c>
      <c r="G345" s="7">
        <v>46184</v>
      </c>
      <c r="H345" s="5">
        <v>0</v>
      </c>
      <c r="I34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45" t="b">
        <f>((ISNUMBER(Table3[[#This Row],[Quantity]]) )* (Table3[[#This Row],[Quantity]]&gt;0))=1</f>
        <v>1</v>
      </c>
      <c r="K345" t="b">
        <f>((Table3[[#This Row],[Quantity]]&gt;=Table3[[#This Row],[Return Qty]])*(ISNUMBER(Table3[[#This Row],[Quantity]])))=1</f>
        <v>1</v>
      </c>
      <c r="L345" t="b">
        <f>ISNUMBER(Table3[[#This Row],[Unit Price]])</f>
        <v>1</v>
      </c>
      <c r="M345" t="b">
        <f>ISNUMBER(Table3[[#This Row],[Order Date]])</f>
        <v>1</v>
      </c>
      <c r="N345">
        <f>IFERROR(IF(Table3[[#This Row],[Quantity]]*Table3[[#This Row],[Unit Price]]&lt;0, "N/A", Table3[[#This Row],[Quantity]]*Table3[[#This Row],[Unit Price]]), "N/A")</f>
        <v>672000</v>
      </c>
      <c r="O345">
        <f>IFERROR(Table3[[#This Row],[Unit Price]]*Table3[[#This Row],[Return Qty]], "N/A")</f>
        <v>0</v>
      </c>
      <c r="P345">
        <f>IFERROR(IF((Table3[[#This Row],[Revenue before return]]-Table3[[#This Row],[Amount of order  returned]])&lt;0, "N/A", Table3[[#This Row],[Revenue before return]]-Table3[[#This Row],[Amount of order  returned]]), "N/A")</f>
        <v>672000</v>
      </c>
      <c r="Q34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46" spans="1:17" x14ac:dyDescent="0.2">
      <c r="A346" t="s">
        <v>621</v>
      </c>
      <c r="B346" t="s">
        <v>21</v>
      </c>
      <c r="C346" t="s">
        <v>18</v>
      </c>
      <c r="D346" s="6">
        <v>7</v>
      </c>
      <c r="E346" s="5">
        <v>50000</v>
      </c>
      <c r="F346" t="s">
        <v>155</v>
      </c>
      <c r="G346" s="7">
        <v>46061</v>
      </c>
      <c r="H346" s="5">
        <v>0</v>
      </c>
      <c r="I34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46" t="b">
        <f>((ISNUMBER(Table3[[#This Row],[Quantity]]) )* (Table3[[#This Row],[Quantity]]&gt;0))=1</f>
        <v>1</v>
      </c>
      <c r="K346" t="b">
        <f>((Table3[[#This Row],[Quantity]]&gt;=Table3[[#This Row],[Return Qty]])*(ISNUMBER(Table3[[#This Row],[Quantity]])))=1</f>
        <v>1</v>
      </c>
      <c r="L346" t="b">
        <f>ISNUMBER(Table3[[#This Row],[Unit Price]])</f>
        <v>1</v>
      </c>
      <c r="M346" t="b">
        <f>ISNUMBER(Table3[[#This Row],[Order Date]])</f>
        <v>1</v>
      </c>
      <c r="N346">
        <f>IFERROR(IF(Table3[[#This Row],[Quantity]]*Table3[[#This Row],[Unit Price]]&lt;0, "N/A", Table3[[#This Row],[Quantity]]*Table3[[#This Row],[Unit Price]]), "N/A")</f>
        <v>350000</v>
      </c>
      <c r="O346">
        <f>IFERROR(Table3[[#This Row],[Unit Price]]*Table3[[#This Row],[Return Qty]], "N/A")</f>
        <v>0</v>
      </c>
      <c r="P346">
        <f>IFERROR(IF((Table3[[#This Row],[Revenue before return]]-Table3[[#This Row],[Amount of order  returned]])&lt;0, "N/A", Table3[[#This Row],[Revenue before return]]-Table3[[#This Row],[Amount of order  returned]]), "N/A")</f>
        <v>350000</v>
      </c>
      <c r="Q34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47" spans="1:17" x14ac:dyDescent="0.2">
      <c r="A347" t="s">
        <v>622</v>
      </c>
      <c r="B347" t="s">
        <v>21</v>
      </c>
      <c r="C347" t="s">
        <v>45</v>
      </c>
      <c r="D347" s="6">
        <v>18</v>
      </c>
      <c r="E347" s="5">
        <v>20000</v>
      </c>
      <c r="F347" t="s">
        <v>11</v>
      </c>
      <c r="G347" s="7">
        <v>46074</v>
      </c>
      <c r="H347" s="5">
        <v>0</v>
      </c>
      <c r="I34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47" t="b">
        <f>((ISNUMBER(Table3[[#This Row],[Quantity]]) )* (Table3[[#This Row],[Quantity]]&gt;0))=1</f>
        <v>1</v>
      </c>
      <c r="K347" t="b">
        <f>((Table3[[#This Row],[Quantity]]&gt;=Table3[[#This Row],[Return Qty]])*(ISNUMBER(Table3[[#This Row],[Quantity]])))=1</f>
        <v>1</v>
      </c>
      <c r="L347" t="b">
        <f>ISNUMBER(Table3[[#This Row],[Unit Price]])</f>
        <v>1</v>
      </c>
      <c r="M347" t="b">
        <f>ISNUMBER(Table3[[#This Row],[Order Date]])</f>
        <v>1</v>
      </c>
      <c r="N347">
        <f>IFERROR(IF(Table3[[#This Row],[Quantity]]*Table3[[#This Row],[Unit Price]]&lt;0, "N/A", Table3[[#This Row],[Quantity]]*Table3[[#This Row],[Unit Price]]), "N/A")</f>
        <v>360000</v>
      </c>
      <c r="O347">
        <f>IFERROR(Table3[[#This Row],[Unit Price]]*Table3[[#This Row],[Return Qty]], "N/A")</f>
        <v>0</v>
      </c>
      <c r="P347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34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48" spans="1:17" x14ac:dyDescent="0.2">
      <c r="A348" t="s">
        <v>623</v>
      </c>
      <c r="B348" t="s">
        <v>25</v>
      </c>
      <c r="C348" t="s">
        <v>18</v>
      </c>
      <c r="D348" s="6">
        <v>5</v>
      </c>
      <c r="E348" s="5">
        <v>50000</v>
      </c>
      <c r="F348" t="s">
        <v>331</v>
      </c>
      <c r="G348" s="7">
        <v>46059</v>
      </c>
      <c r="H348" s="5">
        <v>0</v>
      </c>
      <c r="I34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48" t="b">
        <f>((ISNUMBER(Table3[[#This Row],[Quantity]]) )* (Table3[[#This Row],[Quantity]]&gt;0))=1</f>
        <v>1</v>
      </c>
      <c r="K348" t="b">
        <f>((Table3[[#This Row],[Quantity]]&gt;=Table3[[#This Row],[Return Qty]])*(ISNUMBER(Table3[[#This Row],[Quantity]])))=1</f>
        <v>1</v>
      </c>
      <c r="L348" t="b">
        <f>ISNUMBER(Table3[[#This Row],[Unit Price]])</f>
        <v>1</v>
      </c>
      <c r="M348" t="b">
        <f>ISNUMBER(Table3[[#This Row],[Order Date]])</f>
        <v>1</v>
      </c>
      <c r="N348">
        <f>IFERROR(IF(Table3[[#This Row],[Quantity]]*Table3[[#This Row],[Unit Price]]&lt;0, "N/A", Table3[[#This Row],[Quantity]]*Table3[[#This Row],[Unit Price]]), "N/A")</f>
        <v>250000</v>
      </c>
      <c r="O348">
        <f>IFERROR(Table3[[#This Row],[Unit Price]]*Table3[[#This Row],[Return Qty]], "N/A")</f>
        <v>0</v>
      </c>
      <c r="P348">
        <f>IFERROR(IF((Table3[[#This Row],[Revenue before return]]-Table3[[#This Row],[Amount of order  returned]])&lt;0, "N/A", Table3[[#This Row],[Revenue before return]]-Table3[[#This Row],[Amount of order  returned]]), "N/A")</f>
        <v>250000</v>
      </c>
      <c r="Q34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49" spans="1:17" x14ac:dyDescent="0.2">
      <c r="A349" t="s">
        <v>624</v>
      </c>
      <c r="B349" t="s">
        <v>25</v>
      </c>
      <c r="C349" t="s">
        <v>18</v>
      </c>
      <c r="D349" s="6">
        <v>19</v>
      </c>
      <c r="E349" s="5">
        <v>50000</v>
      </c>
      <c r="F349" t="s">
        <v>626</v>
      </c>
      <c r="G349" s="7">
        <v>46148</v>
      </c>
      <c r="H349" s="5">
        <v>2</v>
      </c>
      <c r="I34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49" t="b">
        <f>((ISNUMBER(Table3[[#This Row],[Quantity]]) )* (Table3[[#This Row],[Quantity]]&gt;0))=1</f>
        <v>1</v>
      </c>
      <c r="K349" t="b">
        <f>((Table3[[#This Row],[Quantity]]&gt;=Table3[[#This Row],[Return Qty]])*(ISNUMBER(Table3[[#This Row],[Quantity]])))=1</f>
        <v>1</v>
      </c>
      <c r="L349" t="b">
        <f>ISNUMBER(Table3[[#This Row],[Unit Price]])</f>
        <v>1</v>
      </c>
      <c r="M349" t="b">
        <f>ISNUMBER(Table3[[#This Row],[Order Date]])</f>
        <v>1</v>
      </c>
      <c r="N349">
        <f>IFERROR(IF(Table3[[#This Row],[Quantity]]*Table3[[#This Row],[Unit Price]]&lt;0, "N/A", Table3[[#This Row],[Quantity]]*Table3[[#This Row],[Unit Price]]), "N/A")</f>
        <v>950000</v>
      </c>
      <c r="O349">
        <f>IFERROR(Table3[[#This Row],[Unit Price]]*Table3[[#This Row],[Return Qty]], "N/A")</f>
        <v>100000</v>
      </c>
      <c r="P349">
        <f>IFERROR(IF((Table3[[#This Row],[Revenue before return]]-Table3[[#This Row],[Amount of order  returned]])&lt;0, "N/A", Table3[[#This Row],[Revenue before return]]-Table3[[#This Row],[Amount of order  returned]]), "N/A")</f>
        <v>850000</v>
      </c>
      <c r="Q34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50" spans="1:17" x14ac:dyDescent="0.2">
      <c r="A350" t="s">
        <v>627</v>
      </c>
      <c r="B350" t="s">
        <v>14</v>
      </c>
      <c r="C350" t="s">
        <v>70</v>
      </c>
      <c r="D350" s="6">
        <v>4</v>
      </c>
      <c r="E350" s="5">
        <v>28000</v>
      </c>
      <c r="F350" t="s">
        <v>48</v>
      </c>
      <c r="G350" s="7">
        <v>46160</v>
      </c>
      <c r="H350" s="5">
        <v>1</v>
      </c>
      <c r="I35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50" t="b">
        <f>((ISNUMBER(Table3[[#This Row],[Quantity]]) )* (Table3[[#This Row],[Quantity]]&gt;0))=1</f>
        <v>1</v>
      </c>
      <c r="K350" t="b">
        <f>((Table3[[#This Row],[Quantity]]&gt;=Table3[[#This Row],[Return Qty]])*(ISNUMBER(Table3[[#This Row],[Quantity]])))=1</f>
        <v>1</v>
      </c>
      <c r="L350" t="b">
        <f>ISNUMBER(Table3[[#This Row],[Unit Price]])</f>
        <v>1</v>
      </c>
      <c r="M350" t="b">
        <f>ISNUMBER(Table3[[#This Row],[Order Date]])</f>
        <v>1</v>
      </c>
      <c r="N350">
        <f>IFERROR(IF(Table3[[#This Row],[Quantity]]*Table3[[#This Row],[Unit Price]]&lt;0, "N/A", Table3[[#This Row],[Quantity]]*Table3[[#This Row],[Unit Price]]), "N/A")</f>
        <v>112000</v>
      </c>
      <c r="O350">
        <f>IFERROR(Table3[[#This Row],[Unit Price]]*Table3[[#This Row],[Return Qty]], "N/A")</f>
        <v>28000</v>
      </c>
      <c r="P350">
        <f>IFERROR(IF((Table3[[#This Row],[Revenue before return]]-Table3[[#This Row],[Amount of order  returned]])&lt;0, "N/A", Table3[[#This Row],[Revenue before return]]-Table3[[#This Row],[Amount of order  returned]]), "N/A")</f>
        <v>84000</v>
      </c>
      <c r="Q35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51" spans="1:17" x14ac:dyDescent="0.2">
      <c r="A351" t="s">
        <v>628</v>
      </c>
      <c r="B351" t="s">
        <v>25</v>
      </c>
      <c r="C351" t="s">
        <v>10</v>
      </c>
      <c r="D351" s="6">
        <v>2</v>
      </c>
      <c r="E351" s="5">
        <v>15000</v>
      </c>
      <c r="F351" t="s">
        <v>226</v>
      </c>
      <c r="G351" s="7">
        <v>46118</v>
      </c>
      <c r="H351" s="5">
        <v>0</v>
      </c>
      <c r="I35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51" t="b">
        <f>((ISNUMBER(Table3[[#This Row],[Quantity]]) )* (Table3[[#This Row],[Quantity]]&gt;0))=1</f>
        <v>1</v>
      </c>
      <c r="K351" t="b">
        <f>((Table3[[#This Row],[Quantity]]&gt;=Table3[[#This Row],[Return Qty]])*(ISNUMBER(Table3[[#This Row],[Quantity]])))=1</f>
        <v>1</v>
      </c>
      <c r="L351" t="b">
        <f>ISNUMBER(Table3[[#This Row],[Unit Price]])</f>
        <v>1</v>
      </c>
      <c r="M351" t="b">
        <f>ISNUMBER(Table3[[#This Row],[Order Date]])</f>
        <v>1</v>
      </c>
      <c r="N351">
        <f>IFERROR(IF(Table3[[#This Row],[Quantity]]*Table3[[#This Row],[Unit Price]]&lt;0, "N/A", Table3[[#This Row],[Quantity]]*Table3[[#This Row],[Unit Price]]), "N/A")</f>
        <v>30000</v>
      </c>
      <c r="O351">
        <f>IFERROR(Table3[[#This Row],[Unit Price]]*Table3[[#This Row],[Return Qty]], "N/A")</f>
        <v>0</v>
      </c>
      <c r="P351">
        <f>IFERROR(IF((Table3[[#This Row],[Revenue before return]]-Table3[[#This Row],[Amount of order  returned]])&lt;0, "N/A", Table3[[#This Row],[Revenue before return]]-Table3[[#This Row],[Amount of order  returned]]), "N/A")</f>
        <v>30000</v>
      </c>
      <c r="Q35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52" spans="1:17" x14ac:dyDescent="0.2">
      <c r="A352" t="s">
        <v>629</v>
      </c>
      <c r="B352" t="s">
        <v>9</v>
      </c>
      <c r="C352" t="s">
        <v>32</v>
      </c>
      <c r="D352" s="6">
        <v>18</v>
      </c>
      <c r="E352" s="5">
        <v>8000</v>
      </c>
      <c r="F352" t="s">
        <v>630</v>
      </c>
      <c r="G352" s="18" t="s">
        <v>224</v>
      </c>
      <c r="H352" s="5">
        <v>0</v>
      </c>
      <c r="I35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52" t="b">
        <f>((ISNUMBER(Table3[[#This Row],[Quantity]]) )* (Table3[[#This Row],[Quantity]]&gt;0))=1</f>
        <v>1</v>
      </c>
      <c r="K352" t="b">
        <f>((Table3[[#This Row],[Quantity]]&gt;=Table3[[#This Row],[Return Qty]])*(ISNUMBER(Table3[[#This Row],[Quantity]])))=1</f>
        <v>1</v>
      </c>
      <c r="L352" t="b">
        <f>ISNUMBER(Table3[[#This Row],[Unit Price]])</f>
        <v>1</v>
      </c>
      <c r="M352" t="b">
        <f>ISNUMBER(Table3[[#This Row],[Order Date]])</f>
        <v>0</v>
      </c>
      <c r="N352">
        <f>IFERROR(IF(Table3[[#This Row],[Quantity]]*Table3[[#This Row],[Unit Price]]&lt;0, "N/A", Table3[[#This Row],[Quantity]]*Table3[[#This Row],[Unit Price]]), "N/A")</f>
        <v>144000</v>
      </c>
      <c r="O352">
        <f>IFERROR(Table3[[#This Row],[Unit Price]]*Table3[[#This Row],[Return Qty]], "N/A")</f>
        <v>0</v>
      </c>
      <c r="P352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35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353" spans="1:17" x14ac:dyDescent="0.2">
      <c r="A353" t="s">
        <v>631</v>
      </c>
      <c r="B353" t="s">
        <v>21</v>
      </c>
      <c r="C353" t="s">
        <v>26</v>
      </c>
      <c r="D353" s="6">
        <v>15</v>
      </c>
      <c r="E353" s="5">
        <v>20000</v>
      </c>
      <c r="F353" t="s">
        <v>82</v>
      </c>
      <c r="G353" s="7">
        <v>46094</v>
      </c>
      <c r="H353" s="5">
        <v>0</v>
      </c>
      <c r="I35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53" t="b">
        <f>((ISNUMBER(Table3[[#This Row],[Quantity]]) )* (Table3[[#This Row],[Quantity]]&gt;0))=1</f>
        <v>1</v>
      </c>
      <c r="K353" t="b">
        <f>((Table3[[#This Row],[Quantity]]&gt;=Table3[[#This Row],[Return Qty]])*(ISNUMBER(Table3[[#This Row],[Quantity]])))=1</f>
        <v>1</v>
      </c>
      <c r="L353" t="b">
        <f>ISNUMBER(Table3[[#This Row],[Unit Price]])</f>
        <v>1</v>
      </c>
      <c r="M353" t="b">
        <f>ISNUMBER(Table3[[#This Row],[Order Date]])</f>
        <v>1</v>
      </c>
      <c r="N353">
        <f>IFERROR(IF(Table3[[#This Row],[Quantity]]*Table3[[#This Row],[Unit Price]]&lt;0, "N/A", Table3[[#This Row],[Quantity]]*Table3[[#This Row],[Unit Price]]), "N/A")</f>
        <v>300000</v>
      </c>
      <c r="O353">
        <f>IFERROR(Table3[[#This Row],[Unit Price]]*Table3[[#This Row],[Return Qty]], "N/A")</f>
        <v>0</v>
      </c>
      <c r="P353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35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54" spans="1:17" x14ac:dyDescent="0.2">
      <c r="A354" t="s">
        <v>632</v>
      </c>
      <c r="B354" t="s">
        <v>25</v>
      </c>
      <c r="C354" t="s">
        <v>70</v>
      </c>
      <c r="D354" s="6">
        <v>22</v>
      </c>
      <c r="E354" s="5">
        <v>28000</v>
      </c>
      <c r="F354" t="s">
        <v>328</v>
      </c>
      <c r="G354" s="7">
        <v>46039</v>
      </c>
      <c r="H354" s="5">
        <v>0</v>
      </c>
      <c r="I35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54" t="b">
        <f>((ISNUMBER(Table3[[#This Row],[Quantity]]) )* (Table3[[#This Row],[Quantity]]&gt;0))=1</f>
        <v>1</v>
      </c>
      <c r="K354" t="b">
        <f>((Table3[[#This Row],[Quantity]]&gt;=Table3[[#This Row],[Return Qty]])*(ISNUMBER(Table3[[#This Row],[Quantity]])))=1</f>
        <v>1</v>
      </c>
      <c r="L354" t="b">
        <f>ISNUMBER(Table3[[#This Row],[Unit Price]])</f>
        <v>1</v>
      </c>
      <c r="M354" t="b">
        <f>ISNUMBER(Table3[[#This Row],[Order Date]])</f>
        <v>1</v>
      </c>
      <c r="N354">
        <f>IFERROR(IF(Table3[[#This Row],[Quantity]]*Table3[[#This Row],[Unit Price]]&lt;0, "N/A", Table3[[#This Row],[Quantity]]*Table3[[#This Row],[Unit Price]]), "N/A")</f>
        <v>616000</v>
      </c>
      <c r="O354">
        <f>IFERROR(Table3[[#This Row],[Unit Price]]*Table3[[#This Row],[Return Qty]], "N/A")</f>
        <v>0</v>
      </c>
      <c r="P354">
        <f>IFERROR(IF((Table3[[#This Row],[Revenue before return]]-Table3[[#This Row],[Amount of order  returned]])&lt;0, "N/A", Table3[[#This Row],[Revenue before return]]-Table3[[#This Row],[Amount of order  returned]]), "N/A")</f>
        <v>616000</v>
      </c>
      <c r="Q35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55" spans="1:17" x14ac:dyDescent="0.2">
      <c r="A355" t="s">
        <v>633</v>
      </c>
      <c r="B355" t="s">
        <v>14</v>
      </c>
      <c r="C355" t="s">
        <v>26</v>
      </c>
      <c r="D355" s="6">
        <v>7</v>
      </c>
      <c r="E355" s="5" t="s">
        <v>11</v>
      </c>
      <c r="F355" t="s">
        <v>328</v>
      </c>
      <c r="G355" s="7">
        <v>46123</v>
      </c>
      <c r="H355" s="5">
        <v>0</v>
      </c>
      <c r="I35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55" t="b">
        <f>((ISNUMBER(Table3[[#This Row],[Quantity]]) )* (Table3[[#This Row],[Quantity]]&gt;0))=1</f>
        <v>1</v>
      </c>
      <c r="K355" t="b">
        <f>((Table3[[#This Row],[Quantity]]&gt;=Table3[[#This Row],[Return Qty]])*(ISNUMBER(Table3[[#This Row],[Quantity]])))=1</f>
        <v>1</v>
      </c>
      <c r="L355" t="b">
        <f>ISNUMBER(Table3[[#This Row],[Unit Price]])</f>
        <v>0</v>
      </c>
      <c r="M355" t="b">
        <f>ISNUMBER(Table3[[#This Row],[Order Date]])</f>
        <v>1</v>
      </c>
      <c r="N355" t="str">
        <f>IFERROR(IF(Table3[[#This Row],[Quantity]]*Table3[[#This Row],[Unit Price]]&lt;0, "N/A", Table3[[#This Row],[Quantity]]*Table3[[#This Row],[Unit Price]]), "N/A")</f>
        <v>N/A</v>
      </c>
      <c r="O355" t="str">
        <f>IFERROR(Table3[[#This Row],[Unit Price]]*Table3[[#This Row],[Return Qty]], "N/A")</f>
        <v>N/A</v>
      </c>
      <c r="P355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35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356" spans="1:17" x14ac:dyDescent="0.2">
      <c r="A356" t="s">
        <v>634</v>
      </c>
      <c r="B356" t="s">
        <v>9</v>
      </c>
      <c r="C356" t="s">
        <v>32</v>
      </c>
      <c r="D356" s="6">
        <v>13</v>
      </c>
      <c r="E356" s="5">
        <v>8000</v>
      </c>
      <c r="F356" t="s">
        <v>216</v>
      </c>
      <c r="G356" s="7">
        <v>46069</v>
      </c>
      <c r="H356" s="5">
        <v>0</v>
      </c>
      <c r="I35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56" t="b">
        <f>((ISNUMBER(Table3[[#This Row],[Quantity]]) )* (Table3[[#This Row],[Quantity]]&gt;0))=1</f>
        <v>1</v>
      </c>
      <c r="K356" t="b">
        <f>((Table3[[#This Row],[Quantity]]&gt;=Table3[[#This Row],[Return Qty]])*(ISNUMBER(Table3[[#This Row],[Quantity]])))=1</f>
        <v>1</v>
      </c>
      <c r="L356" t="b">
        <f>ISNUMBER(Table3[[#This Row],[Unit Price]])</f>
        <v>1</v>
      </c>
      <c r="M356" t="b">
        <f>ISNUMBER(Table3[[#This Row],[Order Date]])</f>
        <v>1</v>
      </c>
      <c r="N356">
        <f>IFERROR(IF(Table3[[#This Row],[Quantity]]*Table3[[#This Row],[Unit Price]]&lt;0, "N/A", Table3[[#This Row],[Quantity]]*Table3[[#This Row],[Unit Price]]), "N/A")</f>
        <v>104000</v>
      </c>
      <c r="O356">
        <f>IFERROR(Table3[[#This Row],[Unit Price]]*Table3[[#This Row],[Return Qty]], "N/A")</f>
        <v>0</v>
      </c>
      <c r="P356">
        <f>IFERROR(IF((Table3[[#This Row],[Revenue before return]]-Table3[[#This Row],[Amount of order  returned]])&lt;0, "N/A", Table3[[#This Row],[Revenue before return]]-Table3[[#This Row],[Amount of order  returned]]), "N/A")</f>
        <v>104000</v>
      </c>
      <c r="Q35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57" spans="1:17" x14ac:dyDescent="0.2">
      <c r="A357" t="s">
        <v>636</v>
      </c>
      <c r="B357" t="s">
        <v>14</v>
      </c>
      <c r="C357" t="s">
        <v>18</v>
      </c>
      <c r="D357" s="6">
        <v>11</v>
      </c>
      <c r="E357" s="5">
        <v>50000</v>
      </c>
      <c r="F357" t="s">
        <v>368</v>
      </c>
      <c r="G357" s="7">
        <v>46076</v>
      </c>
      <c r="H357" s="5">
        <v>0</v>
      </c>
      <c r="I35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57" t="b">
        <f>((ISNUMBER(Table3[[#This Row],[Quantity]]) )* (Table3[[#This Row],[Quantity]]&gt;0))=1</f>
        <v>1</v>
      </c>
      <c r="K357" t="b">
        <f>((Table3[[#This Row],[Quantity]]&gt;=Table3[[#This Row],[Return Qty]])*(ISNUMBER(Table3[[#This Row],[Quantity]])))=1</f>
        <v>1</v>
      </c>
      <c r="L357" t="b">
        <f>ISNUMBER(Table3[[#This Row],[Unit Price]])</f>
        <v>1</v>
      </c>
      <c r="M357" t="b">
        <f>ISNUMBER(Table3[[#This Row],[Order Date]])</f>
        <v>1</v>
      </c>
      <c r="N357">
        <f>IFERROR(IF(Table3[[#This Row],[Quantity]]*Table3[[#This Row],[Unit Price]]&lt;0, "N/A", Table3[[#This Row],[Quantity]]*Table3[[#This Row],[Unit Price]]), "N/A")</f>
        <v>550000</v>
      </c>
      <c r="O357">
        <f>IFERROR(Table3[[#This Row],[Unit Price]]*Table3[[#This Row],[Return Qty]], "N/A")</f>
        <v>0</v>
      </c>
      <c r="P357">
        <f>IFERROR(IF((Table3[[#This Row],[Revenue before return]]-Table3[[#This Row],[Amount of order  returned]])&lt;0, "N/A", Table3[[#This Row],[Revenue before return]]-Table3[[#This Row],[Amount of order  returned]]), "N/A")</f>
        <v>550000</v>
      </c>
      <c r="Q35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58" spans="1:17" x14ac:dyDescent="0.2">
      <c r="A358" t="s">
        <v>637</v>
      </c>
      <c r="B358" t="s">
        <v>21</v>
      </c>
      <c r="C358" t="s">
        <v>32</v>
      </c>
      <c r="D358" s="6">
        <v>1</v>
      </c>
      <c r="E358" s="5">
        <v>8000</v>
      </c>
      <c r="F358" t="s">
        <v>73</v>
      </c>
      <c r="G358" s="7">
        <v>46141</v>
      </c>
      <c r="H358" s="5">
        <v>0</v>
      </c>
      <c r="I35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58" t="b">
        <f>((ISNUMBER(Table3[[#This Row],[Quantity]]) )* (Table3[[#This Row],[Quantity]]&gt;0))=1</f>
        <v>1</v>
      </c>
      <c r="K358" t="b">
        <f>((Table3[[#This Row],[Quantity]]&gt;=Table3[[#This Row],[Return Qty]])*(ISNUMBER(Table3[[#This Row],[Quantity]])))=1</f>
        <v>1</v>
      </c>
      <c r="L358" t="b">
        <f>ISNUMBER(Table3[[#This Row],[Unit Price]])</f>
        <v>1</v>
      </c>
      <c r="M358" t="b">
        <f>ISNUMBER(Table3[[#This Row],[Order Date]])</f>
        <v>1</v>
      </c>
      <c r="N358">
        <f>IFERROR(IF(Table3[[#This Row],[Quantity]]*Table3[[#This Row],[Unit Price]]&lt;0, "N/A", Table3[[#This Row],[Quantity]]*Table3[[#This Row],[Unit Price]]), "N/A")</f>
        <v>8000</v>
      </c>
      <c r="O358">
        <f>IFERROR(Table3[[#This Row],[Unit Price]]*Table3[[#This Row],[Return Qty]], "N/A")</f>
        <v>0</v>
      </c>
      <c r="P358">
        <f>IFERROR(IF((Table3[[#This Row],[Revenue before return]]-Table3[[#This Row],[Amount of order  returned]])&lt;0, "N/A", Table3[[#This Row],[Revenue before return]]-Table3[[#This Row],[Amount of order  returned]]), "N/A")</f>
        <v>8000</v>
      </c>
      <c r="Q35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59" spans="1:17" x14ac:dyDescent="0.2">
      <c r="A359" t="s">
        <v>638</v>
      </c>
      <c r="B359" t="s">
        <v>25</v>
      </c>
      <c r="C359" t="s">
        <v>26</v>
      </c>
      <c r="D359" s="6">
        <v>20</v>
      </c>
      <c r="E359" s="5">
        <v>20000</v>
      </c>
      <c r="F359" t="s">
        <v>331</v>
      </c>
      <c r="G359" s="7">
        <v>46161</v>
      </c>
      <c r="H359" s="5">
        <v>0</v>
      </c>
      <c r="I35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59" t="b">
        <f>((ISNUMBER(Table3[[#This Row],[Quantity]]) )* (Table3[[#This Row],[Quantity]]&gt;0))=1</f>
        <v>1</v>
      </c>
      <c r="K359" t="b">
        <f>((Table3[[#This Row],[Quantity]]&gt;=Table3[[#This Row],[Return Qty]])*(ISNUMBER(Table3[[#This Row],[Quantity]])))=1</f>
        <v>1</v>
      </c>
      <c r="L359" t="b">
        <f>ISNUMBER(Table3[[#This Row],[Unit Price]])</f>
        <v>1</v>
      </c>
      <c r="M359" t="b">
        <f>ISNUMBER(Table3[[#This Row],[Order Date]])</f>
        <v>1</v>
      </c>
      <c r="N359">
        <f>IFERROR(IF(Table3[[#This Row],[Quantity]]*Table3[[#This Row],[Unit Price]]&lt;0, "N/A", Table3[[#This Row],[Quantity]]*Table3[[#This Row],[Unit Price]]), "N/A")</f>
        <v>400000</v>
      </c>
      <c r="O359">
        <f>IFERROR(Table3[[#This Row],[Unit Price]]*Table3[[#This Row],[Return Qty]], "N/A")</f>
        <v>0</v>
      </c>
      <c r="P359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35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60" spans="1:17" x14ac:dyDescent="0.2">
      <c r="A360" t="s">
        <v>639</v>
      </c>
      <c r="B360" t="s">
        <v>21</v>
      </c>
      <c r="C360" t="s">
        <v>32</v>
      </c>
      <c r="D360" s="6">
        <v>16</v>
      </c>
      <c r="E360" s="5">
        <v>8000</v>
      </c>
      <c r="F360" t="s">
        <v>640</v>
      </c>
      <c r="G360" s="7">
        <v>46027</v>
      </c>
      <c r="H360" s="5">
        <v>0</v>
      </c>
      <c r="I36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60" t="b">
        <f>((ISNUMBER(Table3[[#This Row],[Quantity]]) )* (Table3[[#This Row],[Quantity]]&gt;0))=1</f>
        <v>1</v>
      </c>
      <c r="K360" t="b">
        <f>((Table3[[#This Row],[Quantity]]&gt;=Table3[[#This Row],[Return Qty]])*(ISNUMBER(Table3[[#This Row],[Quantity]])))=1</f>
        <v>1</v>
      </c>
      <c r="L360" t="b">
        <f>ISNUMBER(Table3[[#This Row],[Unit Price]])</f>
        <v>1</v>
      </c>
      <c r="M360" t="b">
        <f>ISNUMBER(Table3[[#This Row],[Order Date]])</f>
        <v>1</v>
      </c>
      <c r="N360">
        <f>IFERROR(IF(Table3[[#This Row],[Quantity]]*Table3[[#This Row],[Unit Price]]&lt;0, "N/A", Table3[[#This Row],[Quantity]]*Table3[[#This Row],[Unit Price]]), "N/A")</f>
        <v>128000</v>
      </c>
      <c r="O360">
        <f>IFERROR(Table3[[#This Row],[Unit Price]]*Table3[[#This Row],[Return Qty]], "N/A")</f>
        <v>0</v>
      </c>
      <c r="P360">
        <f>IFERROR(IF((Table3[[#This Row],[Revenue before return]]-Table3[[#This Row],[Amount of order  returned]])&lt;0, "N/A", Table3[[#This Row],[Revenue before return]]-Table3[[#This Row],[Amount of order  returned]]), "N/A")</f>
        <v>128000</v>
      </c>
      <c r="Q36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61" spans="1:17" x14ac:dyDescent="0.2">
      <c r="A361" t="s">
        <v>641</v>
      </c>
      <c r="B361" t="s">
        <v>9</v>
      </c>
      <c r="C361" t="s">
        <v>10</v>
      </c>
      <c r="D361" s="6">
        <v>16</v>
      </c>
      <c r="E361" s="5">
        <v>15000</v>
      </c>
      <c r="F361" t="s">
        <v>642</v>
      </c>
      <c r="G361" s="7">
        <v>46200</v>
      </c>
      <c r="H361" s="5">
        <v>0</v>
      </c>
      <c r="I36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61" t="b">
        <f>((ISNUMBER(Table3[[#This Row],[Quantity]]) )* (Table3[[#This Row],[Quantity]]&gt;0))=1</f>
        <v>1</v>
      </c>
      <c r="K361" t="b">
        <f>((Table3[[#This Row],[Quantity]]&gt;=Table3[[#This Row],[Return Qty]])*(ISNUMBER(Table3[[#This Row],[Quantity]])))=1</f>
        <v>1</v>
      </c>
      <c r="L361" t="b">
        <f>ISNUMBER(Table3[[#This Row],[Unit Price]])</f>
        <v>1</v>
      </c>
      <c r="M361" t="b">
        <f>ISNUMBER(Table3[[#This Row],[Order Date]])</f>
        <v>1</v>
      </c>
      <c r="N361">
        <f>IFERROR(IF(Table3[[#This Row],[Quantity]]*Table3[[#This Row],[Unit Price]]&lt;0, "N/A", Table3[[#This Row],[Quantity]]*Table3[[#This Row],[Unit Price]]), "N/A")</f>
        <v>240000</v>
      </c>
      <c r="O361">
        <f>IFERROR(Table3[[#This Row],[Unit Price]]*Table3[[#This Row],[Return Qty]], "N/A")</f>
        <v>0</v>
      </c>
      <c r="P361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36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62" spans="1:17" x14ac:dyDescent="0.2">
      <c r="A362" t="s">
        <v>643</v>
      </c>
      <c r="B362" t="s">
        <v>21</v>
      </c>
      <c r="C362" t="s">
        <v>22</v>
      </c>
      <c r="D362" s="6">
        <v>7</v>
      </c>
      <c r="E362" s="5">
        <v>35000</v>
      </c>
      <c r="F362" t="s">
        <v>121</v>
      </c>
      <c r="G362" s="7">
        <v>46152</v>
      </c>
      <c r="H362" s="5">
        <v>0</v>
      </c>
      <c r="I36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62" t="b">
        <f>((ISNUMBER(Table3[[#This Row],[Quantity]]) )* (Table3[[#This Row],[Quantity]]&gt;0))=1</f>
        <v>1</v>
      </c>
      <c r="K362" t="b">
        <f>((Table3[[#This Row],[Quantity]]&gt;=Table3[[#This Row],[Return Qty]])*(ISNUMBER(Table3[[#This Row],[Quantity]])))=1</f>
        <v>1</v>
      </c>
      <c r="L362" t="b">
        <f>ISNUMBER(Table3[[#This Row],[Unit Price]])</f>
        <v>1</v>
      </c>
      <c r="M362" t="b">
        <f>ISNUMBER(Table3[[#This Row],[Order Date]])</f>
        <v>1</v>
      </c>
      <c r="N362">
        <f>IFERROR(IF(Table3[[#This Row],[Quantity]]*Table3[[#This Row],[Unit Price]]&lt;0, "N/A", Table3[[#This Row],[Quantity]]*Table3[[#This Row],[Unit Price]]), "N/A")</f>
        <v>245000</v>
      </c>
      <c r="O362">
        <f>IFERROR(Table3[[#This Row],[Unit Price]]*Table3[[#This Row],[Return Qty]], "N/A")</f>
        <v>0</v>
      </c>
      <c r="P362">
        <f>IFERROR(IF((Table3[[#This Row],[Revenue before return]]-Table3[[#This Row],[Amount of order  returned]])&lt;0, "N/A", Table3[[#This Row],[Revenue before return]]-Table3[[#This Row],[Amount of order  returned]]), "N/A")</f>
        <v>245000</v>
      </c>
      <c r="Q36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63" spans="1:17" x14ac:dyDescent="0.2">
      <c r="A363" t="s">
        <v>644</v>
      </c>
      <c r="B363" t="s">
        <v>9</v>
      </c>
      <c r="C363" t="s">
        <v>10</v>
      </c>
      <c r="D363" s="6">
        <v>10</v>
      </c>
      <c r="E363" s="5">
        <v>15000</v>
      </c>
      <c r="F363" t="s">
        <v>183</v>
      </c>
      <c r="G363" s="7">
        <v>46090</v>
      </c>
      <c r="H363" s="5">
        <v>0</v>
      </c>
      <c r="I36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63" t="b">
        <f>((ISNUMBER(Table3[[#This Row],[Quantity]]) )* (Table3[[#This Row],[Quantity]]&gt;0))=1</f>
        <v>1</v>
      </c>
      <c r="K363" t="b">
        <f>((Table3[[#This Row],[Quantity]]&gt;=Table3[[#This Row],[Return Qty]])*(ISNUMBER(Table3[[#This Row],[Quantity]])))=1</f>
        <v>1</v>
      </c>
      <c r="L363" t="b">
        <f>ISNUMBER(Table3[[#This Row],[Unit Price]])</f>
        <v>1</v>
      </c>
      <c r="M363" t="b">
        <f>ISNUMBER(Table3[[#This Row],[Order Date]])</f>
        <v>1</v>
      </c>
      <c r="N363">
        <f>IFERROR(IF(Table3[[#This Row],[Quantity]]*Table3[[#This Row],[Unit Price]]&lt;0, "N/A", Table3[[#This Row],[Quantity]]*Table3[[#This Row],[Unit Price]]), "N/A")</f>
        <v>150000</v>
      </c>
      <c r="O363">
        <f>IFERROR(Table3[[#This Row],[Unit Price]]*Table3[[#This Row],[Return Qty]], "N/A")</f>
        <v>0</v>
      </c>
      <c r="P363">
        <f>IFERROR(IF((Table3[[#This Row],[Revenue before return]]-Table3[[#This Row],[Amount of order  returned]])&lt;0, "N/A", Table3[[#This Row],[Revenue before return]]-Table3[[#This Row],[Amount of order  returned]]), "N/A")</f>
        <v>150000</v>
      </c>
      <c r="Q36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64" spans="1:17" x14ac:dyDescent="0.2">
      <c r="A364" t="s">
        <v>645</v>
      </c>
      <c r="B364" t="s">
        <v>25</v>
      </c>
      <c r="C364" t="s">
        <v>32</v>
      </c>
      <c r="D364" s="6">
        <v>24</v>
      </c>
      <c r="E364" s="5">
        <v>8000</v>
      </c>
      <c r="F364" t="s">
        <v>646</v>
      </c>
      <c r="G364" s="7">
        <v>46188</v>
      </c>
      <c r="H364" s="5">
        <v>4</v>
      </c>
      <c r="I36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64" t="b">
        <f>((ISNUMBER(Table3[[#This Row],[Quantity]]) )* (Table3[[#This Row],[Quantity]]&gt;0))=1</f>
        <v>1</v>
      </c>
      <c r="K364" t="b">
        <f>((Table3[[#This Row],[Quantity]]&gt;=Table3[[#This Row],[Return Qty]])*(ISNUMBER(Table3[[#This Row],[Quantity]])))=1</f>
        <v>1</v>
      </c>
      <c r="L364" t="b">
        <f>ISNUMBER(Table3[[#This Row],[Unit Price]])</f>
        <v>1</v>
      </c>
      <c r="M364" t="b">
        <f>ISNUMBER(Table3[[#This Row],[Order Date]])</f>
        <v>1</v>
      </c>
      <c r="N364">
        <f>IFERROR(IF(Table3[[#This Row],[Quantity]]*Table3[[#This Row],[Unit Price]]&lt;0, "N/A", Table3[[#This Row],[Quantity]]*Table3[[#This Row],[Unit Price]]), "N/A")</f>
        <v>192000</v>
      </c>
      <c r="O364">
        <f>IFERROR(Table3[[#This Row],[Unit Price]]*Table3[[#This Row],[Return Qty]], "N/A")</f>
        <v>32000</v>
      </c>
      <c r="P364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36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65" spans="1:17" x14ac:dyDescent="0.2">
      <c r="A365" t="s">
        <v>647</v>
      </c>
      <c r="B365" t="s">
        <v>21</v>
      </c>
      <c r="C365" t="s">
        <v>70</v>
      </c>
      <c r="D365" s="6">
        <v>4</v>
      </c>
      <c r="E365" s="5">
        <v>28000</v>
      </c>
      <c r="F365" t="s">
        <v>482</v>
      </c>
      <c r="G365" s="7">
        <v>46047</v>
      </c>
      <c r="H365" s="5">
        <v>1</v>
      </c>
      <c r="I36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65" t="b">
        <f>((ISNUMBER(Table3[[#This Row],[Quantity]]) )* (Table3[[#This Row],[Quantity]]&gt;0))=1</f>
        <v>1</v>
      </c>
      <c r="K365" t="b">
        <f>((Table3[[#This Row],[Quantity]]&gt;=Table3[[#This Row],[Return Qty]])*(ISNUMBER(Table3[[#This Row],[Quantity]])))=1</f>
        <v>1</v>
      </c>
      <c r="L365" t="b">
        <f>ISNUMBER(Table3[[#This Row],[Unit Price]])</f>
        <v>1</v>
      </c>
      <c r="M365" t="b">
        <f>ISNUMBER(Table3[[#This Row],[Order Date]])</f>
        <v>1</v>
      </c>
      <c r="N365">
        <f>IFERROR(IF(Table3[[#This Row],[Quantity]]*Table3[[#This Row],[Unit Price]]&lt;0, "N/A", Table3[[#This Row],[Quantity]]*Table3[[#This Row],[Unit Price]]), "N/A")</f>
        <v>112000</v>
      </c>
      <c r="O365">
        <f>IFERROR(Table3[[#This Row],[Unit Price]]*Table3[[#This Row],[Return Qty]], "N/A")</f>
        <v>28000</v>
      </c>
      <c r="P365">
        <f>IFERROR(IF((Table3[[#This Row],[Revenue before return]]-Table3[[#This Row],[Amount of order  returned]])&lt;0, "N/A", Table3[[#This Row],[Revenue before return]]-Table3[[#This Row],[Amount of order  returned]]), "N/A")</f>
        <v>84000</v>
      </c>
      <c r="Q36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66" spans="1:17" x14ac:dyDescent="0.2">
      <c r="A366" t="s">
        <v>648</v>
      </c>
      <c r="B366" t="s">
        <v>25</v>
      </c>
      <c r="C366" t="s">
        <v>10</v>
      </c>
      <c r="D366" s="6">
        <v>19</v>
      </c>
      <c r="E366" s="5">
        <v>15000</v>
      </c>
      <c r="F366" t="s">
        <v>649</v>
      </c>
      <c r="G366" s="7">
        <v>46174</v>
      </c>
      <c r="H366" s="5">
        <v>0</v>
      </c>
      <c r="I36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66" t="b">
        <f>((ISNUMBER(Table3[[#This Row],[Quantity]]) )* (Table3[[#This Row],[Quantity]]&gt;0))=1</f>
        <v>1</v>
      </c>
      <c r="K366" t="b">
        <f>((Table3[[#This Row],[Quantity]]&gt;=Table3[[#This Row],[Return Qty]])*(ISNUMBER(Table3[[#This Row],[Quantity]])))=1</f>
        <v>1</v>
      </c>
      <c r="L366" t="b">
        <f>ISNUMBER(Table3[[#This Row],[Unit Price]])</f>
        <v>1</v>
      </c>
      <c r="M366" t="b">
        <f>ISNUMBER(Table3[[#This Row],[Order Date]])</f>
        <v>1</v>
      </c>
      <c r="N366">
        <f>IFERROR(IF(Table3[[#This Row],[Quantity]]*Table3[[#This Row],[Unit Price]]&lt;0, "N/A", Table3[[#This Row],[Quantity]]*Table3[[#This Row],[Unit Price]]), "N/A")</f>
        <v>285000</v>
      </c>
      <c r="O366">
        <f>IFERROR(Table3[[#This Row],[Unit Price]]*Table3[[#This Row],[Return Qty]], "N/A")</f>
        <v>0</v>
      </c>
      <c r="P366">
        <f>IFERROR(IF((Table3[[#This Row],[Revenue before return]]-Table3[[#This Row],[Amount of order  returned]])&lt;0, "N/A", Table3[[#This Row],[Revenue before return]]-Table3[[#This Row],[Amount of order  returned]]), "N/A")</f>
        <v>285000</v>
      </c>
      <c r="Q36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67" spans="1:17" x14ac:dyDescent="0.2">
      <c r="A367" t="s">
        <v>650</v>
      </c>
      <c r="B367" t="s">
        <v>21</v>
      </c>
      <c r="C367" t="s">
        <v>45</v>
      </c>
      <c r="D367" s="6">
        <v>21</v>
      </c>
      <c r="E367" s="5">
        <v>20000</v>
      </c>
      <c r="F367" t="s">
        <v>651</v>
      </c>
      <c r="G367" s="7">
        <v>46098</v>
      </c>
      <c r="H367" s="5">
        <v>0</v>
      </c>
      <c r="I36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67" t="b">
        <f>((ISNUMBER(Table3[[#This Row],[Quantity]]) )* (Table3[[#This Row],[Quantity]]&gt;0))=1</f>
        <v>1</v>
      </c>
      <c r="K367" t="b">
        <f>((Table3[[#This Row],[Quantity]]&gt;=Table3[[#This Row],[Return Qty]])*(ISNUMBER(Table3[[#This Row],[Quantity]])))=1</f>
        <v>1</v>
      </c>
      <c r="L367" t="b">
        <f>ISNUMBER(Table3[[#This Row],[Unit Price]])</f>
        <v>1</v>
      </c>
      <c r="M367" t="b">
        <f>ISNUMBER(Table3[[#This Row],[Order Date]])</f>
        <v>1</v>
      </c>
      <c r="N367">
        <f>IFERROR(IF(Table3[[#This Row],[Quantity]]*Table3[[#This Row],[Unit Price]]&lt;0, "N/A", Table3[[#This Row],[Quantity]]*Table3[[#This Row],[Unit Price]]), "N/A")</f>
        <v>420000</v>
      </c>
      <c r="O367">
        <f>IFERROR(Table3[[#This Row],[Unit Price]]*Table3[[#This Row],[Return Qty]], "N/A")</f>
        <v>0</v>
      </c>
      <c r="P367">
        <f>IFERROR(IF((Table3[[#This Row],[Revenue before return]]-Table3[[#This Row],[Amount of order  returned]])&lt;0, "N/A", Table3[[#This Row],[Revenue before return]]-Table3[[#This Row],[Amount of order  returned]]), "N/A")</f>
        <v>420000</v>
      </c>
      <c r="Q36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68" spans="1:17" x14ac:dyDescent="0.2">
      <c r="A368" t="s">
        <v>653</v>
      </c>
      <c r="B368" t="s">
        <v>14</v>
      </c>
      <c r="C368" t="s">
        <v>26</v>
      </c>
      <c r="D368" s="6">
        <v>1</v>
      </c>
      <c r="E368" s="5">
        <v>20000</v>
      </c>
      <c r="F368" t="s">
        <v>654</v>
      </c>
      <c r="G368" s="7">
        <v>46048</v>
      </c>
      <c r="H368" s="5">
        <v>0</v>
      </c>
      <c r="I36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68" t="b">
        <f>((ISNUMBER(Table3[[#This Row],[Quantity]]) )* (Table3[[#This Row],[Quantity]]&gt;0))=1</f>
        <v>1</v>
      </c>
      <c r="K368" t="b">
        <f>((Table3[[#This Row],[Quantity]]&gt;=Table3[[#This Row],[Return Qty]])*(ISNUMBER(Table3[[#This Row],[Quantity]])))=1</f>
        <v>1</v>
      </c>
      <c r="L368" t="b">
        <f>ISNUMBER(Table3[[#This Row],[Unit Price]])</f>
        <v>1</v>
      </c>
      <c r="M368" t="b">
        <f>ISNUMBER(Table3[[#This Row],[Order Date]])</f>
        <v>1</v>
      </c>
      <c r="N368">
        <f>IFERROR(IF(Table3[[#This Row],[Quantity]]*Table3[[#This Row],[Unit Price]]&lt;0, "N/A", Table3[[#This Row],[Quantity]]*Table3[[#This Row],[Unit Price]]), "N/A")</f>
        <v>20000</v>
      </c>
      <c r="O368">
        <f>IFERROR(Table3[[#This Row],[Unit Price]]*Table3[[#This Row],[Return Qty]], "N/A")</f>
        <v>0</v>
      </c>
      <c r="P368">
        <f>IFERROR(IF((Table3[[#This Row],[Revenue before return]]-Table3[[#This Row],[Amount of order  returned]])&lt;0, "N/A", Table3[[#This Row],[Revenue before return]]-Table3[[#This Row],[Amount of order  returned]]), "N/A")</f>
        <v>20000</v>
      </c>
      <c r="Q36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69" spans="1:17" x14ac:dyDescent="0.2">
      <c r="A369" t="s">
        <v>655</v>
      </c>
      <c r="B369" t="s">
        <v>9</v>
      </c>
      <c r="C369" t="s">
        <v>10</v>
      </c>
      <c r="D369" s="6">
        <v>22</v>
      </c>
      <c r="E369" s="5">
        <v>15000</v>
      </c>
      <c r="F369" t="s">
        <v>656</v>
      </c>
      <c r="G369" s="7">
        <v>46032</v>
      </c>
      <c r="H369" s="5">
        <v>0</v>
      </c>
      <c r="I36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69" t="b">
        <f>((ISNUMBER(Table3[[#This Row],[Quantity]]) )* (Table3[[#This Row],[Quantity]]&gt;0))=1</f>
        <v>1</v>
      </c>
      <c r="K369" t="b">
        <f>((Table3[[#This Row],[Quantity]]&gt;=Table3[[#This Row],[Return Qty]])*(ISNUMBER(Table3[[#This Row],[Quantity]])))=1</f>
        <v>1</v>
      </c>
      <c r="L369" t="b">
        <f>ISNUMBER(Table3[[#This Row],[Unit Price]])</f>
        <v>1</v>
      </c>
      <c r="M369" t="b">
        <f>ISNUMBER(Table3[[#This Row],[Order Date]])</f>
        <v>1</v>
      </c>
      <c r="N369">
        <f>IFERROR(IF(Table3[[#This Row],[Quantity]]*Table3[[#This Row],[Unit Price]]&lt;0, "N/A", Table3[[#This Row],[Quantity]]*Table3[[#This Row],[Unit Price]]), "N/A")</f>
        <v>330000</v>
      </c>
      <c r="O369">
        <f>IFERROR(Table3[[#This Row],[Unit Price]]*Table3[[#This Row],[Return Qty]], "N/A")</f>
        <v>0</v>
      </c>
      <c r="P369">
        <f>IFERROR(IF((Table3[[#This Row],[Revenue before return]]-Table3[[#This Row],[Amount of order  returned]])&lt;0, "N/A", Table3[[#This Row],[Revenue before return]]-Table3[[#This Row],[Amount of order  returned]]), "N/A")</f>
        <v>330000</v>
      </c>
      <c r="Q36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70" spans="1:17" x14ac:dyDescent="0.2">
      <c r="A370" t="s">
        <v>657</v>
      </c>
      <c r="B370" t="s">
        <v>14</v>
      </c>
      <c r="C370" t="s">
        <v>10</v>
      </c>
      <c r="D370" s="6">
        <v>1</v>
      </c>
      <c r="E370" s="5">
        <v>15000</v>
      </c>
      <c r="F370" t="s">
        <v>123</v>
      </c>
      <c r="G370" s="7">
        <v>46113</v>
      </c>
      <c r="H370" s="5">
        <v>0</v>
      </c>
      <c r="I37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70" t="b">
        <f>((ISNUMBER(Table3[[#This Row],[Quantity]]) )* (Table3[[#This Row],[Quantity]]&gt;0))=1</f>
        <v>1</v>
      </c>
      <c r="K370" t="b">
        <f>((Table3[[#This Row],[Quantity]]&gt;=Table3[[#This Row],[Return Qty]])*(ISNUMBER(Table3[[#This Row],[Quantity]])))=1</f>
        <v>1</v>
      </c>
      <c r="L370" t="b">
        <f>ISNUMBER(Table3[[#This Row],[Unit Price]])</f>
        <v>1</v>
      </c>
      <c r="M370" t="b">
        <f>ISNUMBER(Table3[[#This Row],[Order Date]])</f>
        <v>1</v>
      </c>
      <c r="N370">
        <f>IFERROR(IF(Table3[[#This Row],[Quantity]]*Table3[[#This Row],[Unit Price]]&lt;0, "N/A", Table3[[#This Row],[Quantity]]*Table3[[#This Row],[Unit Price]]), "N/A")</f>
        <v>15000</v>
      </c>
      <c r="O370">
        <f>IFERROR(Table3[[#This Row],[Unit Price]]*Table3[[#This Row],[Return Qty]], "N/A")</f>
        <v>0</v>
      </c>
      <c r="P370">
        <f>IFERROR(IF((Table3[[#This Row],[Revenue before return]]-Table3[[#This Row],[Amount of order  returned]])&lt;0, "N/A", Table3[[#This Row],[Revenue before return]]-Table3[[#This Row],[Amount of order  returned]]), "N/A")</f>
        <v>15000</v>
      </c>
      <c r="Q37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71" spans="1:17" x14ac:dyDescent="0.2">
      <c r="A371" t="s">
        <v>658</v>
      </c>
      <c r="B371" t="s">
        <v>581</v>
      </c>
      <c r="C371" t="s">
        <v>70</v>
      </c>
      <c r="D371" s="6">
        <v>11</v>
      </c>
      <c r="E371" s="5">
        <v>28000</v>
      </c>
      <c r="F371" t="s">
        <v>30</v>
      </c>
      <c r="G371" s="7">
        <v>46172</v>
      </c>
      <c r="H371" s="5">
        <v>0</v>
      </c>
      <c r="I37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0</v>
      </c>
      <c r="J371" t="b">
        <f>((ISNUMBER(Table3[[#This Row],[Quantity]]) )* (Table3[[#This Row],[Quantity]]&gt;0))=1</f>
        <v>1</v>
      </c>
      <c r="K371" t="b">
        <f>((Table3[[#This Row],[Quantity]]&gt;=Table3[[#This Row],[Return Qty]])*(ISNUMBER(Table3[[#This Row],[Quantity]])))=1</f>
        <v>1</v>
      </c>
      <c r="L371" t="b">
        <f>ISNUMBER(Table3[[#This Row],[Unit Price]])</f>
        <v>1</v>
      </c>
      <c r="M371" t="b">
        <f>ISNUMBER(Table3[[#This Row],[Order Date]])</f>
        <v>1</v>
      </c>
      <c r="N371">
        <f>IFERROR(IF(Table3[[#This Row],[Quantity]]*Table3[[#This Row],[Unit Price]]&lt;0, "N/A", Table3[[#This Row],[Quantity]]*Table3[[#This Row],[Unit Price]]), "N/A")</f>
        <v>308000</v>
      </c>
      <c r="O371">
        <f>IFERROR(Table3[[#This Row],[Unit Price]]*Table3[[#This Row],[Return Qty]], "N/A")</f>
        <v>0</v>
      </c>
      <c r="P371">
        <f>IFERROR(IF((Table3[[#This Row],[Revenue before return]]-Table3[[#This Row],[Amount of order  returned]])&lt;0, "N/A", Table3[[#This Row],[Revenue before return]]-Table3[[#This Row],[Amount of order  returned]]), "N/A")</f>
        <v>308000</v>
      </c>
      <c r="Q37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372" spans="1:17" x14ac:dyDescent="0.2">
      <c r="A372" t="s">
        <v>660</v>
      </c>
      <c r="B372" t="s">
        <v>14</v>
      </c>
      <c r="C372" t="s">
        <v>32</v>
      </c>
      <c r="D372" s="6">
        <v>14</v>
      </c>
      <c r="E372" s="5">
        <v>8000</v>
      </c>
      <c r="F372" t="s">
        <v>588</v>
      </c>
      <c r="G372" s="7">
        <v>46099</v>
      </c>
      <c r="H372" s="5">
        <v>0</v>
      </c>
      <c r="I37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72" t="b">
        <f>((ISNUMBER(Table3[[#This Row],[Quantity]]) )* (Table3[[#This Row],[Quantity]]&gt;0))=1</f>
        <v>1</v>
      </c>
      <c r="K372" t="b">
        <f>((Table3[[#This Row],[Quantity]]&gt;=Table3[[#This Row],[Return Qty]])*(ISNUMBER(Table3[[#This Row],[Quantity]])))=1</f>
        <v>1</v>
      </c>
      <c r="L372" t="b">
        <f>ISNUMBER(Table3[[#This Row],[Unit Price]])</f>
        <v>1</v>
      </c>
      <c r="M372" t="b">
        <f>ISNUMBER(Table3[[#This Row],[Order Date]])</f>
        <v>1</v>
      </c>
      <c r="N372">
        <f>IFERROR(IF(Table3[[#This Row],[Quantity]]*Table3[[#This Row],[Unit Price]]&lt;0, "N/A", Table3[[#This Row],[Quantity]]*Table3[[#This Row],[Unit Price]]), "N/A")</f>
        <v>112000</v>
      </c>
      <c r="O372">
        <f>IFERROR(Table3[[#This Row],[Unit Price]]*Table3[[#This Row],[Return Qty]], "N/A")</f>
        <v>0</v>
      </c>
      <c r="P372">
        <f>IFERROR(IF((Table3[[#This Row],[Revenue before return]]-Table3[[#This Row],[Amount of order  returned]])&lt;0, "N/A", Table3[[#This Row],[Revenue before return]]-Table3[[#This Row],[Amount of order  returned]]), "N/A")</f>
        <v>112000</v>
      </c>
      <c r="Q37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73" spans="1:17" x14ac:dyDescent="0.2">
      <c r="A373" t="s">
        <v>661</v>
      </c>
      <c r="B373" t="s">
        <v>14</v>
      </c>
      <c r="C373" t="s">
        <v>10</v>
      </c>
      <c r="D373" s="6">
        <v>5</v>
      </c>
      <c r="E373" s="5">
        <v>15000</v>
      </c>
      <c r="F373" t="s">
        <v>11</v>
      </c>
      <c r="G373" s="7">
        <v>46062</v>
      </c>
      <c r="H373" s="5">
        <v>0</v>
      </c>
      <c r="I37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73" t="b">
        <f>((ISNUMBER(Table3[[#This Row],[Quantity]]) )* (Table3[[#This Row],[Quantity]]&gt;0))=1</f>
        <v>1</v>
      </c>
      <c r="K373" t="b">
        <f>((Table3[[#This Row],[Quantity]]&gt;=Table3[[#This Row],[Return Qty]])*(ISNUMBER(Table3[[#This Row],[Quantity]])))=1</f>
        <v>1</v>
      </c>
      <c r="L373" t="b">
        <f>ISNUMBER(Table3[[#This Row],[Unit Price]])</f>
        <v>1</v>
      </c>
      <c r="M373" t="b">
        <f>ISNUMBER(Table3[[#This Row],[Order Date]])</f>
        <v>1</v>
      </c>
      <c r="N373">
        <f>IFERROR(IF(Table3[[#This Row],[Quantity]]*Table3[[#This Row],[Unit Price]]&lt;0, "N/A", Table3[[#This Row],[Quantity]]*Table3[[#This Row],[Unit Price]]), "N/A")</f>
        <v>75000</v>
      </c>
      <c r="O373">
        <f>IFERROR(Table3[[#This Row],[Unit Price]]*Table3[[#This Row],[Return Qty]], "N/A")</f>
        <v>0</v>
      </c>
      <c r="P373">
        <f>IFERROR(IF((Table3[[#This Row],[Revenue before return]]-Table3[[#This Row],[Amount of order  returned]])&lt;0, "N/A", Table3[[#This Row],[Revenue before return]]-Table3[[#This Row],[Amount of order  returned]]), "N/A")</f>
        <v>75000</v>
      </c>
      <c r="Q37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74" spans="1:17" x14ac:dyDescent="0.2">
      <c r="A374" t="s">
        <v>662</v>
      </c>
      <c r="B374" t="s">
        <v>25</v>
      </c>
      <c r="C374" t="s">
        <v>10</v>
      </c>
      <c r="D374" s="6">
        <v>1</v>
      </c>
      <c r="E374" s="5">
        <v>15000</v>
      </c>
      <c r="F374" t="s">
        <v>300</v>
      </c>
      <c r="G374" s="7">
        <v>46042</v>
      </c>
      <c r="H374" s="5">
        <v>1</v>
      </c>
      <c r="I37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74" t="b">
        <f>((ISNUMBER(Table3[[#This Row],[Quantity]]) )* (Table3[[#This Row],[Quantity]]&gt;0))=1</f>
        <v>1</v>
      </c>
      <c r="K374" t="b">
        <f>((Table3[[#This Row],[Quantity]]&gt;=Table3[[#This Row],[Return Qty]])*(ISNUMBER(Table3[[#This Row],[Quantity]])))=1</f>
        <v>1</v>
      </c>
      <c r="L374" t="b">
        <f>ISNUMBER(Table3[[#This Row],[Unit Price]])</f>
        <v>1</v>
      </c>
      <c r="M374" t="b">
        <f>ISNUMBER(Table3[[#This Row],[Order Date]])</f>
        <v>1</v>
      </c>
      <c r="N374">
        <f>IFERROR(IF(Table3[[#This Row],[Quantity]]*Table3[[#This Row],[Unit Price]]&lt;0, "N/A", Table3[[#This Row],[Quantity]]*Table3[[#This Row],[Unit Price]]), "N/A")</f>
        <v>15000</v>
      </c>
      <c r="O374">
        <f>IFERROR(Table3[[#This Row],[Unit Price]]*Table3[[#This Row],[Return Qty]], "N/A")</f>
        <v>15000</v>
      </c>
      <c r="P374">
        <f>IFERROR(IF((Table3[[#This Row],[Revenue before return]]-Table3[[#This Row],[Amount of order  returned]])&lt;0, "N/A", Table3[[#This Row],[Revenue before return]]-Table3[[#This Row],[Amount of order  returned]]), "N/A")</f>
        <v>0</v>
      </c>
      <c r="Q37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75" spans="1:17" x14ac:dyDescent="0.2">
      <c r="A375" t="s">
        <v>663</v>
      </c>
      <c r="B375" t="s">
        <v>14</v>
      </c>
      <c r="C375" t="s">
        <v>70</v>
      </c>
      <c r="D375" s="6">
        <v>5</v>
      </c>
      <c r="E375" s="5">
        <v>28000</v>
      </c>
      <c r="F375" t="s">
        <v>664</v>
      </c>
      <c r="G375" s="7">
        <v>46122</v>
      </c>
      <c r="H375" s="5">
        <v>1</v>
      </c>
      <c r="I37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75" t="b">
        <f>((ISNUMBER(Table3[[#This Row],[Quantity]]) )* (Table3[[#This Row],[Quantity]]&gt;0))=1</f>
        <v>1</v>
      </c>
      <c r="K375" t="b">
        <f>((Table3[[#This Row],[Quantity]]&gt;=Table3[[#This Row],[Return Qty]])*(ISNUMBER(Table3[[#This Row],[Quantity]])))=1</f>
        <v>1</v>
      </c>
      <c r="L375" t="b">
        <f>ISNUMBER(Table3[[#This Row],[Unit Price]])</f>
        <v>1</v>
      </c>
      <c r="M375" t="b">
        <f>ISNUMBER(Table3[[#This Row],[Order Date]])</f>
        <v>1</v>
      </c>
      <c r="N375">
        <f>IFERROR(IF(Table3[[#This Row],[Quantity]]*Table3[[#This Row],[Unit Price]]&lt;0, "N/A", Table3[[#This Row],[Quantity]]*Table3[[#This Row],[Unit Price]]), "N/A")</f>
        <v>140000</v>
      </c>
      <c r="O375">
        <f>IFERROR(Table3[[#This Row],[Unit Price]]*Table3[[#This Row],[Return Qty]], "N/A")</f>
        <v>28000</v>
      </c>
      <c r="P375">
        <f>IFERROR(IF((Table3[[#This Row],[Revenue before return]]-Table3[[#This Row],[Amount of order  returned]])&lt;0, "N/A", Table3[[#This Row],[Revenue before return]]-Table3[[#This Row],[Amount of order  returned]]), "N/A")</f>
        <v>112000</v>
      </c>
      <c r="Q37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76" spans="1:17" x14ac:dyDescent="0.2">
      <c r="A376" t="s">
        <v>665</v>
      </c>
      <c r="B376" t="s">
        <v>25</v>
      </c>
      <c r="C376" t="s">
        <v>26</v>
      </c>
      <c r="D376" s="6">
        <v>4</v>
      </c>
      <c r="E376" s="5">
        <v>20000</v>
      </c>
      <c r="F376" t="s">
        <v>19</v>
      </c>
      <c r="G376" s="7">
        <v>46184</v>
      </c>
      <c r="H376" s="5">
        <v>0</v>
      </c>
      <c r="I37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76" t="b">
        <f>((ISNUMBER(Table3[[#This Row],[Quantity]]) )* (Table3[[#This Row],[Quantity]]&gt;0))=1</f>
        <v>1</v>
      </c>
      <c r="K376" t="b">
        <f>((Table3[[#This Row],[Quantity]]&gt;=Table3[[#This Row],[Return Qty]])*(ISNUMBER(Table3[[#This Row],[Quantity]])))=1</f>
        <v>1</v>
      </c>
      <c r="L376" t="b">
        <f>ISNUMBER(Table3[[#This Row],[Unit Price]])</f>
        <v>1</v>
      </c>
      <c r="M376" t="b">
        <f>ISNUMBER(Table3[[#This Row],[Order Date]])</f>
        <v>1</v>
      </c>
      <c r="N376">
        <f>IFERROR(IF(Table3[[#This Row],[Quantity]]*Table3[[#This Row],[Unit Price]]&lt;0, "N/A", Table3[[#This Row],[Quantity]]*Table3[[#This Row],[Unit Price]]), "N/A")</f>
        <v>80000</v>
      </c>
      <c r="O376">
        <f>IFERROR(Table3[[#This Row],[Unit Price]]*Table3[[#This Row],[Return Qty]], "N/A")</f>
        <v>0</v>
      </c>
      <c r="P376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37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77" spans="1:17" x14ac:dyDescent="0.2">
      <c r="A377" t="s">
        <v>666</v>
      </c>
      <c r="B377" t="s">
        <v>14</v>
      </c>
      <c r="C377" t="s">
        <v>32</v>
      </c>
      <c r="D377" s="6">
        <v>11</v>
      </c>
      <c r="E377" s="5">
        <v>8000</v>
      </c>
      <c r="F377" t="s">
        <v>667</v>
      </c>
      <c r="G377" s="7">
        <v>46067</v>
      </c>
      <c r="H377" s="5">
        <v>0</v>
      </c>
      <c r="I37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77" t="b">
        <f>((ISNUMBER(Table3[[#This Row],[Quantity]]) )* (Table3[[#This Row],[Quantity]]&gt;0))=1</f>
        <v>1</v>
      </c>
      <c r="K377" t="b">
        <f>((Table3[[#This Row],[Quantity]]&gt;=Table3[[#This Row],[Return Qty]])*(ISNUMBER(Table3[[#This Row],[Quantity]])))=1</f>
        <v>1</v>
      </c>
      <c r="L377" t="b">
        <f>ISNUMBER(Table3[[#This Row],[Unit Price]])</f>
        <v>1</v>
      </c>
      <c r="M377" t="b">
        <f>ISNUMBER(Table3[[#This Row],[Order Date]])</f>
        <v>1</v>
      </c>
      <c r="N377">
        <f>IFERROR(IF(Table3[[#This Row],[Quantity]]*Table3[[#This Row],[Unit Price]]&lt;0, "N/A", Table3[[#This Row],[Quantity]]*Table3[[#This Row],[Unit Price]]), "N/A")</f>
        <v>88000</v>
      </c>
      <c r="O377">
        <f>IFERROR(Table3[[#This Row],[Unit Price]]*Table3[[#This Row],[Return Qty]], "N/A")</f>
        <v>0</v>
      </c>
      <c r="P377">
        <f>IFERROR(IF((Table3[[#This Row],[Revenue before return]]-Table3[[#This Row],[Amount of order  returned]])&lt;0, "N/A", Table3[[#This Row],[Revenue before return]]-Table3[[#This Row],[Amount of order  returned]]), "N/A")</f>
        <v>88000</v>
      </c>
      <c r="Q37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78" spans="1:17" x14ac:dyDescent="0.2">
      <c r="A378" t="s">
        <v>668</v>
      </c>
      <c r="B378" t="s">
        <v>25</v>
      </c>
      <c r="C378" t="s">
        <v>10</v>
      </c>
      <c r="D378" s="6">
        <v>6</v>
      </c>
      <c r="E378" s="5">
        <v>15000</v>
      </c>
      <c r="F378" t="s">
        <v>61</v>
      </c>
      <c r="G378" s="7">
        <v>46083</v>
      </c>
      <c r="H378" s="5">
        <v>0</v>
      </c>
      <c r="I37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78" t="b">
        <f>((ISNUMBER(Table3[[#This Row],[Quantity]]) )* (Table3[[#This Row],[Quantity]]&gt;0))=1</f>
        <v>1</v>
      </c>
      <c r="K378" t="b">
        <f>((Table3[[#This Row],[Quantity]]&gt;=Table3[[#This Row],[Return Qty]])*(ISNUMBER(Table3[[#This Row],[Quantity]])))=1</f>
        <v>1</v>
      </c>
      <c r="L378" t="b">
        <f>ISNUMBER(Table3[[#This Row],[Unit Price]])</f>
        <v>1</v>
      </c>
      <c r="M378" t="b">
        <f>ISNUMBER(Table3[[#This Row],[Order Date]])</f>
        <v>1</v>
      </c>
      <c r="N378">
        <f>IFERROR(IF(Table3[[#This Row],[Quantity]]*Table3[[#This Row],[Unit Price]]&lt;0, "N/A", Table3[[#This Row],[Quantity]]*Table3[[#This Row],[Unit Price]]), "N/A")</f>
        <v>90000</v>
      </c>
      <c r="O378">
        <f>IFERROR(Table3[[#This Row],[Unit Price]]*Table3[[#This Row],[Return Qty]], "N/A")</f>
        <v>0</v>
      </c>
      <c r="P378">
        <f>IFERROR(IF((Table3[[#This Row],[Revenue before return]]-Table3[[#This Row],[Amount of order  returned]])&lt;0, "N/A", Table3[[#This Row],[Revenue before return]]-Table3[[#This Row],[Amount of order  returned]]), "N/A")</f>
        <v>90000</v>
      </c>
      <c r="Q37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79" spans="1:17" x14ac:dyDescent="0.2">
      <c r="A379" t="s">
        <v>669</v>
      </c>
      <c r="B379" t="s">
        <v>21</v>
      </c>
      <c r="C379" t="s">
        <v>45</v>
      </c>
      <c r="D379" s="6">
        <v>10</v>
      </c>
      <c r="E379" s="5">
        <v>20000</v>
      </c>
      <c r="F379" t="s">
        <v>328</v>
      </c>
      <c r="G379" s="7">
        <v>46134</v>
      </c>
      <c r="H379" s="5">
        <v>0</v>
      </c>
      <c r="I37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79" t="b">
        <f>((ISNUMBER(Table3[[#This Row],[Quantity]]) )* (Table3[[#This Row],[Quantity]]&gt;0))=1</f>
        <v>1</v>
      </c>
      <c r="K379" t="b">
        <f>((Table3[[#This Row],[Quantity]]&gt;=Table3[[#This Row],[Return Qty]])*(ISNUMBER(Table3[[#This Row],[Quantity]])))=1</f>
        <v>1</v>
      </c>
      <c r="L379" t="b">
        <f>ISNUMBER(Table3[[#This Row],[Unit Price]])</f>
        <v>1</v>
      </c>
      <c r="M379" t="b">
        <f>ISNUMBER(Table3[[#This Row],[Order Date]])</f>
        <v>1</v>
      </c>
      <c r="N379">
        <f>IFERROR(IF(Table3[[#This Row],[Quantity]]*Table3[[#This Row],[Unit Price]]&lt;0, "N/A", Table3[[#This Row],[Quantity]]*Table3[[#This Row],[Unit Price]]), "N/A")</f>
        <v>200000</v>
      </c>
      <c r="O379">
        <f>IFERROR(Table3[[#This Row],[Unit Price]]*Table3[[#This Row],[Return Qty]], "N/A")</f>
        <v>0</v>
      </c>
      <c r="P379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37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80" spans="1:17" x14ac:dyDescent="0.2">
      <c r="A380" t="s">
        <v>670</v>
      </c>
      <c r="B380" t="s">
        <v>25</v>
      </c>
      <c r="C380" t="s">
        <v>18</v>
      </c>
      <c r="D380" s="6">
        <v>22</v>
      </c>
      <c r="E380" s="5">
        <v>50000</v>
      </c>
      <c r="F380" t="s">
        <v>389</v>
      </c>
      <c r="G380" s="7">
        <v>46068</v>
      </c>
      <c r="H380" s="5">
        <v>0</v>
      </c>
      <c r="I38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80" t="b">
        <f>((ISNUMBER(Table3[[#This Row],[Quantity]]) )* (Table3[[#This Row],[Quantity]]&gt;0))=1</f>
        <v>1</v>
      </c>
      <c r="K380" t="b">
        <f>((Table3[[#This Row],[Quantity]]&gt;=Table3[[#This Row],[Return Qty]])*(ISNUMBER(Table3[[#This Row],[Quantity]])))=1</f>
        <v>1</v>
      </c>
      <c r="L380" t="b">
        <f>ISNUMBER(Table3[[#This Row],[Unit Price]])</f>
        <v>1</v>
      </c>
      <c r="M380" t="b">
        <f>ISNUMBER(Table3[[#This Row],[Order Date]])</f>
        <v>1</v>
      </c>
      <c r="N380">
        <f>IFERROR(IF(Table3[[#This Row],[Quantity]]*Table3[[#This Row],[Unit Price]]&lt;0, "N/A", Table3[[#This Row],[Quantity]]*Table3[[#This Row],[Unit Price]]), "N/A")</f>
        <v>1100000</v>
      </c>
      <c r="O380">
        <f>IFERROR(Table3[[#This Row],[Unit Price]]*Table3[[#This Row],[Return Qty]], "N/A")</f>
        <v>0</v>
      </c>
      <c r="P380">
        <f>IFERROR(IF((Table3[[#This Row],[Revenue before return]]-Table3[[#This Row],[Amount of order  returned]])&lt;0, "N/A", Table3[[#This Row],[Revenue before return]]-Table3[[#This Row],[Amount of order  returned]]), "N/A")</f>
        <v>1100000</v>
      </c>
      <c r="Q38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81" spans="1:17" x14ac:dyDescent="0.2">
      <c r="A381" t="s">
        <v>671</v>
      </c>
      <c r="B381" t="s">
        <v>9</v>
      </c>
      <c r="C381" t="s">
        <v>39</v>
      </c>
      <c r="D381" s="6">
        <v>11</v>
      </c>
      <c r="E381" s="5">
        <v>12000</v>
      </c>
      <c r="F381" t="s">
        <v>377</v>
      </c>
      <c r="G381" s="7">
        <v>46094</v>
      </c>
      <c r="H381" s="5">
        <v>0</v>
      </c>
      <c r="I38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81" t="b">
        <f>((ISNUMBER(Table3[[#This Row],[Quantity]]) )* (Table3[[#This Row],[Quantity]]&gt;0))=1</f>
        <v>1</v>
      </c>
      <c r="K381" t="b">
        <f>((Table3[[#This Row],[Quantity]]&gt;=Table3[[#This Row],[Return Qty]])*(ISNUMBER(Table3[[#This Row],[Quantity]])))=1</f>
        <v>1</v>
      </c>
      <c r="L381" t="b">
        <f>ISNUMBER(Table3[[#This Row],[Unit Price]])</f>
        <v>1</v>
      </c>
      <c r="M381" t="b">
        <f>ISNUMBER(Table3[[#This Row],[Order Date]])</f>
        <v>1</v>
      </c>
      <c r="N381">
        <f>IFERROR(IF(Table3[[#This Row],[Quantity]]*Table3[[#This Row],[Unit Price]]&lt;0, "N/A", Table3[[#This Row],[Quantity]]*Table3[[#This Row],[Unit Price]]), "N/A")</f>
        <v>132000</v>
      </c>
      <c r="O381">
        <f>IFERROR(Table3[[#This Row],[Unit Price]]*Table3[[#This Row],[Return Qty]], "N/A")</f>
        <v>0</v>
      </c>
      <c r="P381">
        <f>IFERROR(IF((Table3[[#This Row],[Revenue before return]]-Table3[[#This Row],[Amount of order  returned]])&lt;0, "N/A", Table3[[#This Row],[Revenue before return]]-Table3[[#This Row],[Amount of order  returned]]), "N/A")</f>
        <v>132000</v>
      </c>
      <c r="Q38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82" spans="1:17" x14ac:dyDescent="0.2">
      <c r="A382" t="s">
        <v>672</v>
      </c>
      <c r="B382" t="s">
        <v>9</v>
      </c>
      <c r="C382" t="s">
        <v>32</v>
      </c>
      <c r="D382" s="6">
        <v>15</v>
      </c>
      <c r="E382" s="5">
        <v>8000</v>
      </c>
      <c r="F382" t="s">
        <v>119</v>
      </c>
      <c r="G382" s="7">
        <v>46105</v>
      </c>
      <c r="H382" s="5">
        <v>0</v>
      </c>
      <c r="I38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82" t="b">
        <f>((ISNUMBER(Table3[[#This Row],[Quantity]]) )* (Table3[[#This Row],[Quantity]]&gt;0))=1</f>
        <v>1</v>
      </c>
      <c r="K382" t="b">
        <f>((Table3[[#This Row],[Quantity]]&gt;=Table3[[#This Row],[Return Qty]])*(ISNUMBER(Table3[[#This Row],[Quantity]])))=1</f>
        <v>1</v>
      </c>
      <c r="L382" t="b">
        <f>ISNUMBER(Table3[[#This Row],[Unit Price]])</f>
        <v>1</v>
      </c>
      <c r="M382" t="b">
        <f>ISNUMBER(Table3[[#This Row],[Order Date]])</f>
        <v>1</v>
      </c>
      <c r="N382">
        <f>IFERROR(IF(Table3[[#This Row],[Quantity]]*Table3[[#This Row],[Unit Price]]&lt;0, "N/A", Table3[[#This Row],[Quantity]]*Table3[[#This Row],[Unit Price]]), "N/A")</f>
        <v>120000</v>
      </c>
      <c r="O382">
        <f>IFERROR(Table3[[#This Row],[Unit Price]]*Table3[[#This Row],[Return Qty]], "N/A")</f>
        <v>0</v>
      </c>
      <c r="P382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38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83" spans="1:17" x14ac:dyDescent="0.2">
      <c r="A383" t="s">
        <v>673</v>
      </c>
      <c r="B383" t="s">
        <v>25</v>
      </c>
      <c r="C383" t="s">
        <v>26</v>
      </c>
      <c r="D383" s="6">
        <v>3</v>
      </c>
      <c r="E383" s="5">
        <v>20000</v>
      </c>
      <c r="F383" t="s">
        <v>381</v>
      </c>
      <c r="G383" s="7">
        <v>46099</v>
      </c>
      <c r="H383" s="5">
        <v>0</v>
      </c>
      <c r="I38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83" t="b">
        <f>((ISNUMBER(Table3[[#This Row],[Quantity]]) )* (Table3[[#This Row],[Quantity]]&gt;0))=1</f>
        <v>1</v>
      </c>
      <c r="K383" t="b">
        <f>((Table3[[#This Row],[Quantity]]&gt;=Table3[[#This Row],[Return Qty]])*(ISNUMBER(Table3[[#This Row],[Quantity]])))=1</f>
        <v>1</v>
      </c>
      <c r="L383" t="b">
        <f>ISNUMBER(Table3[[#This Row],[Unit Price]])</f>
        <v>1</v>
      </c>
      <c r="M383" t="b">
        <f>ISNUMBER(Table3[[#This Row],[Order Date]])</f>
        <v>1</v>
      </c>
      <c r="N383">
        <f>IFERROR(IF(Table3[[#This Row],[Quantity]]*Table3[[#This Row],[Unit Price]]&lt;0, "N/A", Table3[[#This Row],[Quantity]]*Table3[[#This Row],[Unit Price]]), "N/A")</f>
        <v>60000</v>
      </c>
      <c r="O383">
        <f>IFERROR(Table3[[#This Row],[Unit Price]]*Table3[[#This Row],[Return Qty]], "N/A")</f>
        <v>0</v>
      </c>
      <c r="P383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38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84" spans="1:17" x14ac:dyDescent="0.2">
      <c r="A384" t="s">
        <v>674</v>
      </c>
      <c r="B384" t="s">
        <v>14</v>
      </c>
      <c r="C384" t="s">
        <v>32</v>
      </c>
      <c r="D384" s="6">
        <v>23</v>
      </c>
      <c r="E384" s="5">
        <v>8000</v>
      </c>
      <c r="F384" t="s">
        <v>391</v>
      </c>
      <c r="G384" s="7">
        <v>46055</v>
      </c>
      <c r="H384" s="5">
        <v>0</v>
      </c>
      <c r="I38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84" t="b">
        <f>((ISNUMBER(Table3[[#This Row],[Quantity]]) )* (Table3[[#This Row],[Quantity]]&gt;0))=1</f>
        <v>1</v>
      </c>
      <c r="K384" t="b">
        <f>((Table3[[#This Row],[Quantity]]&gt;=Table3[[#This Row],[Return Qty]])*(ISNUMBER(Table3[[#This Row],[Quantity]])))=1</f>
        <v>1</v>
      </c>
      <c r="L384" t="b">
        <f>ISNUMBER(Table3[[#This Row],[Unit Price]])</f>
        <v>1</v>
      </c>
      <c r="M384" t="b">
        <f>ISNUMBER(Table3[[#This Row],[Order Date]])</f>
        <v>1</v>
      </c>
      <c r="N384">
        <f>IFERROR(IF(Table3[[#This Row],[Quantity]]*Table3[[#This Row],[Unit Price]]&lt;0, "N/A", Table3[[#This Row],[Quantity]]*Table3[[#This Row],[Unit Price]]), "N/A")</f>
        <v>184000</v>
      </c>
      <c r="O384">
        <f>IFERROR(Table3[[#This Row],[Unit Price]]*Table3[[#This Row],[Return Qty]], "N/A")</f>
        <v>0</v>
      </c>
      <c r="P384">
        <f>IFERROR(IF((Table3[[#This Row],[Revenue before return]]-Table3[[#This Row],[Amount of order  returned]])&lt;0, "N/A", Table3[[#This Row],[Revenue before return]]-Table3[[#This Row],[Amount of order  returned]]), "N/A")</f>
        <v>184000</v>
      </c>
      <c r="Q38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85" spans="1:17" x14ac:dyDescent="0.2">
      <c r="A385" t="s">
        <v>675</v>
      </c>
      <c r="B385" t="s">
        <v>21</v>
      </c>
      <c r="C385" t="s">
        <v>70</v>
      </c>
      <c r="D385" s="6">
        <v>14</v>
      </c>
      <c r="E385" s="5">
        <v>28000</v>
      </c>
      <c r="F385" t="s">
        <v>677</v>
      </c>
      <c r="G385" s="7">
        <v>46138</v>
      </c>
      <c r="H385" s="5">
        <v>0</v>
      </c>
      <c r="I38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85" t="b">
        <f>((ISNUMBER(Table3[[#This Row],[Quantity]]) )* (Table3[[#This Row],[Quantity]]&gt;0))=1</f>
        <v>1</v>
      </c>
      <c r="K385" t="b">
        <f>((Table3[[#This Row],[Quantity]]&gt;=Table3[[#This Row],[Return Qty]])*(ISNUMBER(Table3[[#This Row],[Quantity]])))=1</f>
        <v>1</v>
      </c>
      <c r="L385" t="b">
        <f>ISNUMBER(Table3[[#This Row],[Unit Price]])</f>
        <v>1</v>
      </c>
      <c r="M385" t="b">
        <f>ISNUMBER(Table3[[#This Row],[Order Date]])</f>
        <v>1</v>
      </c>
      <c r="N385">
        <f>IFERROR(IF(Table3[[#This Row],[Quantity]]*Table3[[#This Row],[Unit Price]]&lt;0, "N/A", Table3[[#This Row],[Quantity]]*Table3[[#This Row],[Unit Price]]), "N/A")</f>
        <v>392000</v>
      </c>
      <c r="O385">
        <f>IFERROR(Table3[[#This Row],[Unit Price]]*Table3[[#This Row],[Return Qty]], "N/A")</f>
        <v>0</v>
      </c>
      <c r="P385">
        <f>IFERROR(IF((Table3[[#This Row],[Revenue before return]]-Table3[[#This Row],[Amount of order  returned]])&lt;0, "N/A", Table3[[#This Row],[Revenue before return]]-Table3[[#This Row],[Amount of order  returned]]), "N/A")</f>
        <v>392000</v>
      </c>
      <c r="Q38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86" spans="1:17" x14ac:dyDescent="0.2">
      <c r="A386" t="s">
        <v>678</v>
      </c>
      <c r="B386" t="s">
        <v>679</v>
      </c>
      <c r="C386" t="s">
        <v>45</v>
      </c>
      <c r="D386" s="6">
        <v>5</v>
      </c>
      <c r="E386" s="5">
        <v>20000</v>
      </c>
      <c r="F386" t="s">
        <v>255</v>
      </c>
      <c r="G386" s="7">
        <v>46190</v>
      </c>
      <c r="H386" s="5">
        <v>0</v>
      </c>
      <c r="I38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0</v>
      </c>
      <c r="J386" t="b">
        <f>((ISNUMBER(Table3[[#This Row],[Quantity]]) )* (Table3[[#This Row],[Quantity]]&gt;0))=1</f>
        <v>1</v>
      </c>
      <c r="K386" t="b">
        <f>((Table3[[#This Row],[Quantity]]&gt;=Table3[[#This Row],[Return Qty]])*(ISNUMBER(Table3[[#This Row],[Quantity]])))=1</f>
        <v>1</v>
      </c>
      <c r="L386" t="b">
        <f>ISNUMBER(Table3[[#This Row],[Unit Price]])</f>
        <v>1</v>
      </c>
      <c r="M386" t="b">
        <f>ISNUMBER(Table3[[#This Row],[Order Date]])</f>
        <v>1</v>
      </c>
      <c r="N386">
        <f>IFERROR(IF(Table3[[#This Row],[Quantity]]*Table3[[#This Row],[Unit Price]]&lt;0, "N/A", Table3[[#This Row],[Quantity]]*Table3[[#This Row],[Unit Price]]), "N/A")</f>
        <v>100000</v>
      </c>
      <c r="O386">
        <f>IFERROR(Table3[[#This Row],[Unit Price]]*Table3[[#This Row],[Return Qty]], "N/A")</f>
        <v>0</v>
      </c>
      <c r="P386">
        <f>IFERROR(IF((Table3[[#This Row],[Revenue before return]]-Table3[[#This Row],[Amount of order  returned]])&lt;0, "N/A", Table3[[#This Row],[Revenue before return]]-Table3[[#This Row],[Amount of order  returned]]), "N/A")</f>
        <v>100000</v>
      </c>
      <c r="Q38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387" spans="1:17" x14ac:dyDescent="0.2">
      <c r="A387" t="s">
        <v>680</v>
      </c>
      <c r="B387" t="s">
        <v>14</v>
      </c>
      <c r="C387" t="s">
        <v>18</v>
      </c>
      <c r="D387" s="6">
        <v>21</v>
      </c>
      <c r="E387" s="5">
        <v>50000</v>
      </c>
      <c r="F387" t="s">
        <v>134</v>
      </c>
      <c r="G387" s="7">
        <v>46168</v>
      </c>
      <c r="H387" s="5">
        <v>0</v>
      </c>
      <c r="I38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87" t="b">
        <f>((ISNUMBER(Table3[[#This Row],[Quantity]]) )* (Table3[[#This Row],[Quantity]]&gt;0))=1</f>
        <v>1</v>
      </c>
      <c r="K387" t="b">
        <f>((Table3[[#This Row],[Quantity]]&gt;=Table3[[#This Row],[Return Qty]])*(ISNUMBER(Table3[[#This Row],[Quantity]])))=1</f>
        <v>1</v>
      </c>
      <c r="L387" t="b">
        <f>ISNUMBER(Table3[[#This Row],[Unit Price]])</f>
        <v>1</v>
      </c>
      <c r="M387" t="b">
        <f>ISNUMBER(Table3[[#This Row],[Order Date]])</f>
        <v>1</v>
      </c>
      <c r="N387">
        <f>IFERROR(IF(Table3[[#This Row],[Quantity]]*Table3[[#This Row],[Unit Price]]&lt;0, "N/A", Table3[[#This Row],[Quantity]]*Table3[[#This Row],[Unit Price]]), "N/A")</f>
        <v>1050000</v>
      </c>
      <c r="O387">
        <f>IFERROR(Table3[[#This Row],[Unit Price]]*Table3[[#This Row],[Return Qty]], "N/A")</f>
        <v>0</v>
      </c>
      <c r="P387">
        <f>IFERROR(IF((Table3[[#This Row],[Revenue before return]]-Table3[[#This Row],[Amount of order  returned]])&lt;0, "N/A", Table3[[#This Row],[Revenue before return]]-Table3[[#This Row],[Amount of order  returned]]), "N/A")</f>
        <v>1050000</v>
      </c>
      <c r="Q38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88" spans="1:17" x14ac:dyDescent="0.2">
      <c r="A388" t="s">
        <v>682</v>
      </c>
      <c r="B388" t="s">
        <v>581</v>
      </c>
      <c r="C388" t="s">
        <v>18</v>
      </c>
      <c r="D388" s="6">
        <v>9</v>
      </c>
      <c r="E388" s="5">
        <v>50000</v>
      </c>
      <c r="F388" t="s">
        <v>683</v>
      </c>
      <c r="G388" s="7">
        <v>46179</v>
      </c>
      <c r="H388" s="5">
        <v>0</v>
      </c>
      <c r="I38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0</v>
      </c>
      <c r="J388" t="b">
        <f>((ISNUMBER(Table3[[#This Row],[Quantity]]) )* (Table3[[#This Row],[Quantity]]&gt;0))=1</f>
        <v>1</v>
      </c>
      <c r="K388" t="b">
        <f>((Table3[[#This Row],[Quantity]]&gt;=Table3[[#This Row],[Return Qty]])*(ISNUMBER(Table3[[#This Row],[Quantity]])))=1</f>
        <v>1</v>
      </c>
      <c r="L388" t="b">
        <f>ISNUMBER(Table3[[#This Row],[Unit Price]])</f>
        <v>1</v>
      </c>
      <c r="M388" t="b">
        <f>ISNUMBER(Table3[[#This Row],[Order Date]])</f>
        <v>1</v>
      </c>
      <c r="N388">
        <f>IFERROR(IF(Table3[[#This Row],[Quantity]]*Table3[[#This Row],[Unit Price]]&lt;0, "N/A", Table3[[#This Row],[Quantity]]*Table3[[#This Row],[Unit Price]]), "N/A")</f>
        <v>450000</v>
      </c>
      <c r="O388">
        <f>IFERROR(Table3[[#This Row],[Unit Price]]*Table3[[#This Row],[Return Qty]], "N/A")</f>
        <v>0</v>
      </c>
      <c r="P388">
        <f>IFERROR(IF((Table3[[#This Row],[Revenue before return]]-Table3[[#This Row],[Amount of order  returned]])&lt;0, "N/A", Table3[[#This Row],[Revenue before return]]-Table3[[#This Row],[Amount of order  returned]]), "N/A")</f>
        <v>450000</v>
      </c>
      <c r="Q38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389" spans="1:17" x14ac:dyDescent="0.2">
      <c r="A389" t="s">
        <v>684</v>
      </c>
      <c r="B389" t="s">
        <v>14</v>
      </c>
      <c r="C389" t="s">
        <v>10</v>
      </c>
      <c r="D389" s="6">
        <v>11</v>
      </c>
      <c r="E389" s="5">
        <v>15000</v>
      </c>
      <c r="F389" t="s">
        <v>113</v>
      </c>
      <c r="G389" s="7">
        <v>46038</v>
      </c>
      <c r="H389" s="5">
        <v>0</v>
      </c>
      <c r="I38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89" t="b">
        <f>((ISNUMBER(Table3[[#This Row],[Quantity]]) )* (Table3[[#This Row],[Quantity]]&gt;0))=1</f>
        <v>1</v>
      </c>
      <c r="K389" t="b">
        <f>((Table3[[#This Row],[Quantity]]&gt;=Table3[[#This Row],[Return Qty]])*(ISNUMBER(Table3[[#This Row],[Quantity]])))=1</f>
        <v>1</v>
      </c>
      <c r="L389" t="b">
        <f>ISNUMBER(Table3[[#This Row],[Unit Price]])</f>
        <v>1</v>
      </c>
      <c r="M389" t="b">
        <f>ISNUMBER(Table3[[#This Row],[Order Date]])</f>
        <v>1</v>
      </c>
      <c r="N389">
        <f>IFERROR(IF(Table3[[#This Row],[Quantity]]*Table3[[#This Row],[Unit Price]]&lt;0, "N/A", Table3[[#This Row],[Quantity]]*Table3[[#This Row],[Unit Price]]), "N/A")</f>
        <v>165000</v>
      </c>
      <c r="O389">
        <f>IFERROR(Table3[[#This Row],[Unit Price]]*Table3[[#This Row],[Return Qty]], "N/A")</f>
        <v>0</v>
      </c>
      <c r="P389">
        <f>IFERROR(IF((Table3[[#This Row],[Revenue before return]]-Table3[[#This Row],[Amount of order  returned]])&lt;0, "N/A", Table3[[#This Row],[Revenue before return]]-Table3[[#This Row],[Amount of order  returned]]), "N/A")</f>
        <v>165000</v>
      </c>
      <c r="Q38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90" spans="1:17" x14ac:dyDescent="0.2">
      <c r="A390" t="s">
        <v>685</v>
      </c>
      <c r="B390" t="s">
        <v>14</v>
      </c>
      <c r="C390" t="s">
        <v>10</v>
      </c>
      <c r="D390" s="6">
        <v>1</v>
      </c>
      <c r="E390" s="5">
        <v>15000</v>
      </c>
      <c r="F390" t="s">
        <v>428</v>
      </c>
      <c r="G390" s="7">
        <v>46111</v>
      </c>
      <c r="H390" s="5">
        <v>0</v>
      </c>
      <c r="I39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90" t="b">
        <f>((ISNUMBER(Table3[[#This Row],[Quantity]]) )* (Table3[[#This Row],[Quantity]]&gt;0))=1</f>
        <v>1</v>
      </c>
      <c r="K390" t="b">
        <f>((Table3[[#This Row],[Quantity]]&gt;=Table3[[#This Row],[Return Qty]])*(ISNUMBER(Table3[[#This Row],[Quantity]])))=1</f>
        <v>1</v>
      </c>
      <c r="L390" t="b">
        <f>ISNUMBER(Table3[[#This Row],[Unit Price]])</f>
        <v>1</v>
      </c>
      <c r="M390" t="b">
        <f>ISNUMBER(Table3[[#This Row],[Order Date]])</f>
        <v>1</v>
      </c>
      <c r="N390">
        <f>IFERROR(IF(Table3[[#This Row],[Quantity]]*Table3[[#This Row],[Unit Price]]&lt;0, "N/A", Table3[[#This Row],[Quantity]]*Table3[[#This Row],[Unit Price]]), "N/A")</f>
        <v>15000</v>
      </c>
      <c r="O390">
        <f>IFERROR(Table3[[#This Row],[Unit Price]]*Table3[[#This Row],[Return Qty]], "N/A")</f>
        <v>0</v>
      </c>
      <c r="P390">
        <f>IFERROR(IF((Table3[[#This Row],[Revenue before return]]-Table3[[#This Row],[Amount of order  returned]])&lt;0, "N/A", Table3[[#This Row],[Revenue before return]]-Table3[[#This Row],[Amount of order  returned]]), "N/A")</f>
        <v>15000</v>
      </c>
      <c r="Q39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91" spans="1:17" x14ac:dyDescent="0.2">
      <c r="A391" t="s">
        <v>686</v>
      </c>
      <c r="B391" t="s">
        <v>9</v>
      </c>
      <c r="C391" t="s">
        <v>45</v>
      </c>
      <c r="D391" s="6">
        <v>17</v>
      </c>
      <c r="E391" s="5">
        <v>20000</v>
      </c>
      <c r="F391" t="s">
        <v>541</v>
      </c>
      <c r="G391" s="7">
        <v>46034</v>
      </c>
      <c r="H391" s="5">
        <v>5</v>
      </c>
      <c r="I39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91" t="b">
        <f>((ISNUMBER(Table3[[#This Row],[Quantity]]) )* (Table3[[#This Row],[Quantity]]&gt;0))=1</f>
        <v>1</v>
      </c>
      <c r="K391" t="b">
        <f>((Table3[[#This Row],[Quantity]]&gt;=Table3[[#This Row],[Return Qty]])*(ISNUMBER(Table3[[#This Row],[Quantity]])))=1</f>
        <v>1</v>
      </c>
      <c r="L391" t="b">
        <f>ISNUMBER(Table3[[#This Row],[Unit Price]])</f>
        <v>1</v>
      </c>
      <c r="M391" t="b">
        <f>ISNUMBER(Table3[[#This Row],[Order Date]])</f>
        <v>1</v>
      </c>
      <c r="N391">
        <f>IFERROR(IF(Table3[[#This Row],[Quantity]]*Table3[[#This Row],[Unit Price]]&lt;0, "N/A", Table3[[#This Row],[Quantity]]*Table3[[#This Row],[Unit Price]]), "N/A")</f>
        <v>340000</v>
      </c>
      <c r="O391">
        <f>IFERROR(Table3[[#This Row],[Unit Price]]*Table3[[#This Row],[Return Qty]], "N/A")</f>
        <v>100000</v>
      </c>
      <c r="P391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39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92" spans="1:17" x14ac:dyDescent="0.2">
      <c r="A392" t="s">
        <v>688</v>
      </c>
      <c r="B392" t="s">
        <v>25</v>
      </c>
      <c r="C392" t="s">
        <v>22</v>
      </c>
      <c r="D392" s="6">
        <v>13</v>
      </c>
      <c r="E392" s="5">
        <v>35000</v>
      </c>
      <c r="F392" t="s">
        <v>282</v>
      </c>
      <c r="G392" s="7">
        <v>46186</v>
      </c>
      <c r="H392" s="5">
        <v>0</v>
      </c>
      <c r="I39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92" t="b">
        <f>((ISNUMBER(Table3[[#This Row],[Quantity]]) )* (Table3[[#This Row],[Quantity]]&gt;0))=1</f>
        <v>1</v>
      </c>
      <c r="K392" t="b">
        <f>((Table3[[#This Row],[Quantity]]&gt;=Table3[[#This Row],[Return Qty]])*(ISNUMBER(Table3[[#This Row],[Quantity]])))=1</f>
        <v>1</v>
      </c>
      <c r="L392" t="b">
        <f>ISNUMBER(Table3[[#This Row],[Unit Price]])</f>
        <v>1</v>
      </c>
      <c r="M392" t="b">
        <f>ISNUMBER(Table3[[#This Row],[Order Date]])</f>
        <v>1</v>
      </c>
      <c r="N392">
        <f>IFERROR(IF(Table3[[#This Row],[Quantity]]*Table3[[#This Row],[Unit Price]]&lt;0, "N/A", Table3[[#This Row],[Quantity]]*Table3[[#This Row],[Unit Price]]), "N/A")</f>
        <v>455000</v>
      </c>
      <c r="O392">
        <f>IFERROR(Table3[[#This Row],[Unit Price]]*Table3[[#This Row],[Return Qty]], "N/A")</f>
        <v>0</v>
      </c>
      <c r="P392">
        <f>IFERROR(IF((Table3[[#This Row],[Revenue before return]]-Table3[[#This Row],[Amount of order  returned]])&lt;0, "N/A", Table3[[#This Row],[Revenue before return]]-Table3[[#This Row],[Amount of order  returned]]), "N/A")</f>
        <v>455000</v>
      </c>
      <c r="Q39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93" spans="1:17" x14ac:dyDescent="0.2">
      <c r="A393" t="s">
        <v>689</v>
      </c>
      <c r="B393" t="s">
        <v>21</v>
      </c>
      <c r="C393" t="s">
        <v>45</v>
      </c>
      <c r="D393" s="6">
        <v>25</v>
      </c>
      <c r="E393" s="5">
        <v>20000</v>
      </c>
      <c r="F393" t="s">
        <v>296</v>
      </c>
      <c r="G393" s="7">
        <v>46144</v>
      </c>
      <c r="H393" s="5">
        <v>0</v>
      </c>
      <c r="I39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93" t="b">
        <f>((ISNUMBER(Table3[[#This Row],[Quantity]]) )* (Table3[[#This Row],[Quantity]]&gt;0))=1</f>
        <v>1</v>
      </c>
      <c r="K393" t="b">
        <f>((Table3[[#This Row],[Quantity]]&gt;=Table3[[#This Row],[Return Qty]])*(ISNUMBER(Table3[[#This Row],[Quantity]])))=1</f>
        <v>1</v>
      </c>
      <c r="L393" t="b">
        <f>ISNUMBER(Table3[[#This Row],[Unit Price]])</f>
        <v>1</v>
      </c>
      <c r="M393" t="b">
        <f>ISNUMBER(Table3[[#This Row],[Order Date]])</f>
        <v>1</v>
      </c>
      <c r="N393">
        <f>IFERROR(IF(Table3[[#This Row],[Quantity]]*Table3[[#This Row],[Unit Price]]&lt;0, "N/A", Table3[[#This Row],[Quantity]]*Table3[[#This Row],[Unit Price]]), "N/A")</f>
        <v>500000</v>
      </c>
      <c r="O393">
        <f>IFERROR(Table3[[#This Row],[Unit Price]]*Table3[[#This Row],[Return Qty]], "N/A")</f>
        <v>0</v>
      </c>
      <c r="P393">
        <f>IFERROR(IF((Table3[[#This Row],[Revenue before return]]-Table3[[#This Row],[Amount of order  returned]])&lt;0, "N/A", Table3[[#This Row],[Revenue before return]]-Table3[[#This Row],[Amount of order  returned]]), "N/A")</f>
        <v>500000</v>
      </c>
      <c r="Q39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94" spans="1:17" x14ac:dyDescent="0.2">
      <c r="A394" t="s">
        <v>690</v>
      </c>
      <c r="B394" t="s">
        <v>14</v>
      </c>
      <c r="C394" t="s">
        <v>32</v>
      </c>
      <c r="D394" s="6">
        <v>17</v>
      </c>
      <c r="E394" s="5">
        <v>8000</v>
      </c>
      <c r="F394" t="s">
        <v>220</v>
      </c>
      <c r="G394" s="7">
        <v>46065</v>
      </c>
      <c r="H394" s="5">
        <v>0</v>
      </c>
      <c r="I39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94" t="b">
        <f>((ISNUMBER(Table3[[#This Row],[Quantity]]) )* (Table3[[#This Row],[Quantity]]&gt;0))=1</f>
        <v>1</v>
      </c>
      <c r="K394" t="b">
        <f>((Table3[[#This Row],[Quantity]]&gt;=Table3[[#This Row],[Return Qty]])*(ISNUMBER(Table3[[#This Row],[Quantity]])))=1</f>
        <v>1</v>
      </c>
      <c r="L394" t="b">
        <f>ISNUMBER(Table3[[#This Row],[Unit Price]])</f>
        <v>1</v>
      </c>
      <c r="M394" t="b">
        <f>ISNUMBER(Table3[[#This Row],[Order Date]])</f>
        <v>1</v>
      </c>
      <c r="N394">
        <f>IFERROR(IF(Table3[[#This Row],[Quantity]]*Table3[[#This Row],[Unit Price]]&lt;0, "N/A", Table3[[#This Row],[Quantity]]*Table3[[#This Row],[Unit Price]]), "N/A")</f>
        <v>136000</v>
      </c>
      <c r="O394">
        <f>IFERROR(Table3[[#This Row],[Unit Price]]*Table3[[#This Row],[Return Qty]], "N/A")</f>
        <v>0</v>
      </c>
      <c r="P394">
        <f>IFERROR(IF((Table3[[#This Row],[Revenue before return]]-Table3[[#This Row],[Amount of order  returned]])&lt;0, "N/A", Table3[[#This Row],[Revenue before return]]-Table3[[#This Row],[Amount of order  returned]]), "N/A")</f>
        <v>136000</v>
      </c>
      <c r="Q39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95" spans="1:17" x14ac:dyDescent="0.2">
      <c r="A395" t="s">
        <v>691</v>
      </c>
      <c r="B395" t="s">
        <v>21</v>
      </c>
      <c r="C395" t="s">
        <v>10</v>
      </c>
      <c r="D395" s="6">
        <v>19</v>
      </c>
      <c r="E395" s="5">
        <v>15000</v>
      </c>
      <c r="F395" t="s">
        <v>692</v>
      </c>
      <c r="G395" s="7">
        <v>46154</v>
      </c>
      <c r="H395" s="5">
        <v>0</v>
      </c>
      <c r="I39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95" t="b">
        <f>((ISNUMBER(Table3[[#This Row],[Quantity]]) )* (Table3[[#This Row],[Quantity]]&gt;0))=1</f>
        <v>1</v>
      </c>
      <c r="K395" t="b">
        <f>((Table3[[#This Row],[Quantity]]&gt;=Table3[[#This Row],[Return Qty]])*(ISNUMBER(Table3[[#This Row],[Quantity]])))=1</f>
        <v>1</v>
      </c>
      <c r="L395" t="b">
        <f>ISNUMBER(Table3[[#This Row],[Unit Price]])</f>
        <v>1</v>
      </c>
      <c r="M395" t="b">
        <f>ISNUMBER(Table3[[#This Row],[Order Date]])</f>
        <v>1</v>
      </c>
      <c r="N395">
        <f>IFERROR(IF(Table3[[#This Row],[Quantity]]*Table3[[#This Row],[Unit Price]]&lt;0, "N/A", Table3[[#This Row],[Quantity]]*Table3[[#This Row],[Unit Price]]), "N/A")</f>
        <v>285000</v>
      </c>
      <c r="O395">
        <f>IFERROR(Table3[[#This Row],[Unit Price]]*Table3[[#This Row],[Return Qty]], "N/A")</f>
        <v>0</v>
      </c>
      <c r="P395">
        <f>IFERROR(IF((Table3[[#This Row],[Revenue before return]]-Table3[[#This Row],[Amount of order  returned]])&lt;0, "N/A", Table3[[#This Row],[Revenue before return]]-Table3[[#This Row],[Amount of order  returned]]), "N/A")</f>
        <v>285000</v>
      </c>
      <c r="Q39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96" spans="1:17" x14ac:dyDescent="0.2">
      <c r="A396" t="s">
        <v>693</v>
      </c>
      <c r="B396" t="s">
        <v>9</v>
      </c>
      <c r="C396" t="s">
        <v>18</v>
      </c>
      <c r="D396" s="6">
        <v>25</v>
      </c>
      <c r="E396" s="5">
        <v>50000</v>
      </c>
      <c r="F396" t="s">
        <v>230</v>
      </c>
      <c r="G396" s="7">
        <v>46178</v>
      </c>
      <c r="H396" s="5">
        <v>1</v>
      </c>
      <c r="I39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96" t="b">
        <f>((ISNUMBER(Table3[[#This Row],[Quantity]]) )* (Table3[[#This Row],[Quantity]]&gt;0))=1</f>
        <v>1</v>
      </c>
      <c r="K396" t="b">
        <f>((Table3[[#This Row],[Quantity]]&gt;=Table3[[#This Row],[Return Qty]])*(ISNUMBER(Table3[[#This Row],[Quantity]])))=1</f>
        <v>1</v>
      </c>
      <c r="L396" t="b">
        <f>ISNUMBER(Table3[[#This Row],[Unit Price]])</f>
        <v>1</v>
      </c>
      <c r="M396" t="b">
        <f>ISNUMBER(Table3[[#This Row],[Order Date]])</f>
        <v>1</v>
      </c>
      <c r="N396">
        <f>IFERROR(IF(Table3[[#This Row],[Quantity]]*Table3[[#This Row],[Unit Price]]&lt;0, "N/A", Table3[[#This Row],[Quantity]]*Table3[[#This Row],[Unit Price]]), "N/A")</f>
        <v>1250000</v>
      </c>
      <c r="O396">
        <f>IFERROR(Table3[[#This Row],[Unit Price]]*Table3[[#This Row],[Return Qty]], "N/A")</f>
        <v>50000</v>
      </c>
      <c r="P396">
        <f>IFERROR(IF((Table3[[#This Row],[Revenue before return]]-Table3[[#This Row],[Amount of order  returned]])&lt;0, "N/A", Table3[[#This Row],[Revenue before return]]-Table3[[#This Row],[Amount of order  returned]]), "N/A")</f>
        <v>1200000</v>
      </c>
      <c r="Q39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97" spans="1:17" x14ac:dyDescent="0.2">
      <c r="A397" t="s">
        <v>694</v>
      </c>
      <c r="B397" t="s">
        <v>21</v>
      </c>
      <c r="C397" t="s">
        <v>10</v>
      </c>
      <c r="D397" s="6">
        <v>10</v>
      </c>
      <c r="E397" s="5">
        <v>15000</v>
      </c>
      <c r="F397" t="s">
        <v>368</v>
      </c>
      <c r="G397" s="7">
        <v>46144</v>
      </c>
      <c r="H397" s="5">
        <v>1</v>
      </c>
      <c r="I39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97" t="b">
        <f>((ISNUMBER(Table3[[#This Row],[Quantity]]) )* (Table3[[#This Row],[Quantity]]&gt;0))=1</f>
        <v>1</v>
      </c>
      <c r="K397" t="b">
        <f>((Table3[[#This Row],[Quantity]]&gt;=Table3[[#This Row],[Return Qty]])*(ISNUMBER(Table3[[#This Row],[Quantity]])))=1</f>
        <v>1</v>
      </c>
      <c r="L397" t="b">
        <f>ISNUMBER(Table3[[#This Row],[Unit Price]])</f>
        <v>1</v>
      </c>
      <c r="M397" t="b">
        <f>ISNUMBER(Table3[[#This Row],[Order Date]])</f>
        <v>1</v>
      </c>
      <c r="N397">
        <f>IFERROR(IF(Table3[[#This Row],[Quantity]]*Table3[[#This Row],[Unit Price]]&lt;0, "N/A", Table3[[#This Row],[Quantity]]*Table3[[#This Row],[Unit Price]]), "N/A")</f>
        <v>150000</v>
      </c>
      <c r="O397">
        <f>IFERROR(Table3[[#This Row],[Unit Price]]*Table3[[#This Row],[Return Qty]], "N/A")</f>
        <v>15000</v>
      </c>
      <c r="P397">
        <f>IFERROR(IF((Table3[[#This Row],[Revenue before return]]-Table3[[#This Row],[Amount of order  returned]])&lt;0, "N/A", Table3[[#This Row],[Revenue before return]]-Table3[[#This Row],[Amount of order  returned]]), "N/A")</f>
        <v>135000</v>
      </c>
      <c r="Q39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98" spans="1:17" x14ac:dyDescent="0.2">
      <c r="A398" t="s">
        <v>695</v>
      </c>
      <c r="B398" t="s">
        <v>9</v>
      </c>
      <c r="C398" t="s">
        <v>18</v>
      </c>
      <c r="D398" s="6">
        <v>12</v>
      </c>
      <c r="E398" s="5">
        <v>50000</v>
      </c>
      <c r="F398" t="s">
        <v>220</v>
      </c>
      <c r="G398" s="7">
        <v>46142</v>
      </c>
      <c r="H398" s="5">
        <v>0</v>
      </c>
      <c r="I39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98" t="b">
        <f>((ISNUMBER(Table3[[#This Row],[Quantity]]) )* (Table3[[#This Row],[Quantity]]&gt;0))=1</f>
        <v>1</v>
      </c>
      <c r="K398" t="b">
        <f>((Table3[[#This Row],[Quantity]]&gt;=Table3[[#This Row],[Return Qty]])*(ISNUMBER(Table3[[#This Row],[Quantity]])))=1</f>
        <v>1</v>
      </c>
      <c r="L398" t="b">
        <f>ISNUMBER(Table3[[#This Row],[Unit Price]])</f>
        <v>1</v>
      </c>
      <c r="M398" t="b">
        <f>ISNUMBER(Table3[[#This Row],[Order Date]])</f>
        <v>1</v>
      </c>
      <c r="N398">
        <f>IFERROR(IF(Table3[[#This Row],[Quantity]]*Table3[[#This Row],[Unit Price]]&lt;0, "N/A", Table3[[#This Row],[Quantity]]*Table3[[#This Row],[Unit Price]]), "N/A")</f>
        <v>600000</v>
      </c>
      <c r="O398">
        <f>IFERROR(Table3[[#This Row],[Unit Price]]*Table3[[#This Row],[Return Qty]], "N/A")</f>
        <v>0</v>
      </c>
      <c r="P398">
        <f>IFERROR(IF((Table3[[#This Row],[Revenue before return]]-Table3[[#This Row],[Amount of order  returned]])&lt;0, "N/A", Table3[[#This Row],[Revenue before return]]-Table3[[#This Row],[Amount of order  returned]]), "N/A")</f>
        <v>600000</v>
      </c>
      <c r="Q39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399" spans="1:17" x14ac:dyDescent="0.2">
      <c r="A399" t="s">
        <v>696</v>
      </c>
      <c r="B399" t="s">
        <v>25</v>
      </c>
      <c r="C399" t="s">
        <v>26</v>
      </c>
      <c r="D399" s="6">
        <v>4</v>
      </c>
      <c r="E399" s="5">
        <v>20000</v>
      </c>
      <c r="F399" t="s">
        <v>134</v>
      </c>
      <c r="G399" s="7">
        <v>46051</v>
      </c>
      <c r="H399" s="5">
        <v>0</v>
      </c>
      <c r="I39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399" t="b">
        <f>((ISNUMBER(Table3[[#This Row],[Quantity]]) )* (Table3[[#This Row],[Quantity]]&gt;0))=1</f>
        <v>1</v>
      </c>
      <c r="K399" t="b">
        <f>((Table3[[#This Row],[Quantity]]&gt;=Table3[[#This Row],[Return Qty]])*(ISNUMBER(Table3[[#This Row],[Quantity]])))=1</f>
        <v>1</v>
      </c>
      <c r="L399" t="b">
        <f>ISNUMBER(Table3[[#This Row],[Unit Price]])</f>
        <v>1</v>
      </c>
      <c r="M399" t="b">
        <f>ISNUMBER(Table3[[#This Row],[Order Date]])</f>
        <v>1</v>
      </c>
      <c r="N399">
        <f>IFERROR(IF(Table3[[#This Row],[Quantity]]*Table3[[#This Row],[Unit Price]]&lt;0, "N/A", Table3[[#This Row],[Quantity]]*Table3[[#This Row],[Unit Price]]), "N/A")</f>
        <v>80000</v>
      </c>
      <c r="O399">
        <f>IFERROR(Table3[[#This Row],[Unit Price]]*Table3[[#This Row],[Return Qty]], "N/A")</f>
        <v>0</v>
      </c>
      <c r="P399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39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00" spans="1:17" x14ac:dyDescent="0.2">
      <c r="A400" t="s">
        <v>697</v>
      </c>
      <c r="B400" t="s">
        <v>14</v>
      </c>
      <c r="C400" t="s">
        <v>70</v>
      </c>
      <c r="D400" s="6">
        <v>21</v>
      </c>
      <c r="E400" s="5">
        <v>28000</v>
      </c>
      <c r="F400" t="s">
        <v>698</v>
      </c>
      <c r="G400" s="7">
        <v>46185</v>
      </c>
      <c r="H400" s="5">
        <v>5</v>
      </c>
      <c r="I40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00" t="b">
        <f>((ISNUMBER(Table3[[#This Row],[Quantity]]) )* (Table3[[#This Row],[Quantity]]&gt;0))=1</f>
        <v>1</v>
      </c>
      <c r="K400" t="b">
        <f>((Table3[[#This Row],[Quantity]]&gt;=Table3[[#This Row],[Return Qty]])*(ISNUMBER(Table3[[#This Row],[Quantity]])))=1</f>
        <v>1</v>
      </c>
      <c r="L400" t="b">
        <f>ISNUMBER(Table3[[#This Row],[Unit Price]])</f>
        <v>1</v>
      </c>
      <c r="M400" t="b">
        <f>ISNUMBER(Table3[[#This Row],[Order Date]])</f>
        <v>1</v>
      </c>
      <c r="N400">
        <f>IFERROR(IF(Table3[[#This Row],[Quantity]]*Table3[[#This Row],[Unit Price]]&lt;0, "N/A", Table3[[#This Row],[Quantity]]*Table3[[#This Row],[Unit Price]]), "N/A")</f>
        <v>588000</v>
      </c>
      <c r="O400">
        <f>IFERROR(Table3[[#This Row],[Unit Price]]*Table3[[#This Row],[Return Qty]], "N/A")</f>
        <v>140000</v>
      </c>
      <c r="P400">
        <f>IFERROR(IF((Table3[[#This Row],[Revenue before return]]-Table3[[#This Row],[Amount of order  returned]])&lt;0, "N/A", Table3[[#This Row],[Revenue before return]]-Table3[[#This Row],[Amount of order  returned]]), "N/A")</f>
        <v>448000</v>
      </c>
      <c r="Q40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01" spans="1:17" x14ac:dyDescent="0.2">
      <c r="A401" t="s">
        <v>699</v>
      </c>
      <c r="B401" t="s">
        <v>21</v>
      </c>
      <c r="C401" t="s">
        <v>26</v>
      </c>
      <c r="D401" s="6">
        <v>17</v>
      </c>
      <c r="E401" s="5">
        <v>20000</v>
      </c>
      <c r="F401" t="s">
        <v>410</v>
      </c>
      <c r="G401" s="7">
        <v>46100</v>
      </c>
      <c r="H401" s="5">
        <v>3</v>
      </c>
      <c r="I40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01" t="b">
        <f>((ISNUMBER(Table3[[#This Row],[Quantity]]) )* (Table3[[#This Row],[Quantity]]&gt;0))=1</f>
        <v>1</v>
      </c>
      <c r="K401" t="b">
        <f>((Table3[[#This Row],[Quantity]]&gt;=Table3[[#This Row],[Return Qty]])*(ISNUMBER(Table3[[#This Row],[Quantity]])))=1</f>
        <v>1</v>
      </c>
      <c r="L401" t="b">
        <f>ISNUMBER(Table3[[#This Row],[Unit Price]])</f>
        <v>1</v>
      </c>
      <c r="M401" t="b">
        <f>ISNUMBER(Table3[[#This Row],[Order Date]])</f>
        <v>1</v>
      </c>
      <c r="N401">
        <f>IFERROR(IF(Table3[[#This Row],[Quantity]]*Table3[[#This Row],[Unit Price]]&lt;0, "N/A", Table3[[#This Row],[Quantity]]*Table3[[#This Row],[Unit Price]]), "N/A")</f>
        <v>340000</v>
      </c>
      <c r="O401">
        <f>IFERROR(Table3[[#This Row],[Unit Price]]*Table3[[#This Row],[Return Qty]], "N/A")</f>
        <v>60000</v>
      </c>
      <c r="P401">
        <f>IFERROR(IF((Table3[[#This Row],[Revenue before return]]-Table3[[#This Row],[Amount of order  returned]])&lt;0, "N/A", Table3[[#This Row],[Revenue before return]]-Table3[[#This Row],[Amount of order  returned]]), "N/A")</f>
        <v>280000</v>
      </c>
      <c r="Q40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02" spans="1:17" x14ac:dyDescent="0.2">
      <c r="A402" t="s">
        <v>700</v>
      </c>
      <c r="B402" t="s">
        <v>21</v>
      </c>
      <c r="C402" t="s">
        <v>32</v>
      </c>
      <c r="D402" s="6">
        <v>25</v>
      </c>
      <c r="E402" s="5">
        <v>8000</v>
      </c>
      <c r="F402" t="s">
        <v>90</v>
      </c>
      <c r="G402" s="7">
        <v>46030</v>
      </c>
      <c r="H402" s="5">
        <v>0</v>
      </c>
      <c r="I40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02" t="b">
        <f>((ISNUMBER(Table3[[#This Row],[Quantity]]) )* (Table3[[#This Row],[Quantity]]&gt;0))=1</f>
        <v>1</v>
      </c>
      <c r="K402" t="b">
        <f>((Table3[[#This Row],[Quantity]]&gt;=Table3[[#This Row],[Return Qty]])*(ISNUMBER(Table3[[#This Row],[Quantity]])))=1</f>
        <v>1</v>
      </c>
      <c r="L402" t="b">
        <f>ISNUMBER(Table3[[#This Row],[Unit Price]])</f>
        <v>1</v>
      </c>
      <c r="M402" t="b">
        <f>ISNUMBER(Table3[[#This Row],[Order Date]])</f>
        <v>1</v>
      </c>
      <c r="N402">
        <f>IFERROR(IF(Table3[[#This Row],[Quantity]]*Table3[[#This Row],[Unit Price]]&lt;0, "N/A", Table3[[#This Row],[Quantity]]*Table3[[#This Row],[Unit Price]]), "N/A")</f>
        <v>200000</v>
      </c>
      <c r="O402">
        <f>IFERROR(Table3[[#This Row],[Unit Price]]*Table3[[#This Row],[Return Qty]], "N/A")</f>
        <v>0</v>
      </c>
      <c r="P402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40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03" spans="1:17" x14ac:dyDescent="0.2">
      <c r="A403" t="s">
        <v>701</v>
      </c>
      <c r="B403" t="s">
        <v>25</v>
      </c>
      <c r="C403" t="s">
        <v>32</v>
      </c>
      <c r="D403" s="6">
        <v>15</v>
      </c>
      <c r="E403" s="5">
        <v>8000</v>
      </c>
      <c r="F403" t="s">
        <v>228</v>
      </c>
      <c r="G403" s="7">
        <v>46057</v>
      </c>
      <c r="H403" s="5">
        <v>0</v>
      </c>
      <c r="I40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03" t="b">
        <f>((ISNUMBER(Table3[[#This Row],[Quantity]]) )* (Table3[[#This Row],[Quantity]]&gt;0))=1</f>
        <v>1</v>
      </c>
      <c r="K403" t="b">
        <f>((Table3[[#This Row],[Quantity]]&gt;=Table3[[#This Row],[Return Qty]])*(ISNUMBER(Table3[[#This Row],[Quantity]])))=1</f>
        <v>1</v>
      </c>
      <c r="L403" t="b">
        <f>ISNUMBER(Table3[[#This Row],[Unit Price]])</f>
        <v>1</v>
      </c>
      <c r="M403" t="b">
        <f>ISNUMBER(Table3[[#This Row],[Order Date]])</f>
        <v>1</v>
      </c>
      <c r="N403">
        <f>IFERROR(IF(Table3[[#This Row],[Quantity]]*Table3[[#This Row],[Unit Price]]&lt;0, "N/A", Table3[[#This Row],[Quantity]]*Table3[[#This Row],[Unit Price]]), "N/A")</f>
        <v>120000</v>
      </c>
      <c r="O403">
        <f>IFERROR(Table3[[#This Row],[Unit Price]]*Table3[[#This Row],[Return Qty]], "N/A")</f>
        <v>0</v>
      </c>
      <c r="P403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40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04" spans="1:17" x14ac:dyDescent="0.2">
      <c r="A404" t="s">
        <v>702</v>
      </c>
      <c r="B404" t="s">
        <v>21</v>
      </c>
      <c r="C404" t="s">
        <v>45</v>
      </c>
      <c r="D404" s="6">
        <v>10</v>
      </c>
      <c r="E404" s="5">
        <v>20000</v>
      </c>
      <c r="F404" t="s">
        <v>530</v>
      </c>
      <c r="G404" s="7">
        <v>46164</v>
      </c>
      <c r="H404" s="5">
        <v>0</v>
      </c>
      <c r="I40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04" t="b">
        <f>((ISNUMBER(Table3[[#This Row],[Quantity]]) )* (Table3[[#This Row],[Quantity]]&gt;0))=1</f>
        <v>1</v>
      </c>
      <c r="K404" t="b">
        <f>((Table3[[#This Row],[Quantity]]&gt;=Table3[[#This Row],[Return Qty]])*(ISNUMBER(Table3[[#This Row],[Quantity]])))=1</f>
        <v>1</v>
      </c>
      <c r="L404" t="b">
        <f>ISNUMBER(Table3[[#This Row],[Unit Price]])</f>
        <v>1</v>
      </c>
      <c r="M404" t="b">
        <f>ISNUMBER(Table3[[#This Row],[Order Date]])</f>
        <v>1</v>
      </c>
      <c r="N404">
        <f>IFERROR(IF(Table3[[#This Row],[Quantity]]*Table3[[#This Row],[Unit Price]]&lt;0, "N/A", Table3[[#This Row],[Quantity]]*Table3[[#This Row],[Unit Price]]), "N/A")</f>
        <v>200000</v>
      </c>
      <c r="O404">
        <f>IFERROR(Table3[[#This Row],[Unit Price]]*Table3[[#This Row],[Return Qty]], "N/A")</f>
        <v>0</v>
      </c>
      <c r="P404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40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05" spans="1:17" x14ac:dyDescent="0.2">
      <c r="A405" t="s">
        <v>703</v>
      </c>
      <c r="B405" t="s">
        <v>14</v>
      </c>
      <c r="C405" t="s">
        <v>70</v>
      </c>
      <c r="D405" s="6">
        <v>6</v>
      </c>
      <c r="E405" s="5">
        <v>28000</v>
      </c>
      <c r="F405" t="s">
        <v>412</v>
      </c>
      <c r="G405" s="7">
        <v>46113</v>
      </c>
      <c r="H405" s="5">
        <v>0</v>
      </c>
      <c r="I40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05" t="b">
        <f>((ISNUMBER(Table3[[#This Row],[Quantity]]) )* (Table3[[#This Row],[Quantity]]&gt;0))=1</f>
        <v>1</v>
      </c>
      <c r="K405" t="b">
        <f>((Table3[[#This Row],[Quantity]]&gt;=Table3[[#This Row],[Return Qty]])*(ISNUMBER(Table3[[#This Row],[Quantity]])))=1</f>
        <v>1</v>
      </c>
      <c r="L405" t="b">
        <f>ISNUMBER(Table3[[#This Row],[Unit Price]])</f>
        <v>1</v>
      </c>
      <c r="M405" t="b">
        <f>ISNUMBER(Table3[[#This Row],[Order Date]])</f>
        <v>1</v>
      </c>
      <c r="N405">
        <f>IFERROR(IF(Table3[[#This Row],[Quantity]]*Table3[[#This Row],[Unit Price]]&lt;0, "N/A", Table3[[#This Row],[Quantity]]*Table3[[#This Row],[Unit Price]]), "N/A")</f>
        <v>168000</v>
      </c>
      <c r="O405">
        <f>IFERROR(Table3[[#This Row],[Unit Price]]*Table3[[#This Row],[Return Qty]], "N/A")</f>
        <v>0</v>
      </c>
      <c r="P405">
        <f>IFERROR(IF((Table3[[#This Row],[Revenue before return]]-Table3[[#This Row],[Amount of order  returned]])&lt;0, "N/A", Table3[[#This Row],[Revenue before return]]-Table3[[#This Row],[Amount of order  returned]]), "N/A")</f>
        <v>168000</v>
      </c>
      <c r="Q40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06" spans="1:17" x14ac:dyDescent="0.2">
      <c r="A406" t="s">
        <v>704</v>
      </c>
      <c r="B406" t="s">
        <v>25</v>
      </c>
      <c r="C406" t="s">
        <v>22</v>
      </c>
      <c r="D406" s="6">
        <v>9</v>
      </c>
      <c r="E406" s="5">
        <v>35000</v>
      </c>
      <c r="F406" t="s">
        <v>173</v>
      </c>
      <c r="G406" s="7">
        <v>46059</v>
      </c>
      <c r="H406" s="5">
        <v>0</v>
      </c>
      <c r="I40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06" t="b">
        <f>((ISNUMBER(Table3[[#This Row],[Quantity]]) )* (Table3[[#This Row],[Quantity]]&gt;0))=1</f>
        <v>1</v>
      </c>
      <c r="K406" t="b">
        <f>((Table3[[#This Row],[Quantity]]&gt;=Table3[[#This Row],[Return Qty]])*(ISNUMBER(Table3[[#This Row],[Quantity]])))=1</f>
        <v>1</v>
      </c>
      <c r="L406" t="b">
        <f>ISNUMBER(Table3[[#This Row],[Unit Price]])</f>
        <v>1</v>
      </c>
      <c r="M406" t="b">
        <f>ISNUMBER(Table3[[#This Row],[Order Date]])</f>
        <v>1</v>
      </c>
      <c r="N406">
        <f>IFERROR(IF(Table3[[#This Row],[Quantity]]*Table3[[#This Row],[Unit Price]]&lt;0, "N/A", Table3[[#This Row],[Quantity]]*Table3[[#This Row],[Unit Price]]), "N/A")</f>
        <v>315000</v>
      </c>
      <c r="O406">
        <f>IFERROR(Table3[[#This Row],[Unit Price]]*Table3[[#This Row],[Return Qty]], "N/A")</f>
        <v>0</v>
      </c>
      <c r="P406">
        <f>IFERROR(IF((Table3[[#This Row],[Revenue before return]]-Table3[[#This Row],[Amount of order  returned]])&lt;0, "N/A", Table3[[#This Row],[Revenue before return]]-Table3[[#This Row],[Amount of order  returned]]), "N/A")</f>
        <v>315000</v>
      </c>
      <c r="Q40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07" spans="1:17" x14ac:dyDescent="0.2">
      <c r="A407" t="s">
        <v>705</v>
      </c>
      <c r="B407" t="s">
        <v>14</v>
      </c>
      <c r="C407" t="s">
        <v>10</v>
      </c>
      <c r="D407" s="6">
        <v>14</v>
      </c>
      <c r="E407" s="5">
        <v>15000</v>
      </c>
      <c r="F407" t="s">
        <v>572</v>
      </c>
      <c r="G407" s="7">
        <v>46200</v>
      </c>
      <c r="H407" s="5">
        <v>0</v>
      </c>
      <c r="I40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07" t="b">
        <f>((ISNUMBER(Table3[[#This Row],[Quantity]]) )* (Table3[[#This Row],[Quantity]]&gt;0))=1</f>
        <v>1</v>
      </c>
      <c r="K407" t="b">
        <f>((Table3[[#This Row],[Quantity]]&gt;=Table3[[#This Row],[Return Qty]])*(ISNUMBER(Table3[[#This Row],[Quantity]])))=1</f>
        <v>1</v>
      </c>
      <c r="L407" t="b">
        <f>ISNUMBER(Table3[[#This Row],[Unit Price]])</f>
        <v>1</v>
      </c>
      <c r="M407" t="b">
        <f>ISNUMBER(Table3[[#This Row],[Order Date]])</f>
        <v>1</v>
      </c>
      <c r="N407">
        <f>IFERROR(IF(Table3[[#This Row],[Quantity]]*Table3[[#This Row],[Unit Price]]&lt;0, "N/A", Table3[[#This Row],[Quantity]]*Table3[[#This Row],[Unit Price]]), "N/A")</f>
        <v>210000</v>
      </c>
      <c r="O407">
        <f>IFERROR(Table3[[#This Row],[Unit Price]]*Table3[[#This Row],[Return Qty]], "N/A")</f>
        <v>0</v>
      </c>
      <c r="P407">
        <f>IFERROR(IF((Table3[[#This Row],[Revenue before return]]-Table3[[#This Row],[Amount of order  returned]])&lt;0, "N/A", Table3[[#This Row],[Revenue before return]]-Table3[[#This Row],[Amount of order  returned]]), "N/A")</f>
        <v>210000</v>
      </c>
      <c r="Q40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08" spans="1:17" x14ac:dyDescent="0.2">
      <c r="A408" t="s">
        <v>706</v>
      </c>
      <c r="B408" t="s">
        <v>25</v>
      </c>
      <c r="C408" t="s">
        <v>26</v>
      </c>
      <c r="D408" s="6">
        <v>22</v>
      </c>
      <c r="E408" s="5">
        <v>20000</v>
      </c>
      <c r="F408" t="s">
        <v>707</v>
      </c>
      <c r="G408" s="7">
        <v>46102</v>
      </c>
      <c r="H408" s="5">
        <v>4</v>
      </c>
      <c r="I40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08" t="b">
        <f>((ISNUMBER(Table3[[#This Row],[Quantity]]) )* (Table3[[#This Row],[Quantity]]&gt;0))=1</f>
        <v>1</v>
      </c>
      <c r="K408" t="b">
        <f>((Table3[[#This Row],[Quantity]]&gt;=Table3[[#This Row],[Return Qty]])*(ISNUMBER(Table3[[#This Row],[Quantity]])))=1</f>
        <v>1</v>
      </c>
      <c r="L408" t="b">
        <f>ISNUMBER(Table3[[#This Row],[Unit Price]])</f>
        <v>1</v>
      </c>
      <c r="M408" t="b">
        <f>ISNUMBER(Table3[[#This Row],[Order Date]])</f>
        <v>1</v>
      </c>
      <c r="N408">
        <f>IFERROR(IF(Table3[[#This Row],[Quantity]]*Table3[[#This Row],[Unit Price]]&lt;0, "N/A", Table3[[#This Row],[Quantity]]*Table3[[#This Row],[Unit Price]]), "N/A")</f>
        <v>440000</v>
      </c>
      <c r="O408">
        <f>IFERROR(Table3[[#This Row],[Unit Price]]*Table3[[#This Row],[Return Qty]], "N/A")</f>
        <v>80000</v>
      </c>
      <c r="P408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40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09" spans="1:17" x14ac:dyDescent="0.2">
      <c r="A409" t="s">
        <v>708</v>
      </c>
      <c r="B409" t="s">
        <v>25</v>
      </c>
      <c r="C409" t="s">
        <v>45</v>
      </c>
      <c r="D409" s="6">
        <v>18</v>
      </c>
      <c r="E409" s="5">
        <v>20000</v>
      </c>
      <c r="F409" t="s">
        <v>452</v>
      </c>
      <c r="G409" s="7">
        <v>46118</v>
      </c>
      <c r="H409" s="5">
        <v>0</v>
      </c>
      <c r="I40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09" t="b">
        <f>((ISNUMBER(Table3[[#This Row],[Quantity]]) )* (Table3[[#This Row],[Quantity]]&gt;0))=1</f>
        <v>1</v>
      </c>
      <c r="K409" t="b">
        <f>((Table3[[#This Row],[Quantity]]&gt;=Table3[[#This Row],[Return Qty]])*(ISNUMBER(Table3[[#This Row],[Quantity]])))=1</f>
        <v>1</v>
      </c>
      <c r="L409" t="b">
        <f>ISNUMBER(Table3[[#This Row],[Unit Price]])</f>
        <v>1</v>
      </c>
      <c r="M409" t="b">
        <f>ISNUMBER(Table3[[#This Row],[Order Date]])</f>
        <v>1</v>
      </c>
      <c r="N409">
        <f>IFERROR(IF(Table3[[#This Row],[Quantity]]*Table3[[#This Row],[Unit Price]]&lt;0, "N/A", Table3[[#This Row],[Quantity]]*Table3[[#This Row],[Unit Price]]), "N/A")</f>
        <v>360000</v>
      </c>
      <c r="O409">
        <f>IFERROR(Table3[[#This Row],[Unit Price]]*Table3[[#This Row],[Return Qty]], "N/A")</f>
        <v>0</v>
      </c>
      <c r="P409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40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10" spans="1:17" x14ac:dyDescent="0.2">
      <c r="A410" t="s">
        <v>709</v>
      </c>
      <c r="B410" t="s">
        <v>14</v>
      </c>
      <c r="C410" t="s">
        <v>39</v>
      </c>
      <c r="D410" s="6">
        <v>22</v>
      </c>
      <c r="E410" s="5">
        <v>12000</v>
      </c>
      <c r="F410" t="s">
        <v>710</v>
      </c>
      <c r="G410" s="7">
        <v>46065</v>
      </c>
      <c r="H410" s="5">
        <v>0</v>
      </c>
      <c r="I41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10" t="b">
        <f>((ISNUMBER(Table3[[#This Row],[Quantity]]) )* (Table3[[#This Row],[Quantity]]&gt;0))=1</f>
        <v>1</v>
      </c>
      <c r="K410" t="b">
        <f>((Table3[[#This Row],[Quantity]]&gt;=Table3[[#This Row],[Return Qty]])*(ISNUMBER(Table3[[#This Row],[Quantity]])))=1</f>
        <v>1</v>
      </c>
      <c r="L410" t="b">
        <f>ISNUMBER(Table3[[#This Row],[Unit Price]])</f>
        <v>1</v>
      </c>
      <c r="M410" t="b">
        <f>ISNUMBER(Table3[[#This Row],[Order Date]])</f>
        <v>1</v>
      </c>
      <c r="N410">
        <f>IFERROR(IF(Table3[[#This Row],[Quantity]]*Table3[[#This Row],[Unit Price]]&lt;0, "N/A", Table3[[#This Row],[Quantity]]*Table3[[#This Row],[Unit Price]]), "N/A")</f>
        <v>264000</v>
      </c>
      <c r="O410">
        <f>IFERROR(Table3[[#This Row],[Unit Price]]*Table3[[#This Row],[Return Qty]], "N/A")</f>
        <v>0</v>
      </c>
      <c r="P410">
        <f>IFERROR(IF((Table3[[#This Row],[Revenue before return]]-Table3[[#This Row],[Amount of order  returned]])&lt;0, "N/A", Table3[[#This Row],[Revenue before return]]-Table3[[#This Row],[Amount of order  returned]]), "N/A")</f>
        <v>264000</v>
      </c>
      <c r="Q41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11" spans="1:17" x14ac:dyDescent="0.2">
      <c r="A411" t="s">
        <v>711</v>
      </c>
      <c r="B411" t="s">
        <v>14</v>
      </c>
      <c r="C411" t="s">
        <v>45</v>
      </c>
      <c r="D411" s="6">
        <v>23</v>
      </c>
      <c r="E411" s="5" t="s">
        <v>11</v>
      </c>
      <c r="F411" t="s">
        <v>712</v>
      </c>
      <c r="G411" s="7">
        <v>46038</v>
      </c>
      <c r="H411" s="5">
        <v>0</v>
      </c>
      <c r="I41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11" t="b">
        <f>((ISNUMBER(Table3[[#This Row],[Quantity]]) )* (Table3[[#This Row],[Quantity]]&gt;0))=1</f>
        <v>1</v>
      </c>
      <c r="K411" t="b">
        <f>((Table3[[#This Row],[Quantity]]&gt;=Table3[[#This Row],[Return Qty]])*(ISNUMBER(Table3[[#This Row],[Quantity]])))=1</f>
        <v>1</v>
      </c>
      <c r="L411" t="b">
        <f>ISNUMBER(Table3[[#This Row],[Unit Price]])</f>
        <v>0</v>
      </c>
      <c r="M411" t="b">
        <f>ISNUMBER(Table3[[#This Row],[Order Date]])</f>
        <v>1</v>
      </c>
      <c r="N411" t="str">
        <f>IFERROR(IF(Table3[[#This Row],[Quantity]]*Table3[[#This Row],[Unit Price]]&lt;0, "N/A", Table3[[#This Row],[Quantity]]*Table3[[#This Row],[Unit Price]]), "N/A")</f>
        <v>N/A</v>
      </c>
      <c r="O411" t="str">
        <f>IFERROR(Table3[[#This Row],[Unit Price]]*Table3[[#This Row],[Return Qty]], "N/A")</f>
        <v>N/A</v>
      </c>
      <c r="P411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41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12" spans="1:17" x14ac:dyDescent="0.2">
      <c r="A412" t="s">
        <v>713</v>
      </c>
      <c r="B412" t="s">
        <v>21</v>
      </c>
      <c r="C412" t="s">
        <v>70</v>
      </c>
      <c r="D412" s="6">
        <v>5</v>
      </c>
      <c r="E412" s="5">
        <v>28000</v>
      </c>
      <c r="F412" t="s">
        <v>523</v>
      </c>
      <c r="G412" s="7">
        <v>46173</v>
      </c>
      <c r="H412" s="5">
        <v>0</v>
      </c>
      <c r="I41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12" t="b">
        <f>((ISNUMBER(Table3[[#This Row],[Quantity]]) )* (Table3[[#This Row],[Quantity]]&gt;0))=1</f>
        <v>1</v>
      </c>
      <c r="K412" t="b">
        <f>((Table3[[#This Row],[Quantity]]&gt;=Table3[[#This Row],[Return Qty]])*(ISNUMBER(Table3[[#This Row],[Quantity]])))=1</f>
        <v>1</v>
      </c>
      <c r="L412" t="b">
        <f>ISNUMBER(Table3[[#This Row],[Unit Price]])</f>
        <v>1</v>
      </c>
      <c r="M412" t="b">
        <f>ISNUMBER(Table3[[#This Row],[Order Date]])</f>
        <v>1</v>
      </c>
      <c r="N412">
        <f>IFERROR(IF(Table3[[#This Row],[Quantity]]*Table3[[#This Row],[Unit Price]]&lt;0, "N/A", Table3[[#This Row],[Quantity]]*Table3[[#This Row],[Unit Price]]), "N/A")</f>
        <v>140000</v>
      </c>
      <c r="O412">
        <f>IFERROR(Table3[[#This Row],[Unit Price]]*Table3[[#This Row],[Return Qty]], "N/A")</f>
        <v>0</v>
      </c>
      <c r="P412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41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13" spans="1:17" x14ac:dyDescent="0.2">
      <c r="A413" t="s">
        <v>714</v>
      </c>
      <c r="B413" t="s">
        <v>21</v>
      </c>
      <c r="C413" t="s">
        <v>22</v>
      </c>
      <c r="D413" s="6">
        <v>16</v>
      </c>
      <c r="E413" s="5">
        <v>35000</v>
      </c>
      <c r="F413" t="s">
        <v>151</v>
      </c>
      <c r="G413" s="7">
        <v>46030</v>
      </c>
      <c r="H413" s="5">
        <v>0</v>
      </c>
      <c r="I41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13" t="b">
        <f>((ISNUMBER(Table3[[#This Row],[Quantity]]) )* (Table3[[#This Row],[Quantity]]&gt;0))=1</f>
        <v>1</v>
      </c>
      <c r="K413" t="b">
        <f>((Table3[[#This Row],[Quantity]]&gt;=Table3[[#This Row],[Return Qty]])*(ISNUMBER(Table3[[#This Row],[Quantity]])))=1</f>
        <v>1</v>
      </c>
      <c r="L413" t="b">
        <f>ISNUMBER(Table3[[#This Row],[Unit Price]])</f>
        <v>1</v>
      </c>
      <c r="M413" t="b">
        <f>ISNUMBER(Table3[[#This Row],[Order Date]])</f>
        <v>1</v>
      </c>
      <c r="N413">
        <f>IFERROR(IF(Table3[[#This Row],[Quantity]]*Table3[[#This Row],[Unit Price]]&lt;0, "N/A", Table3[[#This Row],[Quantity]]*Table3[[#This Row],[Unit Price]]), "N/A")</f>
        <v>560000</v>
      </c>
      <c r="O413">
        <f>IFERROR(Table3[[#This Row],[Unit Price]]*Table3[[#This Row],[Return Qty]], "N/A")</f>
        <v>0</v>
      </c>
      <c r="P413">
        <f>IFERROR(IF((Table3[[#This Row],[Revenue before return]]-Table3[[#This Row],[Amount of order  returned]])&lt;0, "N/A", Table3[[#This Row],[Revenue before return]]-Table3[[#This Row],[Amount of order  returned]]), "N/A")</f>
        <v>560000</v>
      </c>
      <c r="Q41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14" spans="1:17" x14ac:dyDescent="0.2">
      <c r="A414" t="s">
        <v>715</v>
      </c>
      <c r="B414" t="s">
        <v>14</v>
      </c>
      <c r="C414" t="s">
        <v>10</v>
      </c>
      <c r="D414" s="6">
        <v>16</v>
      </c>
      <c r="E414" s="5">
        <v>15000</v>
      </c>
      <c r="F414" t="s">
        <v>716</v>
      </c>
      <c r="G414" s="7">
        <v>46031</v>
      </c>
      <c r="H414" s="5">
        <v>0</v>
      </c>
      <c r="I41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14" t="b">
        <f>((ISNUMBER(Table3[[#This Row],[Quantity]]) )* (Table3[[#This Row],[Quantity]]&gt;0))=1</f>
        <v>1</v>
      </c>
      <c r="K414" t="b">
        <f>((Table3[[#This Row],[Quantity]]&gt;=Table3[[#This Row],[Return Qty]])*(ISNUMBER(Table3[[#This Row],[Quantity]])))=1</f>
        <v>1</v>
      </c>
      <c r="L414" t="b">
        <f>ISNUMBER(Table3[[#This Row],[Unit Price]])</f>
        <v>1</v>
      </c>
      <c r="M414" t="b">
        <f>ISNUMBER(Table3[[#This Row],[Order Date]])</f>
        <v>1</v>
      </c>
      <c r="N414">
        <f>IFERROR(IF(Table3[[#This Row],[Quantity]]*Table3[[#This Row],[Unit Price]]&lt;0, "N/A", Table3[[#This Row],[Quantity]]*Table3[[#This Row],[Unit Price]]), "N/A")</f>
        <v>240000</v>
      </c>
      <c r="O414">
        <f>IFERROR(Table3[[#This Row],[Unit Price]]*Table3[[#This Row],[Return Qty]], "N/A")</f>
        <v>0</v>
      </c>
      <c r="P414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41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15" spans="1:17" x14ac:dyDescent="0.2">
      <c r="A415" t="s">
        <v>717</v>
      </c>
      <c r="B415" t="s">
        <v>14</v>
      </c>
      <c r="C415" t="s">
        <v>39</v>
      </c>
      <c r="D415" s="6">
        <v>4</v>
      </c>
      <c r="E415" s="5">
        <v>12000</v>
      </c>
      <c r="F415" t="s">
        <v>667</v>
      </c>
      <c r="G415" s="7">
        <v>46190</v>
      </c>
      <c r="H415" s="5">
        <v>0</v>
      </c>
      <c r="I41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15" t="b">
        <f>((ISNUMBER(Table3[[#This Row],[Quantity]]) )* (Table3[[#This Row],[Quantity]]&gt;0))=1</f>
        <v>1</v>
      </c>
      <c r="K415" t="b">
        <f>((Table3[[#This Row],[Quantity]]&gt;=Table3[[#This Row],[Return Qty]])*(ISNUMBER(Table3[[#This Row],[Quantity]])))=1</f>
        <v>1</v>
      </c>
      <c r="L415" t="b">
        <f>ISNUMBER(Table3[[#This Row],[Unit Price]])</f>
        <v>1</v>
      </c>
      <c r="M415" t="b">
        <f>ISNUMBER(Table3[[#This Row],[Order Date]])</f>
        <v>1</v>
      </c>
      <c r="N415">
        <f>IFERROR(IF(Table3[[#This Row],[Quantity]]*Table3[[#This Row],[Unit Price]]&lt;0, "N/A", Table3[[#This Row],[Quantity]]*Table3[[#This Row],[Unit Price]]), "N/A")</f>
        <v>48000</v>
      </c>
      <c r="O415">
        <f>IFERROR(Table3[[#This Row],[Unit Price]]*Table3[[#This Row],[Return Qty]], "N/A")</f>
        <v>0</v>
      </c>
      <c r="P415">
        <f>IFERROR(IF((Table3[[#This Row],[Revenue before return]]-Table3[[#This Row],[Amount of order  returned]])&lt;0, "N/A", Table3[[#This Row],[Revenue before return]]-Table3[[#This Row],[Amount of order  returned]]), "N/A")</f>
        <v>48000</v>
      </c>
      <c r="Q41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16" spans="1:17" x14ac:dyDescent="0.2">
      <c r="A416" t="s">
        <v>718</v>
      </c>
      <c r="B416" t="s">
        <v>21</v>
      </c>
      <c r="C416" t="s">
        <v>26</v>
      </c>
      <c r="D416" s="6">
        <v>6</v>
      </c>
      <c r="E416" s="5">
        <v>20000</v>
      </c>
      <c r="F416" t="s">
        <v>719</v>
      </c>
      <c r="G416" s="7">
        <v>46179</v>
      </c>
      <c r="H416" s="5">
        <v>0</v>
      </c>
      <c r="I41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16" t="b">
        <f>((ISNUMBER(Table3[[#This Row],[Quantity]]) )* (Table3[[#This Row],[Quantity]]&gt;0))=1</f>
        <v>1</v>
      </c>
      <c r="K416" t="b">
        <f>((Table3[[#This Row],[Quantity]]&gt;=Table3[[#This Row],[Return Qty]])*(ISNUMBER(Table3[[#This Row],[Quantity]])))=1</f>
        <v>1</v>
      </c>
      <c r="L416" t="b">
        <f>ISNUMBER(Table3[[#This Row],[Unit Price]])</f>
        <v>1</v>
      </c>
      <c r="M416" t="b">
        <f>ISNUMBER(Table3[[#This Row],[Order Date]])</f>
        <v>1</v>
      </c>
      <c r="N416">
        <f>IFERROR(IF(Table3[[#This Row],[Quantity]]*Table3[[#This Row],[Unit Price]]&lt;0, "N/A", Table3[[#This Row],[Quantity]]*Table3[[#This Row],[Unit Price]]), "N/A")</f>
        <v>120000</v>
      </c>
      <c r="O416">
        <f>IFERROR(Table3[[#This Row],[Unit Price]]*Table3[[#This Row],[Return Qty]], "N/A")</f>
        <v>0</v>
      </c>
      <c r="P416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41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17" spans="1:17" x14ac:dyDescent="0.2">
      <c r="A417" t="s">
        <v>721</v>
      </c>
      <c r="B417" t="s">
        <v>21</v>
      </c>
      <c r="C417" t="s">
        <v>18</v>
      </c>
      <c r="D417" s="6">
        <v>23</v>
      </c>
      <c r="E417" s="5">
        <v>50000</v>
      </c>
      <c r="F417" t="s">
        <v>406</v>
      </c>
      <c r="G417" s="7">
        <v>46120</v>
      </c>
      <c r="H417" s="5">
        <v>0</v>
      </c>
      <c r="I41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17" t="b">
        <f>((ISNUMBER(Table3[[#This Row],[Quantity]]) )* (Table3[[#This Row],[Quantity]]&gt;0))=1</f>
        <v>1</v>
      </c>
      <c r="K417" t="b">
        <f>((Table3[[#This Row],[Quantity]]&gt;=Table3[[#This Row],[Return Qty]])*(ISNUMBER(Table3[[#This Row],[Quantity]])))=1</f>
        <v>1</v>
      </c>
      <c r="L417" t="b">
        <f>ISNUMBER(Table3[[#This Row],[Unit Price]])</f>
        <v>1</v>
      </c>
      <c r="M417" t="b">
        <f>ISNUMBER(Table3[[#This Row],[Order Date]])</f>
        <v>1</v>
      </c>
      <c r="N417">
        <f>IFERROR(IF(Table3[[#This Row],[Quantity]]*Table3[[#This Row],[Unit Price]]&lt;0, "N/A", Table3[[#This Row],[Quantity]]*Table3[[#This Row],[Unit Price]]), "N/A")</f>
        <v>1150000</v>
      </c>
      <c r="O417">
        <f>IFERROR(Table3[[#This Row],[Unit Price]]*Table3[[#This Row],[Return Qty]], "N/A")</f>
        <v>0</v>
      </c>
      <c r="P417">
        <f>IFERROR(IF((Table3[[#This Row],[Revenue before return]]-Table3[[#This Row],[Amount of order  returned]])&lt;0, "N/A", Table3[[#This Row],[Revenue before return]]-Table3[[#This Row],[Amount of order  returned]]), "N/A")</f>
        <v>1150000</v>
      </c>
      <c r="Q41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18" spans="1:17" x14ac:dyDescent="0.2">
      <c r="A418" t="s">
        <v>722</v>
      </c>
      <c r="B418" t="s">
        <v>14</v>
      </c>
      <c r="C418" t="s">
        <v>18</v>
      </c>
      <c r="D418" s="6">
        <v>23</v>
      </c>
      <c r="E418" s="5">
        <v>50000</v>
      </c>
      <c r="F418" t="s">
        <v>716</v>
      </c>
      <c r="G418" s="7">
        <v>46053</v>
      </c>
      <c r="H418" s="5">
        <v>0</v>
      </c>
      <c r="I41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18" t="b">
        <f>((ISNUMBER(Table3[[#This Row],[Quantity]]) )* (Table3[[#This Row],[Quantity]]&gt;0))=1</f>
        <v>1</v>
      </c>
      <c r="K418" t="b">
        <f>((Table3[[#This Row],[Quantity]]&gt;=Table3[[#This Row],[Return Qty]])*(ISNUMBER(Table3[[#This Row],[Quantity]])))=1</f>
        <v>1</v>
      </c>
      <c r="L418" t="b">
        <f>ISNUMBER(Table3[[#This Row],[Unit Price]])</f>
        <v>1</v>
      </c>
      <c r="M418" t="b">
        <f>ISNUMBER(Table3[[#This Row],[Order Date]])</f>
        <v>1</v>
      </c>
      <c r="N418">
        <f>IFERROR(IF(Table3[[#This Row],[Quantity]]*Table3[[#This Row],[Unit Price]]&lt;0, "N/A", Table3[[#This Row],[Quantity]]*Table3[[#This Row],[Unit Price]]), "N/A")</f>
        <v>1150000</v>
      </c>
      <c r="O418">
        <f>IFERROR(Table3[[#This Row],[Unit Price]]*Table3[[#This Row],[Return Qty]], "N/A")</f>
        <v>0</v>
      </c>
      <c r="P418">
        <f>IFERROR(IF((Table3[[#This Row],[Revenue before return]]-Table3[[#This Row],[Amount of order  returned]])&lt;0, "N/A", Table3[[#This Row],[Revenue before return]]-Table3[[#This Row],[Amount of order  returned]]), "N/A")</f>
        <v>1150000</v>
      </c>
      <c r="Q41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19" spans="1:17" x14ac:dyDescent="0.2">
      <c r="A419" t="s">
        <v>723</v>
      </c>
      <c r="B419" t="s">
        <v>14</v>
      </c>
      <c r="C419" t="s">
        <v>45</v>
      </c>
      <c r="D419" s="6">
        <v>9</v>
      </c>
      <c r="E419" s="5">
        <v>20000</v>
      </c>
      <c r="F419" t="s">
        <v>161</v>
      </c>
      <c r="G419" s="7" t="s">
        <v>11</v>
      </c>
      <c r="H419" s="5">
        <v>0</v>
      </c>
      <c r="I41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19" t="b">
        <f>((ISNUMBER(Table3[[#This Row],[Quantity]]) )* (Table3[[#This Row],[Quantity]]&gt;0))=1</f>
        <v>1</v>
      </c>
      <c r="K419" t="b">
        <f>((Table3[[#This Row],[Quantity]]&gt;=Table3[[#This Row],[Return Qty]])*(ISNUMBER(Table3[[#This Row],[Quantity]])))=1</f>
        <v>1</v>
      </c>
      <c r="L419" t="b">
        <f>ISNUMBER(Table3[[#This Row],[Unit Price]])</f>
        <v>1</v>
      </c>
      <c r="M419" t="b">
        <f>ISNUMBER(Table3[[#This Row],[Order Date]])</f>
        <v>0</v>
      </c>
      <c r="N419">
        <f>IFERROR(IF(Table3[[#This Row],[Quantity]]*Table3[[#This Row],[Unit Price]]&lt;0, "N/A", Table3[[#This Row],[Quantity]]*Table3[[#This Row],[Unit Price]]), "N/A")</f>
        <v>180000</v>
      </c>
      <c r="O419">
        <f>IFERROR(Table3[[#This Row],[Unit Price]]*Table3[[#This Row],[Return Qty]], "N/A")</f>
        <v>0</v>
      </c>
      <c r="P419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41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20" spans="1:17" x14ac:dyDescent="0.2">
      <c r="A420" t="s">
        <v>725</v>
      </c>
      <c r="B420" t="s">
        <v>21</v>
      </c>
      <c r="C420" t="s">
        <v>45</v>
      </c>
      <c r="D420" s="6">
        <v>11</v>
      </c>
      <c r="E420" s="5">
        <v>20000</v>
      </c>
      <c r="F420" t="s">
        <v>253</v>
      </c>
      <c r="G420" s="7">
        <v>46097</v>
      </c>
      <c r="H420" s="5">
        <v>0</v>
      </c>
      <c r="I42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20" t="b">
        <f>((ISNUMBER(Table3[[#This Row],[Quantity]]) )* (Table3[[#This Row],[Quantity]]&gt;0))=1</f>
        <v>1</v>
      </c>
      <c r="K420" t="b">
        <f>((Table3[[#This Row],[Quantity]]&gt;=Table3[[#This Row],[Return Qty]])*(ISNUMBER(Table3[[#This Row],[Quantity]])))=1</f>
        <v>1</v>
      </c>
      <c r="L420" t="b">
        <f>ISNUMBER(Table3[[#This Row],[Unit Price]])</f>
        <v>1</v>
      </c>
      <c r="M420" t="b">
        <f>ISNUMBER(Table3[[#This Row],[Order Date]])</f>
        <v>1</v>
      </c>
      <c r="N420">
        <f>IFERROR(IF(Table3[[#This Row],[Quantity]]*Table3[[#This Row],[Unit Price]]&lt;0, "N/A", Table3[[#This Row],[Quantity]]*Table3[[#This Row],[Unit Price]]), "N/A")</f>
        <v>220000</v>
      </c>
      <c r="O420">
        <f>IFERROR(Table3[[#This Row],[Unit Price]]*Table3[[#This Row],[Return Qty]], "N/A")</f>
        <v>0</v>
      </c>
      <c r="P420">
        <f>IFERROR(IF((Table3[[#This Row],[Revenue before return]]-Table3[[#This Row],[Amount of order  returned]])&lt;0, "N/A", Table3[[#This Row],[Revenue before return]]-Table3[[#This Row],[Amount of order  returned]]), "N/A")</f>
        <v>220000</v>
      </c>
      <c r="Q42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21" spans="1:17" x14ac:dyDescent="0.2">
      <c r="A421" t="s">
        <v>726</v>
      </c>
      <c r="B421" t="s">
        <v>25</v>
      </c>
      <c r="C421" t="s">
        <v>39</v>
      </c>
      <c r="D421" s="6">
        <v>10</v>
      </c>
      <c r="E421" s="5">
        <v>12000</v>
      </c>
      <c r="F421" t="s">
        <v>664</v>
      </c>
      <c r="G421" s="7">
        <v>46196</v>
      </c>
      <c r="H421" s="5">
        <v>0</v>
      </c>
      <c r="I42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21" t="b">
        <f>((ISNUMBER(Table3[[#This Row],[Quantity]]) )* (Table3[[#This Row],[Quantity]]&gt;0))=1</f>
        <v>1</v>
      </c>
      <c r="K421" t="b">
        <f>((Table3[[#This Row],[Quantity]]&gt;=Table3[[#This Row],[Return Qty]])*(ISNUMBER(Table3[[#This Row],[Quantity]])))=1</f>
        <v>1</v>
      </c>
      <c r="L421" t="b">
        <f>ISNUMBER(Table3[[#This Row],[Unit Price]])</f>
        <v>1</v>
      </c>
      <c r="M421" t="b">
        <f>ISNUMBER(Table3[[#This Row],[Order Date]])</f>
        <v>1</v>
      </c>
      <c r="N421">
        <f>IFERROR(IF(Table3[[#This Row],[Quantity]]*Table3[[#This Row],[Unit Price]]&lt;0, "N/A", Table3[[#This Row],[Quantity]]*Table3[[#This Row],[Unit Price]]), "N/A")</f>
        <v>120000</v>
      </c>
      <c r="O421">
        <f>IFERROR(Table3[[#This Row],[Unit Price]]*Table3[[#This Row],[Return Qty]], "N/A")</f>
        <v>0</v>
      </c>
      <c r="P421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42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22" spans="1:17" x14ac:dyDescent="0.2">
      <c r="A422" t="s">
        <v>727</v>
      </c>
      <c r="B422" t="s">
        <v>14</v>
      </c>
      <c r="C422" t="s">
        <v>18</v>
      </c>
      <c r="D422" s="6" t="s">
        <v>11</v>
      </c>
      <c r="E422" s="5">
        <v>50000</v>
      </c>
      <c r="F422" t="s">
        <v>246</v>
      </c>
      <c r="G422" s="7">
        <v>46170</v>
      </c>
      <c r="H422" s="5">
        <v>4</v>
      </c>
      <c r="I42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22" t="b">
        <f>((ISNUMBER(Table3[[#This Row],[Quantity]]) )* (Table3[[#This Row],[Quantity]]&gt;0))=1</f>
        <v>0</v>
      </c>
      <c r="K422" t="b">
        <f>((Table3[[#This Row],[Quantity]]&gt;=Table3[[#This Row],[Return Qty]])*(ISNUMBER(Table3[[#This Row],[Quantity]])))=1</f>
        <v>0</v>
      </c>
      <c r="L422" t="b">
        <f>ISNUMBER(Table3[[#This Row],[Unit Price]])</f>
        <v>1</v>
      </c>
      <c r="M422" t="b">
        <f>ISNUMBER(Table3[[#This Row],[Order Date]])</f>
        <v>1</v>
      </c>
      <c r="N422" t="str">
        <f>IFERROR(IF(Table3[[#This Row],[Quantity]]*Table3[[#This Row],[Unit Price]]&lt;0, "N/A", Table3[[#This Row],[Quantity]]*Table3[[#This Row],[Unit Price]]), "N/A")</f>
        <v>N/A</v>
      </c>
      <c r="O422">
        <f>IFERROR(Table3[[#This Row],[Unit Price]]*Table3[[#This Row],[Return Qty]], "N/A")</f>
        <v>200000</v>
      </c>
      <c r="P422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42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23" spans="1:17" x14ac:dyDescent="0.2">
      <c r="A423" t="s">
        <v>728</v>
      </c>
      <c r="B423" t="s">
        <v>25</v>
      </c>
      <c r="C423" t="s">
        <v>10</v>
      </c>
      <c r="D423" s="6">
        <v>7</v>
      </c>
      <c r="E423" s="5">
        <v>15000</v>
      </c>
      <c r="F423" t="s">
        <v>90</v>
      </c>
      <c r="G423" s="7">
        <v>46095</v>
      </c>
      <c r="H423" s="5">
        <v>0</v>
      </c>
      <c r="I42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23" t="b">
        <f>((ISNUMBER(Table3[[#This Row],[Quantity]]) )* (Table3[[#This Row],[Quantity]]&gt;0))=1</f>
        <v>1</v>
      </c>
      <c r="K423" t="b">
        <f>((Table3[[#This Row],[Quantity]]&gt;=Table3[[#This Row],[Return Qty]])*(ISNUMBER(Table3[[#This Row],[Quantity]])))=1</f>
        <v>1</v>
      </c>
      <c r="L423" t="b">
        <f>ISNUMBER(Table3[[#This Row],[Unit Price]])</f>
        <v>1</v>
      </c>
      <c r="M423" t="b">
        <f>ISNUMBER(Table3[[#This Row],[Order Date]])</f>
        <v>1</v>
      </c>
      <c r="N423">
        <f>IFERROR(IF(Table3[[#This Row],[Quantity]]*Table3[[#This Row],[Unit Price]]&lt;0, "N/A", Table3[[#This Row],[Quantity]]*Table3[[#This Row],[Unit Price]]), "N/A")</f>
        <v>105000</v>
      </c>
      <c r="O423">
        <f>IFERROR(Table3[[#This Row],[Unit Price]]*Table3[[#This Row],[Return Qty]], "N/A")</f>
        <v>0</v>
      </c>
      <c r="P423">
        <f>IFERROR(IF((Table3[[#This Row],[Revenue before return]]-Table3[[#This Row],[Amount of order  returned]])&lt;0, "N/A", Table3[[#This Row],[Revenue before return]]-Table3[[#This Row],[Amount of order  returned]]), "N/A")</f>
        <v>105000</v>
      </c>
      <c r="Q42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24" spans="1:17" x14ac:dyDescent="0.2">
      <c r="A424" t="s">
        <v>729</v>
      </c>
      <c r="B424" t="s">
        <v>136</v>
      </c>
      <c r="C424" t="s">
        <v>10</v>
      </c>
      <c r="D424" s="6">
        <v>4</v>
      </c>
      <c r="E424" s="5">
        <v>15000</v>
      </c>
      <c r="F424" t="s">
        <v>730</v>
      </c>
      <c r="G424" s="7">
        <v>46077</v>
      </c>
      <c r="H424" s="5">
        <v>0</v>
      </c>
      <c r="I42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24" t="b">
        <f>((ISNUMBER(Table3[[#This Row],[Quantity]]) )* (Table3[[#This Row],[Quantity]]&gt;0))=1</f>
        <v>1</v>
      </c>
      <c r="K424" t="b">
        <f>((Table3[[#This Row],[Quantity]]&gt;=Table3[[#This Row],[Return Qty]])*(ISNUMBER(Table3[[#This Row],[Quantity]])))=1</f>
        <v>1</v>
      </c>
      <c r="L424" t="b">
        <f>ISNUMBER(Table3[[#This Row],[Unit Price]])</f>
        <v>1</v>
      </c>
      <c r="M424" t="b">
        <f>ISNUMBER(Table3[[#This Row],[Order Date]])</f>
        <v>1</v>
      </c>
      <c r="N424">
        <f>IFERROR(IF(Table3[[#This Row],[Quantity]]*Table3[[#This Row],[Unit Price]]&lt;0, "N/A", Table3[[#This Row],[Quantity]]*Table3[[#This Row],[Unit Price]]), "N/A")</f>
        <v>60000</v>
      </c>
      <c r="O424">
        <f>IFERROR(Table3[[#This Row],[Unit Price]]*Table3[[#This Row],[Return Qty]], "N/A")</f>
        <v>0</v>
      </c>
      <c r="P424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42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25" spans="1:17" x14ac:dyDescent="0.2">
      <c r="A425" t="s">
        <v>731</v>
      </c>
      <c r="B425" t="s">
        <v>185</v>
      </c>
      <c r="C425" t="s">
        <v>10</v>
      </c>
      <c r="D425" s="6">
        <v>16</v>
      </c>
      <c r="E425" s="5">
        <v>15000</v>
      </c>
      <c r="F425" t="s">
        <v>732</v>
      </c>
      <c r="G425" s="7">
        <v>46148</v>
      </c>
      <c r="H425" s="5">
        <v>2</v>
      </c>
      <c r="I42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25" t="b">
        <f>((ISNUMBER(Table3[[#This Row],[Quantity]]) )* (Table3[[#This Row],[Quantity]]&gt;0))=1</f>
        <v>1</v>
      </c>
      <c r="K425" t="b">
        <f>((Table3[[#This Row],[Quantity]]&gt;=Table3[[#This Row],[Return Qty]])*(ISNUMBER(Table3[[#This Row],[Quantity]])))=1</f>
        <v>1</v>
      </c>
      <c r="L425" t="b">
        <f>ISNUMBER(Table3[[#This Row],[Unit Price]])</f>
        <v>1</v>
      </c>
      <c r="M425" t="b">
        <f>ISNUMBER(Table3[[#This Row],[Order Date]])</f>
        <v>1</v>
      </c>
      <c r="N425">
        <f>IFERROR(IF(Table3[[#This Row],[Quantity]]*Table3[[#This Row],[Unit Price]]&lt;0, "N/A", Table3[[#This Row],[Quantity]]*Table3[[#This Row],[Unit Price]]), "N/A")</f>
        <v>240000</v>
      </c>
      <c r="O425">
        <f>IFERROR(Table3[[#This Row],[Unit Price]]*Table3[[#This Row],[Return Qty]], "N/A")</f>
        <v>30000</v>
      </c>
      <c r="P425">
        <f>IFERROR(IF((Table3[[#This Row],[Revenue before return]]-Table3[[#This Row],[Amount of order  returned]])&lt;0, "N/A", Table3[[#This Row],[Revenue before return]]-Table3[[#This Row],[Amount of order  returned]]), "N/A")</f>
        <v>210000</v>
      </c>
      <c r="Q42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26" spans="1:17" x14ac:dyDescent="0.2">
      <c r="A426" t="s">
        <v>733</v>
      </c>
      <c r="B426" t="s">
        <v>21</v>
      </c>
      <c r="C426" t="s">
        <v>26</v>
      </c>
      <c r="D426" s="6">
        <v>1</v>
      </c>
      <c r="E426" s="5">
        <v>20000</v>
      </c>
      <c r="F426" t="s">
        <v>554</v>
      </c>
      <c r="G426" s="7">
        <v>46054</v>
      </c>
      <c r="H426" s="5">
        <v>1</v>
      </c>
      <c r="I42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26" t="b">
        <f>((ISNUMBER(Table3[[#This Row],[Quantity]]) )* (Table3[[#This Row],[Quantity]]&gt;0))=1</f>
        <v>1</v>
      </c>
      <c r="K426" t="b">
        <f>((Table3[[#This Row],[Quantity]]&gt;=Table3[[#This Row],[Return Qty]])*(ISNUMBER(Table3[[#This Row],[Quantity]])))=1</f>
        <v>1</v>
      </c>
      <c r="L426" t="b">
        <f>ISNUMBER(Table3[[#This Row],[Unit Price]])</f>
        <v>1</v>
      </c>
      <c r="M426" t="b">
        <f>ISNUMBER(Table3[[#This Row],[Order Date]])</f>
        <v>1</v>
      </c>
      <c r="N426">
        <f>IFERROR(IF(Table3[[#This Row],[Quantity]]*Table3[[#This Row],[Unit Price]]&lt;0, "N/A", Table3[[#This Row],[Quantity]]*Table3[[#This Row],[Unit Price]]), "N/A")</f>
        <v>20000</v>
      </c>
      <c r="O426">
        <f>IFERROR(Table3[[#This Row],[Unit Price]]*Table3[[#This Row],[Return Qty]], "N/A")</f>
        <v>20000</v>
      </c>
      <c r="P426">
        <f>IFERROR(IF((Table3[[#This Row],[Revenue before return]]-Table3[[#This Row],[Amount of order  returned]])&lt;0, "N/A", Table3[[#This Row],[Revenue before return]]-Table3[[#This Row],[Amount of order  returned]]), "N/A")</f>
        <v>0</v>
      </c>
      <c r="Q42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27" spans="1:17" x14ac:dyDescent="0.2">
      <c r="A427" t="s">
        <v>734</v>
      </c>
      <c r="B427" t="s">
        <v>136</v>
      </c>
      <c r="C427" t="s">
        <v>39</v>
      </c>
      <c r="D427" s="6">
        <v>25</v>
      </c>
      <c r="E427" s="5">
        <v>6000</v>
      </c>
      <c r="F427" t="s">
        <v>646</v>
      </c>
      <c r="G427" s="7">
        <v>46098</v>
      </c>
      <c r="H427" s="5">
        <v>0</v>
      </c>
      <c r="I42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27" t="b">
        <f>((ISNUMBER(Table3[[#This Row],[Quantity]]) )* (Table3[[#This Row],[Quantity]]&gt;0))=1</f>
        <v>1</v>
      </c>
      <c r="K427" t="b">
        <f>((Table3[[#This Row],[Quantity]]&gt;=Table3[[#This Row],[Return Qty]])*(ISNUMBER(Table3[[#This Row],[Quantity]])))=1</f>
        <v>1</v>
      </c>
      <c r="L427" t="b">
        <f>ISNUMBER(Table3[[#This Row],[Unit Price]])</f>
        <v>1</v>
      </c>
      <c r="M427" t="b">
        <f>ISNUMBER(Table3[[#This Row],[Order Date]])</f>
        <v>1</v>
      </c>
      <c r="N427">
        <f>IFERROR(IF(Table3[[#This Row],[Quantity]]*Table3[[#This Row],[Unit Price]]&lt;0, "N/A", Table3[[#This Row],[Quantity]]*Table3[[#This Row],[Unit Price]]), "N/A")</f>
        <v>150000</v>
      </c>
      <c r="O427">
        <f>IFERROR(Table3[[#This Row],[Unit Price]]*Table3[[#This Row],[Return Qty]], "N/A")</f>
        <v>0</v>
      </c>
      <c r="P427">
        <f>IFERROR(IF((Table3[[#This Row],[Revenue before return]]-Table3[[#This Row],[Amount of order  returned]])&lt;0, "N/A", Table3[[#This Row],[Revenue before return]]-Table3[[#This Row],[Amount of order  returned]]), "N/A")</f>
        <v>150000</v>
      </c>
      <c r="Q42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28" spans="1:17" x14ac:dyDescent="0.2">
      <c r="A428" t="s">
        <v>735</v>
      </c>
      <c r="B428" t="s">
        <v>14</v>
      </c>
      <c r="C428" t="s">
        <v>39</v>
      </c>
      <c r="D428" s="6" t="s">
        <v>11</v>
      </c>
      <c r="E428" s="5">
        <v>12000</v>
      </c>
      <c r="F428" t="s">
        <v>719</v>
      </c>
      <c r="G428" s="7">
        <v>46110</v>
      </c>
      <c r="H428" s="5">
        <v>0</v>
      </c>
      <c r="I42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28" t="b">
        <f>((ISNUMBER(Table3[[#This Row],[Quantity]]) )* (Table3[[#This Row],[Quantity]]&gt;0))=1</f>
        <v>0</v>
      </c>
      <c r="K428" t="b">
        <f>((Table3[[#This Row],[Quantity]]&gt;=Table3[[#This Row],[Return Qty]])*(ISNUMBER(Table3[[#This Row],[Quantity]])))=1</f>
        <v>0</v>
      </c>
      <c r="L428" t="b">
        <f>ISNUMBER(Table3[[#This Row],[Unit Price]])</f>
        <v>1</v>
      </c>
      <c r="M428" t="b">
        <f>ISNUMBER(Table3[[#This Row],[Order Date]])</f>
        <v>1</v>
      </c>
      <c r="N428" t="str">
        <f>IFERROR(IF(Table3[[#This Row],[Quantity]]*Table3[[#This Row],[Unit Price]]&lt;0, "N/A", Table3[[#This Row],[Quantity]]*Table3[[#This Row],[Unit Price]]), "N/A")</f>
        <v>N/A</v>
      </c>
      <c r="O428">
        <f>IFERROR(Table3[[#This Row],[Unit Price]]*Table3[[#This Row],[Return Qty]], "N/A")</f>
        <v>0</v>
      </c>
      <c r="P428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42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29" spans="1:17" x14ac:dyDescent="0.2">
      <c r="A429" t="s">
        <v>736</v>
      </c>
      <c r="B429" t="s">
        <v>9</v>
      </c>
      <c r="C429" t="s">
        <v>10</v>
      </c>
      <c r="D429" s="6">
        <v>13</v>
      </c>
      <c r="E429" s="5">
        <v>15000</v>
      </c>
      <c r="F429" t="s">
        <v>121</v>
      </c>
      <c r="G429" s="7">
        <v>46184</v>
      </c>
      <c r="H429" s="5">
        <v>0</v>
      </c>
      <c r="I42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29" t="b">
        <f>((ISNUMBER(Table3[[#This Row],[Quantity]]) )* (Table3[[#This Row],[Quantity]]&gt;0))=1</f>
        <v>1</v>
      </c>
      <c r="K429" t="b">
        <f>((Table3[[#This Row],[Quantity]]&gt;=Table3[[#This Row],[Return Qty]])*(ISNUMBER(Table3[[#This Row],[Quantity]])))=1</f>
        <v>1</v>
      </c>
      <c r="L429" t="b">
        <f>ISNUMBER(Table3[[#This Row],[Unit Price]])</f>
        <v>1</v>
      </c>
      <c r="M429" t="b">
        <f>ISNUMBER(Table3[[#This Row],[Order Date]])</f>
        <v>1</v>
      </c>
      <c r="N429">
        <f>IFERROR(IF(Table3[[#This Row],[Quantity]]*Table3[[#This Row],[Unit Price]]&lt;0, "N/A", Table3[[#This Row],[Quantity]]*Table3[[#This Row],[Unit Price]]), "N/A")</f>
        <v>195000</v>
      </c>
      <c r="O429">
        <f>IFERROR(Table3[[#This Row],[Unit Price]]*Table3[[#This Row],[Return Qty]], "N/A")</f>
        <v>0</v>
      </c>
      <c r="P429">
        <f>IFERROR(IF((Table3[[#This Row],[Revenue before return]]-Table3[[#This Row],[Amount of order  returned]])&lt;0, "N/A", Table3[[#This Row],[Revenue before return]]-Table3[[#This Row],[Amount of order  returned]]), "N/A")</f>
        <v>195000</v>
      </c>
      <c r="Q42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30" spans="1:17" x14ac:dyDescent="0.2">
      <c r="A430" t="s">
        <v>737</v>
      </c>
      <c r="B430" t="s">
        <v>358</v>
      </c>
      <c r="C430" t="s">
        <v>39</v>
      </c>
      <c r="D430" s="6">
        <v>12</v>
      </c>
      <c r="E430" s="5">
        <v>12000</v>
      </c>
      <c r="F430" t="s">
        <v>565</v>
      </c>
      <c r="G430" s="7">
        <v>46198</v>
      </c>
      <c r="H430" s="5">
        <v>0</v>
      </c>
      <c r="I43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30" t="b">
        <f>((ISNUMBER(Table3[[#This Row],[Quantity]]) )* (Table3[[#This Row],[Quantity]]&gt;0))=1</f>
        <v>1</v>
      </c>
      <c r="K430" t="b">
        <f>((Table3[[#This Row],[Quantity]]&gt;=Table3[[#This Row],[Return Qty]])*(ISNUMBER(Table3[[#This Row],[Quantity]])))=1</f>
        <v>1</v>
      </c>
      <c r="L430" t="b">
        <f>ISNUMBER(Table3[[#This Row],[Unit Price]])</f>
        <v>1</v>
      </c>
      <c r="M430" t="b">
        <f>ISNUMBER(Table3[[#This Row],[Order Date]])</f>
        <v>1</v>
      </c>
      <c r="N430">
        <f>IFERROR(IF(Table3[[#This Row],[Quantity]]*Table3[[#This Row],[Unit Price]]&lt;0, "N/A", Table3[[#This Row],[Quantity]]*Table3[[#This Row],[Unit Price]]), "N/A")</f>
        <v>144000</v>
      </c>
      <c r="O430">
        <f>IFERROR(Table3[[#This Row],[Unit Price]]*Table3[[#This Row],[Return Qty]], "N/A")</f>
        <v>0</v>
      </c>
      <c r="P430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43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31" spans="1:17" x14ac:dyDescent="0.2">
      <c r="A431" t="s">
        <v>738</v>
      </c>
      <c r="B431" t="s">
        <v>25</v>
      </c>
      <c r="C431" t="s">
        <v>18</v>
      </c>
      <c r="D431" s="6">
        <v>16</v>
      </c>
      <c r="E431" s="5">
        <v>50000</v>
      </c>
      <c r="F431" t="s">
        <v>48</v>
      </c>
      <c r="G431" s="7">
        <v>46111</v>
      </c>
      <c r="H431" s="5">
        <v>0</v>
      </c>
      <c r="I43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31" t="b">
        <f>((ISNUMBER(Table3[[#This Row],[Quantity]]) )* (Table3[[#This Row],[Quantity]]&gt;0))=1</f>
        <v>1</v>
      </c>
      <c r="K431" t="b">
        <f>((Table3[[#This Row],[Quantity]]&gt;=Table3[[#This Row],[Return Qty]])*(ISNUMBER(Table3[[#This Row],[Quantity]])))=1</f>
        <v>1</v>
      </c>
      <c r="L431" t="b">
        <f>ISNUMBER(Table3[[#This Row],[Unit Price]])</f>
        <v>1</v>
      </c>
      <c r="M431" t="b">
        <f>ISNUMBER(Table3[[#This Row],[Order Date]])</f>
        <v>1</v>
      </c>
      <c r="N431">
        <f>IFERROR(IF(Table3[[#This Row],[Quantity]]*Table3[[#This Row],[Unit Price]]&lt;0, "N/A", Table3[[#This Row],[Quantity]]*Table3[[#This Row],[Unit Price]]), "N/A")</f>
        <v>800000</v>
      </c>
      <c r="O431">
        <f>IFERROR(Table3[[#This Row],[Unit Price]]*Table3[[#This Row],[Return Qty]], "N/A")</f>
        <v>0</v>
      </c>
      <c r="P431">
        <f>IFERROR(IF((Table3[[#This Row],[Revenue before return]]-Table3[[#This Row],[Amount of order  returned]])&lt;0, "N/A", Table3[[#This Row],[Revenue before return]]-Table3[[#This Row],[Amount of order  returned]]), "N/A")</f>
        <v>800000</v>
      </c>
      <c r="Q43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32" spans="1:17" x14ac:dyDescent="0.2">
      <c r="A432" t="s">
        <v>739</v>
      </c>
      <c r="B432" t="s">
        <v>185</v>
      </c>
      <c r="C432" t="s">
        <v>10</v>
      </c>
      <c r="D432" s="6">
        <v>10</v>
      </c>
      <c r="E432" s="5">
        <v>15000</v>
      </c>
      <c r="F432" t="s">
        <v>740</v>
      </c>
      <c r="G432" s="7">
        <v>46169</v>
      </c>
      <c r="H432" s="5">
        <v>4</v>
      </c>
      <c r="I43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32" t="b">
        <f>((ISNUMBER(Table3[[#This Row],[Quantity]]) )* (Table3[[#This Row],[Quantity]]&gt;0))=1</f>
        <v>1</v>
      </c>
      <c r="K432" t="b">
        <f>((Table3[[#This Row],[Quantity]]&gt;=Table3[[#This Row],[Return Qty]])*(ISNUMBER(Table3[[#This Row],[Quantity]])))=1</f>
        <v>1</v>
      </c>
      <c r="L432" t="b">
        <f>ISNUMBER(Table3[[#This Row],[Unit Price]])</f>
        <v>1</v>
      </c>
      <c r="M432" t="b">
        <f>ISNUMBER(Table3[[#This Row],[Order Date]])</f>
        <v>1</v>
      </c>
      <c r="N432">
        <f>IFERROR(IF(Table3[[#This Row],[Quantity]]*Table3[[#This Row],[Unit Price]]&lt;0, "N/A", Table3[[#This Row],[Quantity]]*Table3[[#This Row],[Unit Price]]), "N/A")</f>
        <v>150000</v>
      </c>
      <c r="O432">
        <f>IFERROR(Table3[[#This Row],[Unit Price]]*Table3[[#This Row],[Return Qty]], "N/A")</f>
        <v>60000</v>
      </c>
      <c r="P432">
        <f>IFERROR(IF((Table3[[#This Row],[Revenue before return]]-Table3[[#This Row],[Amount of order  returned]])&lt;0, "N/A", Table3[[#This Row],[Revenue before return]]-Table3[[#This Row],[Amount of order  returned]]), "N/A")</f>
        <v>90000</v>
      </c>
      <c r="Q43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33" spans="1:17" x14ac:dyDescent="0.2">
      <c r="A433" t="s">
        <v>741</v>
      </c>
      <c r="B433" t="s">
        <v>14</v>
      </c>
      <c r="C433" t="s">
        <v>39</v>
      </c>
      <c r="D433" s="6">
        <v>1</v>
      </c>
      <c r="E433" s="5">
        <v>12000</v>
      </c>
      <c r="F433" t="s">
        <v>84</v>
      </c>
      <c r="G433" s="7">
        <v>46171</v>
      </c>
      <c r="H433" s="5">
        <v>0</v>
      </c>
      <c r="I43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33" t="b">
        <f>((ISNUMBER(Table3[[#This Row],[Quantity]]) )* (Table3[[#This Row],[Quantity]]&gt;0))=1</f>
        <v>1</v>
      </c>
      <c r="K433" t="b">
        <f>((Table3[[#This Row],[Quantity]]&gt;=Table3[[#This Row],[Return Qty]])*(ISNUMBER(Table3[[#This Row],[Quantity]])))=1</f>
        <v>1</v>
      </c>
      <c r="L433" t="b">
        <f>ISNUMBER(Table3[[#This Row],[Unit Price]])</f>
        <v>1</v>
      </c>
      <c r="M433" t="b">
        <f>ISNUMBER(Table3[[#This Row],[Order Date]])</f>
        <v>1</v>
      </c>
      <c r="N433">
        <f>IFERROR(IF(Table3[[#This Row],[Quantity]]*Table3[[#This Row],[Unit Price]]&lt;0, "N/A", Table3[[#This Row],[Quantity]]*Table3[[#This Row],[Unit Price]]), "N/A")</f>
        <v>12000</v>
      </c>
      <c r="O433">
        <f>IFERROR(Table3[[#This Row],[Unit Price]]*Table3[[#This Row],[Return Qty]], "N/A")</f>
        <v>0</v>
      </c>
      <c r="P433">
        <f>IFERROR(IF((Table3[[#This Row],[Revenue before return]]-Table3[[#This Row],[Amount of order  returned]])&lt;0, "N/A", Table3[[#This Row],[Revenue before return]]-Table3[[#This Row],[Amount of order  returned]]), "N/A")</f>
        <v>12000</v>
      </c>
      <c r="Q43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34" spans="1:17" x14ac:dyDescent="0.2">
      <c r="A434" t="s">
        <v>742</v>
      </c>
      <c r="B434" t="s">
        <v>21</v>
      </c>
      <c r="C434" t="s">
        <v>18</v>
      </c>
      <c r="D434" s="6">
        <v>9</v>
      </c>
      <c r="E434" s="5">
        <v>50000</v>
      </c>
      <c r="F434" t="s">
        <v>211</v>
      </c>
      <c r="G434" s="7">
        <v>46174</v>
      </c>
      <c r="H434" s="5">
        <v>0</v>
      </c>
      <c r="I43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34" t="b">
        <f>((ISNUMBER(Table3[[#This Row],[Quantity]]) )* (Table3[[#This Row],[Quantity]]&gt;0))=1</f>
        <v>1</v>
      </c>
      <c r="K434" t="b">
        <f>((Table3[[#This Row],[Quantity]]&gt;=Table3[[#This Row],[Return Qty]])*(ISNUMBER(Table3[[#This Row],[Quantity]])))=1</f>
        <v>1</v>
      </c>
      <c r="L434" t="b">
        <f>ISNUMBER(Table3[[#This Row],[Unit Price]])</f>
        <v>1</v>
      </c>
      <c r="M434" t="b">
        <f>ISNUMBER(Table3[[#This Row],[Order Date]])</f>
        <v>1</v>
      </c>
      <c r="N434">
        <f>IFERROR(IF(Table3[[#This Row],[Quantity]]*Table3[[#This Row],[Unit Price]]&lt;0, "N/A", Table3[[#This Row],[Quantity]]*Table3[[#This Row],[Unit Price]]), "N/A")</f>
        <v>450000</v>
      </c>
      <c r="O434">
        <f>IFERROR(Table3[[#This Row],[Unit Price]]*Table3[[#This Row],[Return Qty]], "N/A")</f>
        <v>0</v>
      </c>
      <c r="P434">
        <f>IFERROR(IF((Table3[[#This Row],[Revenue before return]]-Table3[[#This Row],[Amount of order  returned]])&lt;0, "N/A", Table3[[#This Row],[Revenue before return]]-Table3[[#This Row],[Amount of order  returned]]), "N/A")</f>
        <v>450000</v>
      </c>
      <c r="Q43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35" spans="1:17" x14ac:dyDescent="0.2">
      <c r="A435" t="s">
        <v>743</v>
      </c>
      <c r="B435" t="s">
        <v>25</v>
      </c>
      <c r="C435" t="s">
        <v>39</v>
      </c>
      <c r="D435" s="6">
        <v>15</v>
      </c>
      <c r="E435" s="5">
        <v>12000</v>
      </c>
      <c r="F435" t="s">
        <v>579</v>
      </c>
      <c r="G435" s="7">
        <v>46050</v>
      </c>
      <c r="H435" s="5">
        <v>0</v>
      </c>
      <c r="I43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35" t="b">
        <f>((ISNUMBER(Table3[[#This Row],[Quantity]]) )* (Table3[[#This Row],[Quantity]]&gt;0))=1</f>
        <v>1</v>
      </c>
      <c r="K435" t="b">
        <f>((Table3[[#This Row],[Quantity]]&gt;=Table3[[#This Row],[Return Qty]])*(ISNUMBER(Table3[[#This Row],[Quantity]])))=1</f>
        <v>1</v>
      </c>
      <c r="L435" t="b">
        <f>ISNUMBER(Table3[[#This Row],[Unit Price]])</f>
        <v>1</v>
      </c>
      <c r="M435" t="b">
        <f>ISNUMBER(Table3[[#This Row],[Order Date]])</f>
        <v>1</v>
      </c>
      <c r="N435">
        <f>IFERROR(IF(Table3[[#This Row],[Quantity]]*Table3[[#This Row],[Unit Price]]&lt;0, "N/A", Table3[[#This Row],[Quantity]]*Table3[[#This Row],[Unit Price]]), "N/A")</f>
        <v>180000</v>
      </c>
      <c r="O435">
        <f>IFERROR(Table3[[#This Row],[Unit Price]]*Table3[[#This Row],[Return Qty]], "N/A")</f>
        <v>0</v>
      </c>
      <c r="P435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43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36" spans="1:17" x14ac:dyDescent="0.2">
      <c r="A436" t="s">
        <v>744</v>
      </c>
      <c r="B436" t="s">
        <v>21</v>
      </c>
      <c r="C436" t="s">
        <v>18</v>
      </c>
      <c r="D436" s="6">
        <v>1</v>
      </c>
      <c r="E436" s="5">
        <v>50000</v>
      </c>
      <c r="F436" t="s">
        <v>11</v>
      </c>
      <c r="G436" s="7">
        <v>46085</v>
      </c>
      <c r="H436" s="5">
        <v>0</v>
      </c>
      <c r="I43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36" t="b">
        <f>((ISNUMBER(Table3[[#This Row],[Quantity]]) )* (Table3[[#This Row],[Quantity]]&gt;0))=1</f>
        <v>1</v>
      </c>
      <c r="K436" t="b">
        <f>((Table3[[#This Row],[Quantity]]&gt;=Table3[[#This Row],[Return Qty]])*(ISNUMBER(Table3[[#This Row],[Quantity]])))=1</f>
        <v>1</v>
      </c>
      <c r="L436" t="b">
        <f>ISNUMBER(Table3[[#This Row],[Unit Price]])</f>
        <v>1</v>
      </c>
      <c r="M436" t="b">
        <f>ISNUMBER(Table3[[#This Row],[Order Date]])</f>
        <v>1</v>
      </c>
      <c r="N436">
        <f>IFERROR(IF(Table3[[#This Row],[Quantity]]*Table3[[#This Row],[Unit Price]]&lt;0, "N/A", Table3[[#This Row],[Quantity]]*Table3[[#This Row],[Unit Price]]), "N/A")</f>
        <v>50000</v>
      </c>
      <c r="O436">
        <f>IFERROR(Table3[[#This Row],[Unit Price]]*Table3[[#This Row],[Return Qty]], "N/A")</f>
        <v>0</v>
      </c>
      <c r="P436">
        <f>IFERROR(IF((Table3[[#This Row],[Revenue before return]]-Table3[[#This Row],[Amount of order  returned]])&lt;0, "N/A", Table3[[#This Row],[Revenue before return]]-Table3[[#This Row],[Amount of order  returned]]), "N/A")</f>
        <v>50000</v>
      </c>
      <c r="Q43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37" spans="1:17" x14ac:dyDescent="0.2">
      <c r="A437" t="s">
        <v>745</v>
      </c>
      <c r="B437" t="s">
        <v>14</v>
      </c>
      <c r="C437" t="s">
        <v>22</v>
      </c>
      <c r="D437" s="6">
        <v>24</v>
      </c>
      <c r="E437" s="5">
        <v>35000</v>
      </c>
      <c r="F437" t="s">
        <v>211</v>
      </c>
      <c r="G437" s="7">
        <v>46171</v>
      </c>
      <c r="H437" s="5">
        <v>0</v>
      </c>
      <c r="I43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37" t="b">
        <f>((ISNUMBER(Table3[[#This Row],[Quantity]]) )* (Table3[[#This Row],[Quantity]]&gt;0))=1</f>
        <v>1</v>
      </c>
      <c r="K437" t="b">
        <f>((Table3[[#This Row],[Quantity]]&gt;=Table3[[#This Row],[Return Qty]])*(ISNUMBER(Table3[[#This Row],[Quantity]])))=1</f>
        <v>1</v>
      </c>
      <c r="L437" t="b">
        <f>ISNUMBER(Table3[[#This Row],[Unit Price]])</f>
        <v>1</v>
      </c>
      <c r="M437" t="b">
        <f>ISNUMBER(Table3[[#This Row],[Order Date]])</f>
        <v>1</v>
      </c>
      <c r="N437">
        <f>IFERROR(IF(Table3[[#This Row],[Quantity]]*Table3[[#This Row],[Unit Price]]&lt;0, "N/A", Table3[[#This Row],[Quantity]]*Table3[[#This Row],[Unit Price]]), "N/A")</f>
        <v>840000</v>
      </c>
      <c r="O437">
        <f>IFERROR(Table3[[#This Row],[Unit Price]]*Table3[[#This Row],[Return Qty]], "N/A")</f>
        <v>0</v>
      </c>
      <c r="P437">
        <f>IFERROR(IF((Table3[[#This Row],[Revenue before return]]-Table3[[#This Row],[Amount of order  returned]])&lt;0, "N/A", Table3[[#This Row],[Revenue before return]]-Table3[[#This Row],[Amount of order  returned]]), "N/A")</f>
        <v>840000</v>
      </c>
      <c r="Q43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38" spans="1:17" x14ac:dyDescent="0.2">
      <c r="A438" t="s">
        <v>746</v>
      </c>
      <c r="B438" t="s">
        <v>14</v>
      </c>
      <c r="C438" t="s">
        <v>26</v>
      </c>
      <c r="D438" s="6">
        <v>24</v>
      </c>
      <c r="E438" s="5">
        <v>20000</v>
      </c>
      <c r="F438" t="s">
        <v>414</v>
      </c>
      <c r="G438" s="7">
        <v>46150</v>
      </c>
      <c r="H438" s="5">
        <v>0</v>
      </c>
      <c r="I43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38" t="b">
        <f>((ISNUMBER(Table3[[#This Row],[Quantity]]) )* (Table3[[#This Row],[Quantity]]&gt;0))=1</f>
        <v>1</v>
      </c>
      <c r="K438" t="b">
        <f>((Table3[[#This Row],[Quantity]]&gt;=Table3[[#This Row],[Return Qty]])*(ISNUMBER(Table3[[#This Row],[Quantity]])))=1</f>
        <v>1</v>
      </c>
      <c r="L438" t="b">
        <f>ISNUMBER(Table3[[#This Row],[Unit Price]])</f>
        <v>1</v>
      </c>
      <c r="M438" t="b">
        <f>ISNUMBER(Table3[[#This Row],[Order Date]])</f>
        <v>1</v>
      </c>
      <c r="N438">
        <f>IFERROR(IF(Table3[[#This Row],[Quantity]]*Table3[[#This Row],[Unit Price]]&lt;0, "N/A", Table3[[#This Row],[Quantity]]*Table3[[#This Row],[Unit Price]]), "N/A")</f>
        <v>480000</v>
      </c>
      <c r="O438">
        <f>IFERROR(Table3[[#This Row],[Unit Price]]*Table3[[#This Row],[Return Qty]], "N/A")</f>
        <v>0</v>
      </c>
      <c r="P438">
        <f>IFERROR(IF((Table3[[#This Row],[Revenue before return]]-Table3[[#This Row],[Amount of order  returned]])&lt;0, "N/A", Table3[[#This Row],[Revenue before return]]-Table3[[#This Row],[Amount of order  returned]]), "N/A")</f>
        <v>480000</v>
      </c>
      <c r="Q43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39" spans="1:17" x14ac:dyDescent="0.2">
      <c r="A439" t="s">
        <v>747</v>
      </c>
      <c r="B439" t="s">
        <v>25</v>
      </c>
      <c r="C439" t="s">
        <v>22</v>
      </c>
      <c r="D439" s="6">
        <v>1</v>
      </c>
      <c r="E439" s="5">
        <v>35000</v>
      </c>
      <c r="F439" t="s">
        <v>748</v>
      </c>
      <c r="G439" s="7">
        <v>46182</v>
      </c>
      <c r="H439" s="5">
        <v>0</v>
      </c>
      <c r="I43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39" t="b">
        <f>((ISNUMBER(Table3[[#This Row],[Quantity]]) )* (Table3[[#This Row],[Quantity]]&gt;0))=1</f>
        <v>1</v>
      </c>
      <c r="K439" t="b">
        <f>((Table3[[#This Row],[Quantity]]&gt;=Table3[[#This Row],[Return Qty]])*(ISNUMBER(Table3[[#This Row],[Quantity]])))=1</f>
        <v>1</v>
      </c>
      <c r="L439" t="b">
        <f>ISNUMBER(Table3[[#This Row],[Unit Price]])</f>
        <v>1</v>
      </c>
      <c r="M439" t="b">
        <f>ISNUMBER(Table3[[#This Row],[Order Date]])</f>
        <v>1</v>
      </c>
      <c r="N439">
        <f>IFERROR(IF(Table3[[#This Row],[Quantity]]*Table3[[#This Row],[Unit Price]]&lt;0, "N/A", Table3[[#This Row],[Quantity]]*Table3[[#This Row],[Unit Price]]), "N/A")</f>
        <v>35000</v>
      </c>
      <c r="O439">
        <f>IFERROR(Table3[[#This Row],[Unit Price]]*Table3[[#This Row],[Return Qty]], "N/A")</f>
        <v>0</v>
      </c>
      <c r="P439">
        <f>IFERROR(IF((Table3[[#This Row],[Revenue before return]]-Table3[[#This Row],[Amount of order  returned]])&lt;0, "N/A", Table3[[#This Row],[Revenue before return]]-Table3[[#This Row],[Amount of order  returned]]), "N/A")</f>
        <v>35000</v>
      </c>
      <c r="Q43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40" spans="1:17" x14ac:dyDescent="0.2">
      <c r="A440" t="s">
        <v>749</v>
      </c>
      <c r="B440" t="s">
        <v>9</v>
      </c>
      <c r="C440" t="s">
        <v>32</v>
      </c>
      <c r="D440" s="6">
        <v>23</v>
      </c>
      <c r="E440" s="5">
        <v>8000</v>
      </c>
      <c r="F440" t="s">
        <v>308</v>
      </c>
      <c r="G440" s="7">
        <v>46069</v>
      </c>
      <c r="H440" s="5">
        <v>0</v>
      </c>
      <c r="I44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40" t="b">
        <f>((ISNUMBER(Table3[[#This Row],[Quantity]]) )* (Table3[[#This Row],[Quantity]]&gt;0))=1</f>
        <v>1</v>
      </c>
      <c r="K440" t="b">
        <f>((Table3[[#This Row],[Quantity]]&gt;=Table3[[#This Row],[Return Qty]])*(ISNUMBER(Table3[[#This Row],[Quantity]])))=1</f>
        <v>1</v>
      </c>
      <c r="L440" t="b">
        <f>ISNUMBER(Table3[[#This Row],[Unit Price]])</f>
        <v>1</v>
      </c>
      <c r="M440" t="b">
        <f>ISNUMBER(Table3[[#This Row],[Order Date]])</f>
        <v>1</v>
      </c>
      <c r="N440">
        <f>IFERROR(IF(Table3[[#This Row],[Quantity]]*Table3[[#This Row],[Unit Price]]&lt;0, "N/A", Table3[[#This Row],[Quantity]]*Table3[[#This Row],[Unit Price]]), "N/A")</f>
        <v>184000</v>
      </c>
      <c r="O440">
        <f>IFERROR(Table3[[#This Row],[Unit Price]]*Table3[[#This Row],[Return Qty]], "N/A")</f>
        <v>0</v>
      </c>
      <c r="P440">
        <f>IFERROR(IF((Table3[[#This Row],[Revenue before return]]-Table3[[#This Row],[Amount of order  returned]])&lt;0, "N/A", Table3[[#This Row],[Revenue before return]]-Table3[[#This Row],[Amount of order  returned]]), "N/A")</f>
        <v>184000</v>
      </c>
      <c r="Q44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41" spans="1:17" x14ac:dyDescent="0.2">
      <c r="A441" t="s">
        <v>750</v>
      </c>
      <c r="B441" t="s">
        <v>14</v>
      </c>
      <c r="C441" t="s">
        <v>45</v>
      </c>
      <c r="D441" s="6" t="s">
        <v>11</v>
      </c>
      <c r="E441" s="5">
        <v>20000</v>
      </c>
      <c r="F441" t="s">
        <v>535</v>
      </c>
      <c r="G441" s="7">
        <v>46156</v>
      </c>
      <c r="H441" s="5">
        <v>0</v>
      </c>
      <c r="I44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41" t="b">
        <f>((ISNUMBER(Table3[[#This Row],[Quantity]]) )* (Table3[[#This Row],[Quantity]]&gt;0))=1</f>
        <v>0</v>
      </c>
      <c r="K441" t="b">
        <f>((Table3[[#This Row],[Quantity]]&gt;=Table3[[#This Row],[Return Qty]])*(ISNUMBER(Table3[[#This Row],[Quantity]])))=1</f>
        <v>0</v>
      </c>
      <c r="L441" t="b">
        <f>ISNUMBER(Table3[[#This Row],[Unit Price]])</f>
        <v>1</v>
      </c>
      <c r="M441" t="b">
        <f>ISNUMBER(Table3[[#This Row],[Order Date]])</f>
        <v>1</v>
      </c>
      <c r="N441" t="str">
        <f>IFERROR(IF(Table3[[#This Row],[Quantity]]*Table3[[#This Row],[Unit Price]]&lt;0, "N/A", Table3[[#This Row],[Quantity]]*Table3[[#This Row],[Unit Price]]), "N/A")</f>
        <v>N/A</v>
      </c>
      <c r="O441">
        <f>IFERROR(Table3[[#This Row],[Unit Price]]*Table3[[#This Row],[Return Qty]], "N/A")</f>
        <v>0</v>
      </c>
      <c r="P441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44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42" spans="1:17" x14ac:dyDescent="0.2">
      <c r="A442" t="s">
        <v>751</v>
      </c>
      <c r="B442" t="s">
        <v>21</v>
      </c>
      <c r="C442" t="s">
        <v>18</v>
      </c>
      <c r="D442" s="6">
        <v>3</v>
      </c>
      <c r="E442" s="5">
        <v>50000</v>
      </c>
      <c r="F442" t="s">
        <v>752</v>
      </c>
      <c r="G442" s="7">
        <v>46107</v>
      </c>
      <c r="H442" s="5">
        <v>0</v>
      </c>
      <c r="I44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42" t="b">
        <f>((ISNUMBER(Table3[[#This Row],[Quantity]]) )* (Table3[[#This Row],[Quantity]]&gt;0))=1</f>
        <v>1</v>
      </c>
      <c r="K442" t="b">
        <f>((Table3[[#This Row],[Quantity]]&gt;=Table3[[#This Row],[Return Qty]])*(ISNUMBER(Table3[[#This Row],[Quantity]])))=1</f>
        <v>1</v>
      </c>
      <c r="L442" t="b">
        <f>ISNUMBER(Table3[[#This Row],[Unit Price]])</f>
        <v>1</v>
      </c>
      <c r="M442" t="b">
        <f>ISNUMBER(Table3[[#This Row],[Order Date]])</f>
        <v>1</v>
      </c>
      <c r="N442">
        <f>IFERROR(IF(Table3[[#This Row],[Quantity]]*Table3[[#This Row],[Unit Price]]&lt;0, "N/A", Table3[[#This Row],[Quantity]]*Table3[[#This Row],[Unit Price]]), "N/A")</f>
        <v>150000</v>
      </c>
      <c r="O442">
        <f>IFERROR(Table3[[#This Row],[Unit Price]]*Table3[[#This Row],[Return Qty]], "N/A")</f>
        <v>0</v>
      </c>
      <c r="P442">
        <f>IFERROR(IF((Table3[[#This Row],[Revenue before return]]-Table3[[#This Row],[Amount of order  returned]])&lt;0, "N/A", Table3[[#This Row],[Revenue before return]]-Table3[[#This Row],[Amount of order  returned]]), "N/A")</f>
        <v>150000</v>
      </c>
      <c r="Q44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43" spans="1:17" x14ac:dyDescent="0.2">
      <c r="A443" t="s">
        <v>753</v>
      </c>
      <c r="B443" t="s">
        <v>25</v>
      </c>
      <c r="C443" t="s">
        <v>22</v>
      </c>
      <c r="D443" s="6">
        <v>17</v>
      </c>
      <c r="E443" s="5">
        <v>35000</v>
      </c>
      <c r="F443" t="s">
        <v>255</v>
      </c>
      <c r="G443" s="7">
        <v>46116</v>
      </c>
      <c r="H443" s="5">
        <v>0</v>
      </c>
      <c r="I44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43" t="b">
        <f>((ISNUMBER(Table3[[#This Row],[Quantity]]) )* (Table3[[#This Row],[Quantity]]&gt;0))=1</f>
        <v>1</v>
      </c>
      <c r="K443" t="b">
        <f>((Table3[[#This Row],[Quantity]]&gt;=Table3[[#This Row],[Return Qty]])*(ISNUMBER(Table3[[#This Row],[Quantity]])))=1</f>
        <v>1</v>
      </c>
      <c r="L443" t="b">
        <f>ISNUMBER(Table3[[#This Row],[Unit Price]])</f>
        <v>1</v>
      </c>
      <c r="M443" t="b">
        <f>ISNUMBER(Table3[[#This Row],[Order Date]])</f>
        <v>1</v>
      </c>
      <c r="N443">
        <f>IFERROR(IF(Table3[[#This Row],[Quantity]]*Table3[[#This Row],[Unit Price]]&lt;0, "N/A", Table3[[#This Row],[Quantity]]*Table3[[#This Row],[Unit Price]]), "N/A")</f>
        <v>595000</v>
      </c>
      <c r="O443">
        <f>IFERROR(Table3[[#This Row],[Unit Price]]*Table3[[#This Row],[Return Qty]], "N/A")</f>
        <v>0</v>
      </c>
      <c r="P443">
        <f>IFERROR(IF((Table3[[#This Row],[Revenue before return]]-Table3[[#This Row],[Amount of order  returned]])&lt;0, "N/A", Table3[[#This Row],[Revenue before return]]-Table3[[#This Row],[Amount of order  returned]]), "N/A")</f>
        <v>595000</v>
      </c>
      <c r="Q44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44" spans="1:17" x14ac:dyDescent="0.2">
      <c r="A444" t="s">
        <v>754</v>
      </c>
      <c r="B444" t="s">
        <v>25</v>
      </c>
      <c r="C444" t="s">
        <v>10</v>
      </c>
      <c r="D444" s="6">
        <v>18</v>
      </c>
      <c r="E444" s="5">
        <v>15000</v>
      </c>
      <c r="F444" t="s">
        <v>30</v>
      </c>
      <c r="G444" s="7">
        <v>46038</v>
      </c>
      <c r="H444" s="5">
        <v>0</v>
      </c>
      <c r="I44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44" t="b">
        <f>((ISNUMBER(Table3[[#This Row],[Quantity]]) )* (Table3[[#This Row],[Quantity]]&gt;0))=1</f>
        <v>1</v>
      </c>
      <c r="K444" t="b">
        <f>((Table3[[#This Row],[Quantity]]&gt;=Table3[[#This Row],[Return Qty]])*(ISNUMBER(Table3[[#This Row],[Quantity]])))=1</f>
        <v>1</v>
      </c>
      <c r="L444" t="b">
        <f>ISNUMBER(Table3[[#This Row],[Unit Price]])</f>
        <v>1</v>
      </c>
      <c r="M444" t="b">
        <f>ISNUMBER(Table3[[#This Row],[Order Date]])</f>
        <v>1</v>
      </c>
      <c r="N444">
        <f>IFERROR(IF(Table3[[#This Row],[Quantity]]*Table3[[#This Row],[Unit Price]]&lt;0, "N/A", Table3[[#This Row],[Quantity]]*Table3[[#This Row],[Unit Price]]), "N/A")</f>
        <v>270000</v>
      </c>
      <c r="O444">
        <f>IFERROR(Table3[[#This Row],[Unit Price]]*Table3[[#This Row],[Return Qty]], "N/A")</f>
        <v>0</v>
      </c>
      <c r="P444">
        <f>IFERROR(IF((Table3[[#This Row],[Revenue before return]]-Table3[[#This Row],[Amount of order  returned]])&lt;0, "N/A", Table3[[#This Row],[Revenue before return]]-Table3[[#This Row],[Amount of order  returned]]), "N/A")</f>
        <v>270000</v>
      </c>
      <c r="Q44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45" spans="1:17" x14ac:dyDescent="0.2">
      <c r="A445" t="s">
        <v>755</v>
      </c>
      <c r="B445" t="s">
        <v>25</v>
      </c>
      <c r="C445" t="s">
        <v>45</v>
      </c>
      <c r="D445" s="6">
        <v>8</v>
      </c>
      <c r="E445" s="5">
        <v>20000</v>
      </c>
      <c r="F445" t="s">
        <v>280</v>
      </c>
      <c r="G445" s="7">
        <v>46198</v>
      </c>
      <c r="H445" s="5">
        <v>0</v>
      </c>
      <c r="I44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45" t="b">
        <f>((ISNUMBER(Table3[[#This Row],[Quantity]]) )* (Table3[[#This Row],[Quantity]]&gt;0))=1</f>
        <v>1</v>
      </c>
      <c r="K445" t="b">
        <f>((Table3[[#This Row],[Quantity]]&gt;=Table3[[#This Row],[Return Qty]])*(ISNUMBER(Table3[[#This Row],[Quantity]])))=1</f>
        <v>1</v>
      </c>
      <c r="L445" t="b">
        <f>ISNUMBER(Table3[[#This Row],[Unit Price]])</f>
        <v>1</v>
      </c>
      <c r="M445" t="b">
        <f>ISNUMBER(Table3[[#This Row],[Order Date]])</f>
        <v>1</v>
      </c>
      <c r="N445">
        <f>IFERROR(IF(Table3[[#This Row],[Quantity]]*Table3[[#This Row],[Unit Price]]&lt;0, "N/A", Table3[[#This Row],[Quantity]]*Table3[[#This Row],[Unit Price]]), "N/A")</f>
        <v>160000</v>
      </c>
      <c r="O445">
        <f>IFERROR(Table3[[#This Row],[Unit Price]]*Table3[[#This Row],[Return Qty]], "N/A")</f>
        <v>0</v>
      </c>
      <c r="P445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44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46" spans="1:17" x14ac:dyDescent="0.2">
      <c r="A446" t="s">
        <v>756</v>
      </c>
      <c r="B446" t="s">
        <v>14</v>
      </c>
      <c r="C446" t="s">
        <v>18</v>
      </c>
      <c r="D446" s="6">
        <v>24</v>
      </c>
      <c r="E446" s="5">
        <v>50000</v>
      </c>
      <c r="F446" t="s">
        <v>474</v>
      </c>
      <c r="G446" s="7">
        <v>46057</v>
      </c>
      <c r="H446" s="5">
        <v>1</v>
      </c>
      <c r="I44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46" t="b">
        <f>((ISNUMBER(Table3[[#This Row],[Quantity]]) )* (Table3[[#This Row],[Quantity]]&gt;0))=1</f>
        <v>1</v>
      </c>
      <c r="K446" t="b">
        <f>((Table3[[#This Row],[Quantity]]&gt;=Table3[[#This Row],[Return Qty]])*(ISNUMBER(Table3[[#This Row],[Quantity]])))=1</f>
        <v>1</v>
      </c>
      <c r="L446" t="b">
        <f>ISNUMBER(Table3[[#This Row],[Unit Price]])</f>
        <v>1</v>
      </c>
      <c r="M446" t="b">
        <f>ISNUMBER(Table3[[#This Row],[Order Date]])</f>
        <v>1</v>
      </c>
      <c r="N446">
        <f>IFERROR(IF(Table3[[#This Row],[Quantity]]*Table3[[#This Row],[Unit Price]]&lt;0, "N/A", Table3[[#This Row],[Quantity]]*Table3[[#This Row],[Unit Price]]), "N/A")</f>
        <v>1200000</v>
      </c>
      <c r="O446">
        <f>IFERROR(Table3[[#This Row],[Unit Price]]*Table3[[#This Row],[Return Qty]], "N/A")</f>
        <v>50000</v>
      </c>
      <c r="P446">
        <f>IFERROR(IF((Table3[[#This Row],[Revenue before return]]-Table3[[#This Row],[Amount of order  returned]])&lt;0, "N/A", Table3[[#This Row],[Revenue before return]]-Table3[[#This Row],[Amount of order  returned]]), "N/A")</f>
        <v>1150000</v>
      </c>
      <c r="Q44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47" spans="1:17" x14ac:dyDescent="0.2">
      <c r="A447" t="s">
        <v>757</v>
      </c>
      <c r="B447" t="s">
        <v>21</v>
      </c>
      <c r="C447" t="s">
        <v>22</v>
      </c>
      <c r="D447" s="6">
        <v>24</v>
      </c>
      <c r="E447" s="5" t="s">
        <v>11</v>
      </c>
      <c r="F447" t="s">
        <v>80</v>
      </c>
      <c r="G447" s="7">
        <v>46149</v>
      </c>
      <c r="H447" s="5">
        <v>1</v>
      </c>
      <c r="I44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47" t="b">
        <f>((ISNUMBER(Table3[[#This Row],[Quantity]]) )* (Table3[[#This Row],[Quantity]]&gt;0))=1</f>
        <v>1</v>
      </c>
      <c r="K447" t="b">
        <f>((Table3[[#This Row],[Quantity]]&gt;=Table3[[#This Row],[Return Qty]])*(ISNUMBER(Table3[[#This Row],[Quantity]])))=1</f>
        <v>1</v>
      </c>
      <c r="L447" t="b">
        <f>ISNUMBER(Table3[[#This Row],[Unit Price]])</f>
        <v>0</v>
      </c>
      <c r="M447" t="b">
        <f>ISNUMBER(Table3[[#This Row],[Order Date]])</f>
        <v>1</v>
      </c>
      <c r="N447" t="str">
        <f>IFERROR(IF(Table3[[#This Row],[Quantity]]*Table3[[#This Row],[Unit Price]]&lt;0, "N/A", Table3[[#This Row],[Quantity]]*Table3[[#This Row],[Unit Price]]), "N/A")</f>
        <v>N/A</v>
      </c>
      <c r="O447" t="str">
        <f>IFERROR(Table3[[#This Row],[Unit Price]]*Table3[[#This Row],[Return Qty]], "N/A")</f>
        <v>N/A</v>
      </c>
      <c r="P447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44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48" spans="1:17" x14ac:dyDescent="0.2">
      <c r="A448" t="s">
        <v>758</v>
      </c>
      <c r="B448" t="s">
        <v>25</v>
      </c>
      <c r="C448" t="s">
        <v>26</v>
      </c>
      <c r="D448" s="6">
        <v>1</v>
      </c>
      <c r="E448" s="5">
        <v>20000</v>
      </c>
      <c r="F448" t="s">
        <v>449</v>
      </c>
      <c r="G448" s="7">
        <v>46091</v>
      </c>
      <c r="H448" s="5">
        <v>0</v>
      </c>
      <c r="I44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48" t="b">
        <f>((ISNUMBER(Table3[[#This Row],[Quantity]]) )* (Table3[[#This Row],[Quantity]]&gt;0))=1</f>
        <v>1</v>
      </c>
      <c r="K448" t="b">
        <f>((Table3[[#This Row],[Quantity]]&gt;=Table3[[#This Row],[Return Qty]])*(ISNUMBER(Table3[[#This Row],[Quantity]])))=1</f>
        <v>1</v>
      </c>
      <c r="L448" t="b">
        <f>ISNUMBER(Table3[[#This Row],[Unit Price]])</f>
        <v>1</v>
      </c>
      <c r="M448" t="b">
        <f>ISNUMBER(Table3[[#This Row],[Order Date]])</f>
        <v>1</v>
      </c>
      <c r="N448">
        <f>IFERROR(IF(Table3[[#This Row],[Quantity]]*Table3[[#This Row],[Unit Price]]&lt;0, "N/A", Table3[[#This Row],[Quantity]]*Table3[[#This Row],[Unit Price]]), "N/A")</f>
        <v>20000</v>
      </c>
      <c r="O448">
        <f>IFERROR(Table3[[#This Row],[Unit Price]]*Table3[[#This Row],[Return Qty]], "N/A")</f>
        <v>0</v>
      </c>
      <c r="P448">
        <f>IFERROR(IF((Table3[[#This Row],[Revenue before return]]-Table3[[#This Row],[Amount of order  returned]])&lt;0, "N/A", Table3[[#This Row],[Revenue before return]]-Table3[[#This Row],[Amount of order  returned]]), "N/A")</f>
        <v>20000</v>
      </c>
      <c r="Q44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49" spans="1:17" x14ac:dyDescent="0.2">
      <c r="A449" t="s">
        <v>759</v>
      </c>
      <c r="B449" t="s">
        <v>25</v>
      </c>
      <c r="C449" t="s">
        <v>39</v>
      </c>
      <c r="D449" s="6">
        <v>19</v>
      </c>
      <c r="E449" s="5">
        <v>12000</v>
      </c>
      <c r="F449" t="s">
        <v>760</v>
      </c>
      <c r="G449" s="7">
        <v>46109</v>
      </c>
      <c r="H449" s="5">
        <v>0</v>
      </c>
      <c r="I44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49" t="b">
        <f>((ISNUMBER(Table3[[#This Row],[Quantity]]) )* (Table3[[#This Row],[Quantity]]&gt;0))=1</f>
        <v>1</v>
      </c>
      <c r="K449" t="b">
        <f>((Table3[[#This Row],[Quantity]]&gt;=Table3[[#This Row],[Return Qty]])*(ISNUMBER(Table3[[#This Row],[Quantity]])))=1</f>
        <v>1</v>
      </c>
      <c r="L449" t="b">
        <f>ISNUMBER(Table3[[#This Row],[Unit Price]])</f>
        <v>1</v>
      </c>
      <c r="M449" t="b">
        <f>ISNUMBER(Table3[[#This Row],[Order Date]])</f>
        <v>1</v>
      </c>
      <c r="N449">
        <f>IFERROR(IF(Table3[[#This Row],[Quantity]]*Table3[[#This Row],[Unit Price]]&lt;0, "N/A", Table3[[#This Row],[Quantity]]*Table3[[#This Row],[Unit Price]]), "N/A")</f>
        <v>228000</v>
      </c>
      <c r="O449">
        <f>IFERROR(Table3[[#This Row],[Unit Price]]*Table3[[#This Row],[Return Qty]], "N/A")</f>
        <v>0</v>
      </c>
      <c r="P449">
        <f>IFERROR(IF((Table3[[#This Row],[Revenue before return]]-Table3[[#This Row],[Amount of order  returned]])&lt;0, "N/A", Table3[[#This Row],[Revenue before return]]-Table3[[#This Row],[Amount of order  returned]]), "N/A")</f>
        <v>228000</v>
      </c>
      <c r="Q44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50" spans="1:17" x14ac:dyDescent="0.2">
      <c r="A450" t="s">
        <v>761</v>
      </c>
      <c r="B450" t="s">
        <v>25</v>
      </c>
      <c r="C450" t="s">
        <v>22</v>
      </c>
      <c r="D450" s="6">
        <v>25</v>
      </c>
      <c r="E450" s="5">
        <v>35000</v>
      </c>
      <c r="F450" t="s">
        <v>683</v>
      </c>
      <c r="G450" s="7">
        <v>46195</v>
      </c>
      <c r="H450" s="5">
        <v>0</v>
      </c>
      <c r="I45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50" t="b">
        <f>((ISNUMBER(Table3[[#This Row],[Quantity]]) )* (Table3[[#This Row],[Quantity]]&gt;0))=1</f>
        <v>1</v>
      </c>
      <c r="K450" t="b">
        <f>((Table3[[#This Row],[Quantity]]&gt;=Table3[[#This Row],[Return Qty]])*(ISNUMBER(Table3[[#This Row],[Quantity]])))=1</f>
        <v>1</v>
      </c>
      <c r="L450" t="b">
        <f>ISNUMBER(Table3[[#This Row],[Unit Price]])</f>
        <v>1</v>
      </c>
      <c r="M450" t="b">
        <f>ISNUMBER(Table3[[#This Row],[Order Date]])</f>
        <v>1</v>
      </c>
      <c r="N450">
        <f>IFERROR(IF(Table3[[#This Row],[Quantity]]*Table3[[#This Row],[Unit Price]]&lt;0, "N/A", Table3[[#This Row],[Quantity]]*Table3[[#This Row],[Unit Price]]), "N/A")</f>
        <v>875000</v>
      </c>
      <c r="O450">
        <f>IFERROR(Table3[[#This Row],[Unit Price]]*Table3[[#This Row],[Return Qty]], "N/A")</f>
        <v>0</v>
      </c>
      <c r="P450">
        <f>IFERROR(IF((Table3[[#This Row],[Revenue before return]]-Table3[[#This Row],[Amount of order  returned]])&lt;0, "N/A", Table3[[#This Row],[Revenue before return]]-Table3[[#This Row],[Amount of order  returned]]), "N/A")</f>
        <v>875000</v>
      </c>
      <c r="Q45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51" spans="1:17" x14ac:dyDescent="0.2">
      <c r="A451" t="s">
        <v>763</v>
      </c>
      <c r="B451" t="s">
        <v>21</v>
      </c>
      <c r="C451" t="s">
        <v>45</v>
      </c>
      <c r="D451" s="6">
        <v>13</v>
      </c>
      <c r="E451" s="5">
        <v>20000</v>
      </c>
      <c r="F451" t="s">
        <v>400</v>
      </c>
      <c r="G451" s="7">
        <v>46166</v>
      </c>
      <c r="H451" s="5">
        <v>2</v>
      </c>
      <c r="I45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51" t="b">
        <f>((ISNUMBER(Table3[[#This Row],[Quantity]]) )* (Table3[[#This Row],[Quantity]]&gt;0))=1</f>
        <v>1</v>
      </c>
      <c r="K451" t="b">
        <f>((Table3[[#This Row],[Quantity]]&gt;=Table3[[#This Row],[Return Qty]])*(ISNUMBER(Table3[[#This Row],[Quantity]])))=1</f>
        <v>1</v>
      </c>
      <c r="L451" t="b">
        <f>ISNUMBER(Table3[[#This Row],[Unit Price]])</f>
        <v>1</v>
      </c>
      <c r="M451" t="b">
        <f>ISNUMBER(Table3[[#This Row],[Order Date]])</f>
        <v>1</v>
      </c>
      <c r="N451">
        <f>IFERROR(IF(Table3[[#This Row],[Quantity]]*Table3[[#This Row],[Unit Price]]&lt;0, "N/A", Table3[[#This Row],[Quantity]]*Table3[[#This Row],[Unit Price]]), "N/A")</f>
        <v>260000</v>
      </c>
      <c r="O451">
        <f>IFERROR(Table3[[#This Row],[Unit Price]]*Table3[[#This Row],[Return Qty]], "N/A")</f>
        <v>40000</v>
      </c>
      <c r="P451">
        <f>IFERROR(IF((Table3[[#This Row],[Revenue before return]]-Table3[[#This Row],[Amount of order  returned]])&lt;0, "N/A", Table3[[#This Row],[Revenue before return]]-Table3[[#This Row],[Amount of order  returned]]), "N/A")</f>
        <v>220000</v>
      </c>
      <c r="Q45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52" spans="1:17" x14ac:dyDescent="0.2">
      <c r="A452" t="s">
        <v>764</v>
      </c>
      <c r="B452" t="s">
        <v>9</v>
      </c>
      <c r="C452" t="s">
        <v>22</v>
      </c>
      <c r="D452" s="6">
        <v>6</v>
      </c>
      <c r="E452" s="5">
        <v>35000</v>
      </c>
      <c r="F452" t="s">
        <v>274</v>
      </c>
      <c r="G452" s="7">
        <v>46202</v>
      </c>
      <c r="H452" s="5">
        <v>0</v>
      </c>
      <c r="I45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52" t="b">
        <f>((ISNUMBER(Table3[[#This Row],[Quantity]]) )* (Table3[[#This Row],[Quantity]]&gt;0))=1</f>
        <v>1</v>
      </c>
      <c r="K452" t="b">
        <f>((Table3[[#This Row],[Quantity]]&gt;=Table3[[#This Row],[Return Qty]])*(ISNUMBER(Table3[[#This Row],[Quantity]])))=1</f>
        <v>1</v>
      </c>
      <c r="L452" t="b">
        <f>ISNUMBER(Table3[[#This Row],[Unit Price]])</f>
        <v>1</v>
      </c>
      <c r="M452" t="b">
        <f>ISNUMBER(Table3[[#This Row],[Order Date]])</f>
        <v>1</v>
      </c>
      <c r="N452">
        <f>IFERROR(IF(Table3[[#This Row],[Quantity]]*Table3[[#This Row],[Unit Price]]&lt;0, "N/A", Table3[[#This Row],[Quantity]]*Table3[[#This Row],[Unit Price]]), "N/A")</f>
        <v>210000</v>
      </c>
      <c r="O452">
        <f>IFERROR(Table3[[#This Row],[Unit Price]]*Table3[[#This Row],[Return Qty]], "N/A")</f>
        <v>0</v>
      </c>
      <c r="P452">
        <f>IFERROR(IF((Table3[[#This Row],[Revenue before return]]-Table3[[#This Row],[Amount of order  returned]])&lt;0, "N/A", Table3[[#This Row],[Revenue before return]]-Table3[[#This Row],[Amount of order  returned]]), "N/A")</f>
        <v>210000</v>
      </c>
      <c r="Q45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53" spans="1:17" x14ac:dyDescent="0.2">
      <c r="A453" t="s">
        <v>766</v>
      </c>
      <c r="B453" t="s">
        <v>25</v>
      </c>
      <c r="C453" t="s">
        <v>45</v>
      </c>
      <c r="D453" s="6" t="s">
        <v>11</v>
      </c>
      <c r="E453" s="5">
        <v>20000</v>
      </c>
      <c r="F453" t="s">
        <v>767</v>
      </c>
      <c r="G453" s="7">
        <v>46041</v>
      </c>
      <c r="H453" s="5">
        <v>0</v>
      </c>
      <c r="I45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53" t="b">
        <f>((ISNUMBER(Table3[[#This Row],[Quantity]]) )* (Table3[[#This Row],[Quantity]]&gt;0))=1</f>
        <v>0</v>
      </c>
      <c r="K453" t="b">
        <f>((Table3[[#This Row],[Quantity]]&gt;=Table3[[#This Row],[Return Qty]])*(ISNUMBER(Table3[[#This Row],[Quantity]])))=1</f>
        <v>0</v>
      </c>
      <c r="L453" t="b">
        <f>ISNUMBER(Table3[[#This Row],[Unit Price]])</f>
        <v>1</v>
      </c>
      <c r="M453" t="b">
        <f>ISNUMBER(Table3[[#This Row],[Order Date]])</f>
        <v>1</v>
      </c>
      <c r="N453" t="str">
        <f>IFERROR(IF(Table3[[#This Row],[Quantity]]*Table3[[#This Row],[Unit Price]]&lt;0, "N/A", Table3[[#This Row],[Quantity]]*Table3[[#This Row],[Unit Price]]), "N/A")</f>
        <v>N/A</v>
      </c>
      <c r="O453">
        <f>IFERROR(Table3[[#This Row],[Unit Price]]*Table3[[#This Row],[Return Qty]], "N/A")</f>
        <v>0</v>
      </c>
      <c r="P453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45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54" spans="1:17" x14ac:dyDescent="0.2">
      <c r="A454" t="s">
        <v>768</v>
      </c>
      <c r="B454" t="s">
        <v>21</v>
      </c>
      <c r="C454" t="s">
        <v>70</v>
      </c>
      <c r="D454" s="6">
        <v>19</v>
      </c>
      <c r="E454" s="5">
        <v>28000</v>
      </c>
      <c r="F454" t="s">
        <v>276</v>
      </c>
      <c r="G454" s="7">
        <v>46042</v>
      </c>
      <c r="H454" s="5">
        <v>0</v>
      </c>
      <c r="I45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54" t="b">
        <f>((ISNUMBER(Table3[[#This Row],[Quantity]]) )* (Table3[[#This Row],[Quantity]]&gt;0))=1</f>
        <v>1</v>
      </c>
      <c r="K454" t="b">
        <f>((Table3[[#This Row],[Quantity]]&gt;=Table3[[#This Row],[Return Qty]])*(ISNUMBER(Table3[[#This Row],[Quantity]])))=1</f>
        <v>1</v>
      </c>
      <c r="L454" t="b">
        <f>ISNUMBER(Table3[[#This Row],[Unit Price]])</f>
        <v>1</v>
      </c>
      <c r="M454" t="b">
        <f>ISNUMBER(Table3[[#This Row],[Order Date]])</f>
        <v>1</v>
      </c>
      <c r="N454">
        <f>IFERROR(IF(Table3[[#This Row],[Quantity]]*Table3[[#This Row],[Unit Price]]&lt;0, "N/A", Table3[[#This Row],[Quantity]]*Table3[[#This Row],[Unit Price]]), "N/A")</f>
        <v>532000</v>
      </c>
      <c r="O454">
        <f>IFERROR(Table3[[#This Row],[Unit Price]]*Table3[[#This Row],[Return Qty]], "N/A")</f>
        <v>0</v>
      </c>
      <c r="P454">
        <f>IFERROR(IF((Table3[[#This Row],[Revenue before return]]-Table3[[#This Row],[Amount of order  returned]])&lt;0, "N/A", Table3[[#This Row],[Revenue before return]]-Table3[[#This Row],[Amount of order  returned]]), "N/A")</f>
        <v>532000</v>
      </c>
      <c r="Q45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55" spans="1:17" x14ac:dyDescent="0.2">
      <c r="A455" t="s">
        <v>769</v>
      </c>
      <c r="B455" t="s">
        <v>21</v>
      </c>
      <c r="C455" t="s">
        <v>70</v>
      </c>
      <c r="D455" s="6">
        <v>14</v>
      </c>
      <c r="E455" s="5">
        <v>28000</v>
      </c>
      <c r="F455" t="s">
        <v>770</v>
      </c>
      <c r="G455" s="7">
        <v>46195</v>
      </c>
      <c r="H455" s="5">
        <v>0</v>
      </c>
      <c r="I45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55" t="b">
        <f>((ISNUMBER(Table3[[#This Row],[Quantity]]) )* (Table3[[#This Row],[Quantity]]&gt;0))=1</f>
        <v>1</v>
      </c>
      <c r="K455" t="b">
        <f>((Table3[[#This Row],[Quantity]]&gt;=Table3[[#This Row],[Return Qty]])*(ISNUMBER(Table3[[#This Row],[Quantity]])))=1</f>
        <v>1</v>
      </c>
      <c r="L455" t="b">
        <f>ISNUMBER(Table3[[#This Row],[Unit Price]])</f>
        <v>1</v>
      </c>
      <c r="M455" t="b">
        <f>ISNUMBER(Table3[[#This Row],[Order Date]])</f>
        <v>1</v>
      </c>
      <c r="N455">
        <f>IFERROR(IF(Table3[[#This Row],[Quantity]]*Table3[[#This Row],[Unit Price]]&lt;0, "N/A", Table3[[#This Row],[Quantity]]*Table3[[#This Row],[Unit Price]]), "N/A")</f>
        <v>392000</v>
      </c>
      <c r="O455">
        <f>IFERROR(Table3[[#This Row],[Unit Price]]*Table3[[#This Row],[Return Qty]], "N/A")</f>
        <v>0</v>
      </c>
      <c r="P455">
        <f>IFERROR(IF((Table3[[#This Row],[Revenue before return]]-Table3[[#This Row],[Amount of order  returned]])&lt;0, "N/A", Table3[[#This Row],[Revenue before return]]-Table3[[#This Row],[Amount of order  returned]]), "N/A")</f>
        <v>392000</v>
      </c>
      <c r="Q45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56" spans="1:17" x14ac:dyDescent="0.2">
      <c r="A456" t="s">
        <v>771</v>
      </c>
      <c r="B456" t="s">
        <v>9</v>
      </c>
      <c r="C456" t="s">
        <v>70</v>
      </c>
      <c r="D456" s="6">
        <v>4</v>
      </c>
      <c r="E456" s="5">
        <v>28000</v>
      </c>
      <c r="F456" t="s">
        <v>474</v>
      </c>
      <c r="G456" s="7">
        <v>46202</v>
      </c>
      <c r="H456" s="5">
        <v>0</v>
      </c>
      <c r="I45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56" t="b">
        <f>((ISNUMBER(Table3[[#This Row],[Quantity]]) )* (Table3[[#This Row],[Quantity]]&gt;0))=1</f>
        <v>1</v>
      </c>
      <c r="K456" t="b">
        <f>((Table3[[#This Row],[Quantity]]&gt;=Table3[[#This Row],[Return Qty]])*(ISNUMBER(Table3[[#This Row],[Quantity]])))=1</f>
        <v>1</v>
      </c>
      <c r="L456" t="b">
        <f>ISNUMBER(Table3[[#This Row],[Unit Price]])</f>
        <v>1</v>
      </c>
      <c r="M456" t="b">
        <f>ISNUMBER(Table3[[#This Row],[Order Date]])</f>
        <v>1</v>
      </c>
      <c r="N456">
        <f>IFERROR(IF(Table3[[#This Row],[Quantity]]*Table3[[#This Row],[Unit Price]]&lt;0, "N/A", Table3[[#This Row],[Quantity]]*Table3[[#This Row],[Unit Price]]), "N/A")</f>
        <v>112000</v>
      </c>
      <c r="O456">
        <f>IFERROR(Table3[[#This Row],[Unit Price]]*Table3[[#This Row],[Return Qty]], "N/A")</f>
        <v>0</v>
      </c>
      <c r="P456">
        <f>IFERROR(IF((Table3[[#This Row],[Revenue before return]]-Table3[[#This Row],[Amount of order  returned]])&lt;0, "N/A", Table3[[#This Row],[Revenue before return]]-Table3[[#This Row],[Amount of order  returned]]), "N/A")</f>
        <v>112000</v>
      </c>
      <c r="Q45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57" spans="1:17" x14ac:dyDescent="0.2">
      <c r="A457" t="s">
        <v>772</v>
      </c>
      <c r="B457" t="s">
        <v>25</v>
      </c>
      <c r="C457" t="s">
        <v>10</v>
      </c>
      <c r="D457" s="6">
        <v>24</v>
      </c>
      <c r="E457" s="5">
        <v>15000</v>
      </c>
      <c r="F457" t="s">
        <v>773</v>
      </c>
      <c r="G457" s="7">
        <v>46035</v>
      </c>
      <c r="H457" s="5">
        <v>0</v>
      </c>
      <c r="I45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57" t="b">
        <f>((ISNUMBER(Table3[[#This Row],[Quantity]]) )* (Table3[[#This Row],[Quantity]]&gt;0))=1</f>
        <v>1</v>
      </c>
      <c r="K457" t="b">
        <f>((Table3[[#This Row],[Quantity]]&gt;=Table3[[#This Row],[Return Qty]])*(ISNUMBER(Table3[[#This Row],[Quantity]])))=1</f>
        <v>1</v>
      </c>
      <c r="L457" t="b">
        <f>ISNUMBER(Table3[[#This Row],[Unit Price]])</f>
        <v>1</v>
      </c>
      <c r="M457" t="b">
        <f>ISNUMBER(Table3[[#This Row],[Order Date]])</f>
        <v>1</v>
      </c>
      <c r="N457">
        <f>IFERROR(IF(Table3[[#This Row],[Quantity]]*Table3[[#This Row],[Unit Price]]&lt;0, "N/A", Table3[[#This Row],[Quantity]]*Table3[[#This Row],[Unit Price]]), "N/A")</f>
        <v>360000</v>
      </c>
      <c r="O457">
        <f>IFERROR(Table3[[#This Row],[Unit Price]]*Table3[[#This Row],[Return Qty]], "N/A")</f>
        <v>0</v>
      </c>
      <c r="P457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45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58" spans="1:17" x14ac:dyDescent="0.2">
      <c r="A458" t="s">
        <v>774</v>
      </c>
      <c r="B458" t="s">
        <v>14</v>
      </c>
      <c r="C458" t="s">
        <v>39</v>
      </c>
      <c r="D458" s="6">
        <v>14</v>
      </c>
      <c r="E458" s="5">
        <v>12000</v>
      </c>
      <c r="F458" t="s">
        <v>572</v>
      </c>
      <c r="G458" s="7">
        <v>46058</v>
      </c>
      <c r="H458" s="5">
        <v>0</v>
      </c>
      <c r="I45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58" t="b">
        <f>((ISNUMBER(Table3[[#This Row],[Quantity]]) )* (Table3[[#This Row],[Quantity]]&gt;0))=1</f>
        <v>1</v>
      </c>
      <c r="K458" t="b">
        <f>((Table3[[#This Row],[Quantity]]&gt;=Table3[[#This Row],[Return Qty]])*(ISNUMBER(Table3[[#This Row],[Quantity]])))=1</f>
        <v>1</v>
      </c>
      <c r="L458" t="b">
        <f>ISNUMBER(Table3[[#This Row],[Unit Price]])</f>
        <v>1</v>
      </c>
      <c r="M458" t="b">
        <f>ISNUMBER(Table3[[#This Row],[Order Date]])</f>
        <v>1</v>
      </c>
      <c r="N458">
        <f>IFERROR(IF(Table3[[#This Row],[Quantity]]*Table3[[#This Row],[Unit Price]]&lt;0, "N/A", Table3[[#This Row],[Quantity]]*Table3[[#This Row],[Unit Price]]), "N/A")</f>
        <v>168000</v>
      </c>
      <c r="O458">
        <f>IFERROR(Table3[[#This Row],[Unit Price]]*Table3[[#This Row],[Return Qty]], "N/A")</f>
        <v>0</v>
      </c>
      <c r="P458">
        <f>IFERROR(IF((Table3[[#This Row],[Revenue before return]]-Table3[[#This Row],[Amount of order  returned]])&lt;0, "N/A", Table3[[#This Row],[Revenue before return]]-Table3[[#This Row],[Amount of order  returned]]), "N/A")</f>
        <v>168000</v>
      </c>
      <c r="Q45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59" spans="1:17" x14ac:dyDescent="0.2">
      <c r="A459" t="s">
        <v>775</v>
      </c>
      <c r="B459" t="s">
        <v>9</v>
      </c>
      <c r="C459" t="s">
        <v>10</v>
      </c>
      <c r="D459" s="6">
        <v>18</v>
      </c>
      <c r="E459" s="5">
        <v>15000</v>
      </c>
      <c r="F459" t="s">
        <v>776</v>
      </c>
      <c r="G459" s="7">
        <v>46070</v>
      </c>
      <c r="H459" s="5">
        <v>0</v>
      </c>
      <c r="I45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59" t="b">
        <f>((ISNUMBER(Table3[[#This Row],[Quantity]]) )* (Table3[[#This Row],[Quantity]]&gt;0))=1</f>
        <v>1</v>
      </c>
      <c r="K459" t="b">
        <f>((Table3[[#This Row],[Quantity]]&gt;=Table3[[#This Row],[Return Qty]])*(ISNUMBER(Table3[[#This Row],[Quantity]])))=1</f>
        <v>1</v>
      </c>
      <c r="L459" t="b">
        <f>ISNUMBER(Table3[[#This Row],[Unit Price]])</f>
        <v>1</v>
      </c>
      <c r="M459" t="b">
        <f>ISNUMBER(Table3[[#This Row],[Order Date]])</f>
        <v>1</v>
      </c>
      <c r="N459">
        <f>IFERROR(IF(Table3[[#This Row],[Quantity]]*Table3[[#This Row],[Unit Price]]&lt;0, "N/A", Table3[[#This Row],[Quantity]]*Table3[[#This Row],[Unit Price]]), "N/A")</f>
        <v>270000</v>
      </c>
      <c r="O459">
        <f>IFERROR(Table3[[#This Row],[Unit Price]]*Table3[[#This Row],[Return Qty]], "N/A")</f>
        <v>0</v>
      </c>
      <c r="P459">
        <f>IFERROR(IF((Table3[[#This Row],[Revenue before return]]-Table3[[#This Row],[Amount of order  returned]])&lt;0, "N/A", Table3[[#This Row],[Revenue before return]]-Table3[[#This Row],[Amount of order  returned]]), "N/A")</f>
        <v>270000</v>
      </c>
      <c r="Q45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60" spans="1:17" x14ac:dyDescent="0.2">
      <c r="A460" t="s">
        <v>777</v>
      </c>
      <c r="B460" t="s">
        <v>25</v>
      </c>
      <c r="C460" t="s">
        <v>32</v>
      </c>
      <c r="D460" s="6">
        <v>2</v>
      </c>
      <c r="E460" s="5">
        <v>8000</v>
      </c>
      <c r="F460" t="s">
        <v>719</v>
      </c>
      <c r="G460" s="7">
        <v>46118</v>
      </c>
      <c r="H460" s="5">
        <v>0</v>
      </c>
      <c r="I46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60" t="b">
        <f>((ISNUMBER(Table3[[#This Row],[Quantity]]) )* (Table3[[#This Row],[Quantity]]&gt;0))=1</f>
        <v>1</v>
      </c>
      <c r="K460" t="b">
        <f>((Table3[[#This Row],[Quantity]]&gt;=Table3[[#This Row],[Return Qty]])*(ISNUMBER(Table3[[#This Row],[Quantity]])))=1</f>
        <v>1</v>
      </c>
      <c r="L460" t="b">
        <f>ISNUMBER(Table3[[#This Row],[Unit Price]])</f>
        <v>1</v>
      </c>
      <c r="M460" t="b">
        <f>ISNUMBER(Table3[[#This Row],[Order Date]])</f>
        <v>1</v>
      </c>
      <c r="N460">
        <f>IFERROR(IF(Table3[[#This Row],[Quantity]]*Table3[[#This Row],[Unit Price]]&lt;0, "N/A", Table3[[#This Row],[Quantity]]*Table3[[#This Row],[Unit Price]]), "N/A")</f>
        <v>16000</v>
      </c>
      <c r="O460">
        <f>IFERROR(Table3[[#This Row],[Unit Price]]*Table3[[#This Row],[Return Qty]], "N/A")</f>
        <v>0</v>
      </c>
      <c r="P460">
        <f>IFERROR(IF((Table3[[#This Row],[Revenue before return]]-Table3[[#This Row],[Amount of order  returned]])&lt;0, "N/A", Table3[[#This Row],[Revenue before return]]-Table3[[#This Row],[Amount of order  returned]]), "N/A")</f>
        <v>16000</v>
      </c>
      <c r="Q46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61" spans="1:17" x14ac:dyDescent="0.2">
      <c r="A461" t="s">
        <v>778</v>
      </c>
      <c r="B461" t="s">
        <v>25</v>
      </c>
      <c r="C461" t="s">
        <v>18</v>
      </c>
      <c r="D461" s="6">
        <v>5</v>
      </c>
      <c r="E461" s="5">
        <v>50000</v>
      </c>
      <c r="F461" t="s">
        <v>474</v>
      </c>
      <c r="G461" s="7">
        <v>46046</v>
      </c>
      <c r="H461" s="5">
        <v>0</v>
      </c>
      <c r="I46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61" t="b">
        <f>((ISNUMBER(Table3[[#This Row],[Quantity]]) )* (Table3[[#This Row],[Quantity]]&gt;0))=1</f>
        <v>1</v>
      </c>
      <c r="K461" t="b">
        <f>((Table3[[#This Row],[Quantity]]&gt;=Table3[[#This Row],[Return Qty]])*(ISNUMBER(Table3[[#This Row],[Quantity]])))=1</f>
        <v>1</v>
      </c>
      <c r="L461" t="b">
        <f>ISNUMBER(Table3[[#This Row],[Unit Price]])</f>
        <v>1</v>
      </c>
      <c r="M461" t="b">
        <f>ISNUMBER(Table3[[#This Row],[Order Date]])</f>
        <v>1</v>
      </c>
      <c r="N461">
        <f>IFERROR(IF(Table3[[#This Row],[Quantity]]*Table3[[#This Row],[Unit Price]]&lt;0, "N/A", Table3[[#This Row],[Quantity]]*Table3[[#This Row],[Unit Price]]), "N/A")</f>
        <v>250000</v>
      </c>
      <c r="O461">
        <f>IFERROR(Table3[[#This Row],[Unit Price]]*Table3[[#This Row],[Return Qty]], "N/A")</f>
        <v>0</v>
      </c>
      <c r="P461">
        <f>IFERROR(IF((Table3[[#This Row],[Revenue before return]]-Table3[[#This Row],[Amount of order  returned]])&lt;0, "N/A", Table3[[#This Row],[Revenue before return]]-Table3[[#This Row],[Amount of order  returned]]), "N/A")</f>
        <v>250000</v>
      </c>
      <c r="Q46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62" spans="1:17" x14ac:dyDescent="0.2">
      <c r="A462" t="s">
        <v>779</v>
      </c>
      <c r="B462" t="s">
        <v>25</v>
      </c>
      <c r="C462" t="s">
        <v>10</v>
      </c>
      <c r="D462" s="6">
        <v>1</v>
      </c>
      <c r="E462" s="5">
        <v>15000</v>
      </c>
      <c r="F462" t="s">
        <v>337</v>
      </c>
      <c r="G462" s="7">
        <v>46104</v>
      </c>
      <c r="H462" s="5">
        <v>0</v>
      </c>
      <c r="I46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62" t="b">
        <f>((ISNUMBER(Table3[[#This Row],[Quantity]]) )* (Table3[[#This Row],[Quantity]]&gt;0))=1</f>
        <v>1</v>
      </c>
      <c r="K462" t="b">
        <f>((Table3[[#This Row],[Quantity]]&gt;=Table3[[#This Row],[Return Qty]])*(ISNUMBER(Table3[[#This Row],[Quantity]])))=1</f>
        <v>1</v>
      </c>
      <c r="L462" t="b">
        <f>ISNUMBER(Table3[[#This Row],[Unit Price]])</f>
        <v>1</v>
      </c>
      <c r="M462" t="b">
        <f>ISNUMBER(Table3[[#This Row],[Order Date]])</f>
        <v>1</v>
      </c>
      <c r="N462">
        <f>IFERROR(IF(Table3[[#This Row],[Quantity]]*Table3[[#This Row],[Unit Price]]&lt;0, "N/A", Table3[[#This Row],[Quantity]]*Table3[[#This Row],[Unit Price]]), "N/A")</f>
        <v>15000</v>
      </c>
      <c r="O462">
        <f>IFERROR(Table3[[#This Row],[Unit Price]]*Table3[[#This Row],[Return Qty]], "N/A")</f>
        <v>0</v>
      </c>
      <c r="P462">
        <f>IFERROR(IF((Table3[[#This Row],[Revenue before return]]-Table3[[#This Row],[Amount of order  returned]])&lt;0, "N/A", Table3[[#This Row],[Revenue before return]]-Table3[[#This Row],[Amount of order  returned]]), "N/A")</f>
        <v>15000</v>
      </c>
      <c r="Q46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63" spans="1:17" x14ac:dyDescent="0.2">
      <c r="A463" t="s">
        <v>780</v>
      </c>
      <c r="B463" t="s">
        <v>25</v>
      </c>
      <c r="C463" t="s">
        <v>70</v>
      </c>
      <c r="D463" s="6">
        <v>5</v>
      </c>
      <c r="E463" s="5">
        <v>28000</v>
      </c>
      <c r="F463" t="s">
        <v>203</v>
      </c>
      <c r="G463" s="7">
        <v>46150</v>
      </c>
      <c r="H463" s="5">
        <v>0</v>
      </c>
      <c r="I46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63" t="b">
        <f>((ISNUMBER(Table3[[#This Row],[Quantity]]) )* (Table3[[#This Row],[Quantity]]&gt;0))=1</f>
        <v>1</v>
      </c>
      <c r="K463" t="b">
        <f>((Table3[[#This Row],[Quantity]]&gt;=Table3[[#This Row],[Return Qty]])*(ISNUMBER(Table3[[#This Row],[Quantity]])))=1</f>
        <v>1</v>
      </c>
      <c r="L463" t="b">
        <f>ISNUMBER(Table3[[#This Row],[Unit Price]])</f>
        <v>1</v>
      </c>
      <c r="M463" t="b">
        <f>ISNUMBER(Table3[[#This Row],[Order Date]])</f>
        <v>1</v>
      </c>
      <c r="N463">
        <f>IFERROR(IF(Table3[[#This Row],[Quantity]]*Table3[[#This Row],[Unit Price]]&lt;0, "N/A", Table3[[#This Row],[Quantity]]*Table3[[#This Row],[Unit Price]]), "N/A")</f>
        <v>140000</v>
      </c>
      <c r="O463">
        <f>IFERROR(Table3[[#This Row],[Unit Price]]*Table3[[#This Row],[Return Qty]], "N/A")</f>
        <v>0</v>
      </c>
      <c r="P463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46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64" spans="1:17" x14ac:dyDescent="0.2">
      <c r="A464" t="s">
        <v>781</v>
      </c>
      <c r="B464" t="s">
        <v>9</v>
      </c>
      <c r="C464" t="s">
        <v>10</v>
      </c>
      <c r="D464" s="6">
        <v>10</v>
      </c>
      <c r="E464" s="5">
        <v>15000</v>
      </c>
      <c r="F464" t="s">
        <v>253</v>
      </c>
      <c r="G464" s="18" t="s">
        <v>224</v>
      </c>
      <c r="H464" s="5">
        <v>0</v>
      </c>
      <c r="I46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64" t="b">
        <f>((ISNUMBER(Table3[[#This Row],[Quantity]]) )* (Table3[[#This Row],[Quantity]]&gt;0))=1</f>
        <v>1</v>
      </c>
      <c r="K464" t="b">
        <f>((Table3[[#This Row],[Quantity]]&gt;=Table3[[#This Row],[Return Qty]])*(ISNUMBER(Table3[[#This Row],[Quantity]])))=1</f>
        <v>1</v>
      </c>
      <c r="L464" t="b">
        <f>ISNUMBER(Table3[[#This Row],[Unit Price]])</f>
        <v>1</v>
      </c>
      <c r="M464" t="b">
        <f>ISNUMBER(Table3[[#This Row],[Order Date]])</f>
        <v>0</v>
      </c>
      <c r="N464">
        <f>IFERROR(IF(Table3[[#This Row],[Quantity]]*Table3[[#This Row],[Unit Price]]&lt;0, "N/A", Table3[[#This Row],[Quantity]]*Table3[[#This Row],[Unit Price]]), "N/A")</f>
        <v>150000</v>
      </c>
      <c r="O464">
        <f>IFERROR(Table3[[#This Row],[Unit Price]]*Table3[[#This Row],[Return Qty]], "N/A")</f>
        <v>0</v>
      </c>
      <c r="P464">
        <f>IFERROR(IF((Table3[[#This Row],[Revenue before return]]-Table3[[#This Row],[Amount of order  returned]])&lt;0, "N/A", Table3[[#This Row],[Revenue before return]]-Table3[[#This Row],[Amount of order  returned]]), "N/A")</f>
        <v>150000</v>
      </c>
      <c r="Q46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65" spans="1:17" x14ac:dyDescent="0.2">
      <c r="A465" t="s">
        <v>782</v>
      </c>
      <c r="B465" t="s">
        <v>363</v>
      </c>
      <c r="C465" t="s">
        <v>22</v>
      </c>
      <c r="D465" s="6">
        <v>300</v>
      </c>
      <c r="E465" s="5" t="s">
        <v>11</v>
      </c>
      <c r="F465" t="s">
        <v>12</v>
      </c>
      <c r="G465" s="7">
        <v>46073</v>
      </c>
      <c r="H465" s="5">
        <v>5</v>
      </c>
      <c r="I46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0</v>
      </c>
      <c r="J465" t="b">
        <f>((ISNUMBER(Table3[[#This Row],[Quantity]]) )* (Table3[[#This Row],[Quantity]]&gt;0))=1</f>
        <v>1</v>
      </c>
      <c r="K465" t="b">
        <f>((Table3[[#This Row],[Quantity]]&gt;=Table3[[#This Row],[Return Qty]])*(ISNUMBER(Table3[[#This Row],[Quantity]])))=1</f>
        <v>1</v>
      </c>
      <c r="L465" t="b">
        <f>ISNUMBER(Table3[[#This Row],[Unit Price]])</f>
        <v>0</v>
      </c>
      <c r="M465" t="b">
        <f>ISNUMBER(Table3[[#This Row],[Order Date]])</f>
        <v>1</v>
      </c>
      <c r="N465" t="str">
        <f>IFERROR(IF(Table3[[#This Row],[Quantity]]*Table3[[#This Row],[Unit Price]]&lt;0, "N/A", Table3[[#This Row],[Quantity]]*Table3[[#This Row],[Unit Price]]), "N/A")</f>
        <v>N/A</v>
      </c>
      <c r="O465" t="str">
        <f>IFERROR(Table3[[#This Row],[Unit Price]]*Table3[[#This Row],[Return Qty]], "N/A")</f>
        <v>N/A</v>
      </c>
      <c r="P465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46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66" spans="1:17" x14ac:dyDescent="0.2">
      <c r="A466" t="s">
        <v>783</v>
      </c>
      <c r="B466" t="s">
        <v>136</v>
      </c>
      <c r="C466" t="s">
        <v>26</v>
      </c>
      <c r="D466" s="6">
        <v>4</v>
      </c>
      <c r="E466" s="5">
        <v>20000</v>
      </c>
      <c r="F466" t="s">
        <v>784</v>
      </c>
      <c r="G466" s="7">
        <v>46127</v>
      </c>
      <c r="H466" s="5">
        <v>0</v>
      </c>
      <c r="I46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66" t="b">
        <f>((ISNUMBER(Table3[[#This Row],[Quantity]]) )* (Table3[[#This Row],[Quantity]]&gt;0))=1</f>
        <v>1</v>
      </c>
      <c r="K466" t="b">
        <f>((Table3[[#This Row],[Quantity]]&gt;=Table3[[#This Row],[Return Qty]])*(ISNUMBER(Table3[[#This Row],[Quantity]])))=1</f>
        <v>1</v>
      </c>
      <c r="L466" t="b">
        <f>ISNUMBER(Table3[[#This Row],[Unit Price]])</f>
        <v>1</v>
      </c>
      <c r="M466" t="b">
        <f>ISNUMBER(Table3[[#This Row],[Order Date]])</f>
        <v>1</v>
      </c>
      <c r="N466">
        <f>IFERROR(IF(Table3[[#This Row],[Quantity]]*Table3[[#This Row],[Unit Price]]&lt;0, "N/A", Table3[[#This Row],[Quantity]]*Table3[[#This Row],[Unit Price]]), "N/A")</f>
        <v>80000</v>
      </c>
      <c r="O466">
        <f>IFERROR(Table3[[#This Row],[Unit Price]]*Table3[[#This Row],[Return Qty]], "N/A")</f>
        <v>0</v>
      </c>
      <c r="P466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46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67" spans="1:17" x14ac:dyDescent="0.2">
      <c r="A467" t="s">
        <v>785</v>
      </c>
      <c r="B467" t="s">
        <v>14</v>
      </c>
      <c r="C467" t="s">
        <v>18</v>
      </c>
      <c r="D467" s="6">
        <v>23</v>
      </c>
      <c r="E467" s="5">
        <v>50000</v>
      </c>
      <c r="F467" t="s">
        <v>236</v>
      </c>
      <c r="G467" s="7">
        <v>46182</v>
      </c>
      <c r="H467" s="5">
        <v>0</v>
      </c>
      <c r="I46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67" t="b">
        <f>((ISNUMBER(Table3[[#This Row],[Quantity]]) )* (Table3[[#This Row],[Quantity]]&gt;0))=1</f>
        <v>1</v>
      </c>
      <c r="K467" t="b">
        <f>((Table3[[#This Row],[Quantity]]&gt;=Table3[[#This Row],[Return Qty]])*(ISNUMBER(Table3[[#This Row],[Quantity]])))=1</f>
        <v>1</v>
      </c>
      <c r="L467" t="b">
        <f>ISNUMBER(Table3[[#This Row],[Unit Price]])</f>
        <v>1</v>
      </c>
      <c r="M467" t="b">
        <f>ISNUMBER(Table3[[#This Row],[Order Date]])</f>
        <v>1</v>
      </c>
      <c r="N467">
        <f>IFERROR(IF(Table3[[#This Row],[Quantity]]*Table3[[#This Row],[Unit Price]]&lt;0, "N/A", Table3[[#This Row],[Quantity]]*Table3[[#This Row],[Unit Price]]), "N/A")</f>
        <v>1150000</v>
      </c>
      <c r="O467">
        <f>IFERROR(Table3[[#This Row],[Unit Price]]*Table3[[#This Row],[Return Qty]], "N/A")</f>
        <v>0</v>
      </c>
      <c r="P467">
        <f>IFERROR(IF((Table3[[#This Row],[Revenue before return]]-Table3[[#This Row],[Amount of order  returned]])&lt;0, "N/A", Table3[[#This Row],[Revenue before return]]-Table3[[#This Row],[Amount of order  returned]]), "N/A")</f>
        <v>1150000</v>
      </c>
      <c r="Q46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68" spans="1:17" x14ac:dyDescent="0.2">
      <c r="A468" t="s">
        <v>786</v>
      </c>
      <c r="B468" t="s">
        <v>14</v>
      </c>
      <c r="C468" t="s">
        <v>32</v>
      </c>
      <c r="D468" s="6">
        <v>22</v>
      </c>
      <c r="E468" s="5">
        <v>8000</v>
      </c>
      <c r="F468" t="s">
        <v>464</v>
      </c>
      <c r="G468" s="7">
        <v>46130</v>
      </c>
      <c r="H468" s="5">
        <v>0</v>
      </c>
      <c r="I46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68" t="b">
        <f>((ISNUMBER(Table3[[#This Row],[Quantity]]) )* (Table3[[#This Row],[Quantity]]&gt;0))=1</f>
        <v>1</v>
      </c>
      <c r="K468" t="b">
        <f>((Table3[[#This Row],[Quantity]]&gt;=Table3[[#This Row],[Return Qty]])*(ISNUMBER(Table3[[#This Row],[Quantity]])))=1</f>
        <v>1</v>
      </c>
      <c r="L468" t="b">
        <f>ISNUMBER(Table3[[#This Row],[Unit Price]])</f>
        <v>1</v>
      </c>
      <c r="M468" t="b">
        <f>ISNUMBER(Table3[[#This Row],[Order Date]])</f>
        <v>1</v>
      </c>
      <c r="N468">
        <f>IFERROR(IF(Table3[[#This Row],[Quantity]]*Table3[[#This Row],[Unit Price]]&lt;0, "N/A", Table3[[#This Row],[Quantity]]*Table3[[#This Row],[Unit Price]]), "N/A")</f>
        <v>176000</v>
      </c>
      <c r="O468">
        <f>IFERROR(Table3[[#This Row],[Unit Price]]*Table3[[#This Row],[Return Qty]], "N/A")</f>
        <v>0</v>
      </c>
      <c r="P468">
        <f>IFERROR(IF((Table3[[#This Row],[Revenue before return]]-Table3[[#This Row],[Amount of order  returned]])&lt;0, "N/A", Table3[[#This Row],[Revenue before return]]-Table3[[#This Row],[Amount of order  returned]]), "N/A")</f>
        <v>176000</v>
      </c>
      <c r="Q46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69" spans="1:17" x14ac:dyDescent="0.2">
      <c r="A469" t="s">
        <v>787</v>
      </c>
      <c r="B469" t="s">
        <v>9</v>
      </c>
      <c r="C469" t="s">
        <v>26</v>
      </c>
      <c r="D469" s="6">
        <v>4</v>
      </c>
      <c r="E469" s="5">
        <v>20000</v>
      </c>
      <c r="F469" t="s">
        <v>274</v>
      </c>
      <c r="G469" s="18" t="s">
        <v>224</v>
      </c>
      <c r="H469" s="5">
        <v>0</v>
      </c>
      <c r="I46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69" t="b">
        <f>((ISNUMBER(Table3[[#This Row],[Quantity]]) )* (Table3[[#This Row],[Quantity]]&gt;0))=1</f>
        <v>1</v>
      </c>
      <c r="K469" t="b">
        <f>((Table3[[#This Row],[Quantity]]&gt;=Table3[[#This Row],[Return Qty]])*(ISNUMBER(Table3[[#This Row],[Quantity]])))=1</f>
        <v>1</v>
      </c>
      <c r="L469" t="b">
        <f>ISNUMBER(Table3[[#This Row],[Unit Price]])</f>
        <v>1</v>
      </c>
      <c r="M469" t="b">
        <f>ISNUMBER(Table3[[#This Row],[Order Date]])</f>
        <v>0</v>
      </c>
      <c r="N469">
        <f>IFERROR(IF(Table3[[#This Row],[Quantity]]*Table3[[#This Row],[Unit Price]]&lt;0, "N/A", Table3[[#This Row],[Quantity]]*Table3[[#This Row],[Unit Price]]), "N/A")</f>
        <v>80000</v>
      </c>
      <c r="O469">
        <f>IFERROR(Table3[[#This Row],[Unit Price]]*Table3[[#This Row],[Return Qty]], "N/A")</f>
        <v>0</v>
      </c>
      <c r="P469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46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70" spans="1:17" x14ac:dyDescent="0.2">
      <c r="A470" t="s">
        <v>788</v>
      </c>
      <c r="B470" t="s">
        <v>21</v>
      </c>
      <c r="C470" t="s">
        <v>70</v>
      </c>
      <c r="D470" s="6">
        <v>13</v>
      </c>
      <c r="E470" s="5">
        <v>28000</v>
      </c>
      <c r="F470" t="s">
        <v>789</v>
      </c>
      <c r="G470" s="7">
        <v>46160</v>
      </c>
      <c r="H470" s="5">
        <v>0</v>
      </c>
      <c r="I47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70" t="b">
        <f>((ISNUMBER(Table3[[#This Row],[Quantity]]) )* (Table3[[#This Row],[Quantity]]&gt;0))=1</f>
        <v>1</v>
      </c>
      <c r="K470" t="b">
        <f>((Table3[[#This Row],[Quantity]]&gt;=Table3[[#This Row],[Return Qty]])*(ISNUMBER(Table3[[#This Row],[Quantity]])))=1</f>
        <v>1</v>
      </c>
      <c r="L470" t="b">
        <f>ISNUMBER(Table3[[#This Row],[Unit Price]])</f>
        <v>1</v>
      </c>
      <c r="M470" t="b">
        <f>ISNUMBER(Table3[[#This Row],[Order Date]])</f>
        <v>1</v>
      </c>
      <c r="N470">
        <f>IFERROR(IF(Table3[[#This Row],[Quantity]]*Table3[[#This Row],[Unit Price]]&lt;0, "N/A", Table3[[#This Row],[Quantity]]*Table3[[#This Row],[Unit Price]]), "N/A")</f>
        <v>364000</v>
      </c>
      <c r="O470">
        <f>IFERROR(Table3[[#This Row],[Unit Price]]*Table3[[#This Row],[Return Qty]], "N/A")</f>
        <v>0</v>
      </c>
      <c r="P470">
        <f>IFERROR(IF((Table3[[#This Row],[Revenue before return]]-Table3[[#This Row],[Amount of order  returned]])&lt;0, "N/A", Table3[[#This Row],[Revenue before return]]-Table3[[#This Row],[Amount of order  returned]]), "N/A")</f>
        <v>364000</v>
      </c>
      <c r="Q47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71" spans="1:17" x14ac:dyDescent="0.2">
      <c r="A471" t="s">
        <v>790</v>
      </c>
      <c r="B471" t="s">
        <v>9</v>
      </c>
      <c r="C471" t="s">
        <v>26</v>
      </c>
      <c r="D471" s="6">
        <v>18</v>
      </c>
      <c r="E471" s="5">
        <v>20000</v>
      </c>
      <c r="F471" t="s">
        <v>692</v>
      </c>
      <c r="G471" s="7">
        <v>46024</v>
      </c>
      <c r="H471" s="5">
        <v>0</v>
      </c>
      <c r="I47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71" t="b">
        <f>((ISNUMBER(Table3[[#This Row],[Quantity]]) )* (Table3[[#This Row],[Quantity]]&gt;0))=1</f>
        <v>1</v>
      </c>
      <c r="K471" t="b">
        <f>((Table3[[#This Row],[Quantity]]&gt;=Table3[[#This Row],[Return Qty]])*(ISNUMBER(Table3[[#This Row],[Quantity]])))=1</f>
        <v>1</v>
      </c>
      <c r="L471" t="b">
        <f>ISNUMBER(Table3[[#This Row],[Unit Price]])</f>
        <v>1</v>
      </c>
      <c r="M471" t="b">
        <f>ISNUMBER(Table3[[#This Row],[Order Date]])</f>
        <v>1</v>
      </c>
      <c r="N471">
        <f>IFERROR(IF(Table3[[#This Row],[Quantity]]*Table3[[#This Row],[Unit Price]]&lt;0, "N/A", Table3[[#This Row],[Quantity]]*Table3[[#This Row],[Unit Price]]), "N/A")</f>
        <v>360000</v>
      </c>
      <c r="O471">
        <f>IFERROR(Table3[[#This Row],[Unit Price]]*Table3[[#This Row],[Return Qty]], "N/A")</f>
        <v>0</v>
      </c>
      <c r="P471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47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72" spans="1:17" x14ac:dyDescent="0.2">
      <c r="A472" t="s">
        <v>791</v>
      </c>
      <c r="B472" t="s">
        <v>25</v>
      </c>
      <c r="C472" t="s">
        <v>32</v>
      </c>
      <c r="D472" s="6">
        <v>1</v>
      </c>
      <c r="E472" s="5">
        <v>8000</v>
      </c>
      <c r="F472" t="s">
        <v>400</v>
      </c>
      <c r="G472" s="7">
        <v>46092</v>
      </c>
      <c r="H472" s="5">
        <v>0</v>
      </c>
      <c r="I47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72" t="b">
        <f>((ISNUMBER(Table3[[#This Row],[Quantity]]) )* (Table3[[#This Row],[Quantity]]&gt;0))=1</f>
        <v>1</v>
      </c>
      <c r="K472" t="b">
        <f>((Table3[[#This Row],[Quantity]]&gt;=Table3[[#This Row],[Return Qty]])*(ISNUMBER(Table3[[#This Row],[Quantity]])))=1</f>
        <v>1</v>
      </c>
      <c r="L472" t="b">
        <f>ISNUMBER(Table3[[#This Row],[Unit Price]])</f>
        <v>1</v>
      </c>
      <c r="M472" t="b">
        <f>ISNUMBER(Table3[[#This Row],[Order Date]])</f>
        <v>1</v>
      </c>
      <c r="N472">
        <f>IFERROR(IF(Table3[[#This Row],[Quantity]]*Table3[[#This Row],[Unit Price]]&lt;0, "N/A", Table3[[#This Row],[Quantity]]*Table3[[#This Row],[Unit Price]]), "N/A")</f>
        <v>8000</v>
      </c>
      <c r="O472">
        <f>IFERROR(Table3[[#This Row],[Unit Price]]*Table3[[#This Row],[Return Qty]], "N/A")</f>
        <v>0</v>
      </c>
      <c r="P472">
        <f>IFERROR(IF((Table3[[#This Row],[Revenue before return]]-Table3[[#This Row],[Amount of order  returned]])&lt;0, "N/A", Table3[[#This Row],[Revenue before return]]-Table3[[#This Row],[Amount of order  returned]]), "N/A")</f>
        <v>8000</v>
      </c>
      <c r="Q47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73" spans="1:17" x14ac:dyDescent="0.2">
      <c r="A473" t="s">
        <v>792</v>
      </c>
      <c r="B473" t="s">
        <v>21</v>
      </c>
      <c r="C473" t="s">
        <v>32</v>
      </c>
      <c r="D473" s="6">
        <v>18</v>
      </c>
      <c r="E473" s="5">
        <v>8000</v>
      </c>
      <c r="F473" t="s">
        <v>68</v>
      </c>
      <c r="G473" s="7">
        <v>46090</v>
      </c>
      <c r="H473" s="5">
        <v>0</v>
      </c>
      <c r="I47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73" t="b">
        <f>((ISNUMBER(Table3[[#This Row],[Quantity]]) )* (Table3[[#This Row],[Quantity]]&gt;0))=1</f>
        <v>1</v>
      </c>
      <c r="K473" t="b">
        <f>((Table3[[#This Row],[Quantity]]&gt;=Table3[[#This Row],[Return Qty]])*(ISNUMBER(Table3[[#This Row],[Quantity]])))=1</f>
        <v>1</v>
      </c>
      <c r="L473" t="b">
        <f>ISNUMBER(Table3[[#This Row],[Unit Price]])</f>
        <v>1</v>
      </c>
      <c r="M473" t="b">
        <f>ISNUMBER(Table3[[#This Row],[Order Date]])</f>
        <v>1</v>
      </c>
      <c r="N473">
        <f>IFERROR(IF(Table3[[#This Row],[Quantity]]*Table3[[#This Row],[Unit Price]]&lt;0, "N/A", Table3[[#This Row],[Quantity]]*Table3[[#This Row],[Unit Price]]), "N/A")</f>
        <v>144000</v>
      </c>
      <c r="O473">
        <f>IFERROR(Table3[[#This Row],[Unit Price]]*Table3[[#This Row],[Return Qty]], "N/A")</f>
        <v>0</v>
      </c>
      <c r="P473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47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74" spans="1:17" x14ac:dyDescent="0.2">
      <c r="A474" t="s">
        <v>794</v>
      </c>
      <c r="B474" t="s">
        <v>25</v>
      </c>
      <c r="C474" t="s">
        <v>26</v>
      </c>
      <c r="D474" s="6">
        <v>19</v>
      </c>
      <c r="E474" s="5">
        <v>20000</v>
      </c>
      <c r="F474" t="s">
        <v>795</v>
      </c>
      <c r="G474" s="7">
        <v>46093</v>
      </c>
      <c r="H474" s="5">
        <v>0</v>
      </c>
      <c r="I47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74" t="b">
        <f>((ISNUMBER(Table3[[#This Row],[Quantity]]) )* (Table3[[#This Row],[Quantity]]&gt;0))=1</f>
        <v>1</v>
      </c>
      <c r="K474" t="b">
        <f>((Table3[[#This Row],[Quantity]]&gt;=Table3[[#This Row],[Return Qty]])*(ISNUMBER(Table3[[#This Row],[Quantity]])))=1</f>
        <v>1</v>
      </c>
      <c r="L474" t="b">
        <f>ISNUMBER(Table3[[#This Row],[Unit Price]])</f>
        <v>1</v>
      </c>
      <c r="M474" t="b">
        <f>ISNUMBER(Table3[[#This Row],[Order Date]])</f>
        <v>1</v>
      </c>
      <c r="N474">
        <f>IFERROR(IF(Table3[[#This Row],[Quantity]]*Table3[[#This Row],[Unit Price]]&lt;0, "N/A", Table3[[#This Row],[Quantity]]*Table3[[#This Row],[Unit Price]]), "N/A")</f>
        <v>380000</v>
      </c>
      <c r="O474">
        <f>IFERROR(Table3[[#This Row],[Unit Price]]*Table3[[#This Row],[Return Qty]], "N/A")</f>
        <v>0</v>
      </c>
      <c r="P474">
        <f>IFERROR(IF((Table3[[#This Row],[Revenue before return]]-Table3[[#This Row],[Amount of order  returned]])&lt;0, "N/A", Table3[[#This Row],[Revenue before return]]-Table3[[#This Row],[Amount of order  returned]]), "N/A")</f>
        <v>380000</v>
      </c>
      <c r="Q47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75" spans="1:17" x14ac:dyDescent="0.2">
      <c r="A475" t="s">
        <v>796</v>
      </c>
      <c r="B475" t="s">
        <v>9</v>
      </c>
      <c r="C475" t="s">
        <v>70</v>
      </c>
      <c r="D475" s="6">
        <v>15</v>
      </c>
      <c r="E475" s="5">
        <v>28000</v>
      </c>
      <c r="F475" t="s">
        <v>449</v>
      </c>
      <c r="G475" s="7">
        <v>46157</v>
      </c>
      <c r="H475" s="5">
        <v>2</v>
      </c>
      <c r="I47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75" t="b">
        <f>((ISNUMBER(Table3[[#This Row],[Quantity]]) )* (Table3[[#This Row],[Quantity]]&gt;0))=1</f>
        <v>1</v>
      </c>
      <c r="K475" t="b">
        <f>((Table3[[#This Row],[Quantity]]&gt;=Table3[[#This Row],[Return Qty]])*(ISNUMBER(Table3[[#This Row],[Quantity]])))=1</f>
        <v>1</v>
      </c>
      <c r="L475" t="b">
        <f>ISNUMBER(Table3[[#This Row],[Unit Price]])</f>
        <v>1</v>
      </c>
      <c r="M475" t="b">
        <f>ISNUMBER(Table3[[#This Row],[Order Date]])</f>
        <v>1</v>
      </c>
      <c r="N475">
        <f>IFERROR(IF(Table3[[#This Row],[Quantity]]*Table3[[#This Row],[Unit Price]]&lt;0, "N/A", Table3[[#This Row],[Quantity]]*Table3[[#This Row],[Unit Price]]), "N/A")</f>
        <v>420000</v>
      </c>
      <c r="O475">
        <f>IFERROR(Table3[[#This Row],[Unit Price]]*Table3[[#This Row],[Return Qty]], "N/A")</f>
        <v>56000</v>
      </c>
      <c r="P475">
        <f>IFERROR(IF((Table3[[#This Row],[Revenue before return]]-Table3[[#This Row],[Amount of order  returned]])&lt;0, "N/A", Table3[[#This Row],[Revenue before return]]-Table3[[#This Row],[Amount of order  returned]]), "N/A")</f>
        <v>364000</v>
      </c>
      <c r="Q47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76" spans="1:17" x14ac:dyDescent="0.2">
      <c r="A476" t="s">
        <v>797</v>
      </c>
      <c r="B476" t="s">
        <v>14</v>
      </c>
      <c r="C476" t="s">
        <v>18</v>
      </c>
      <c r="D476" s="6">
        <v>1</v>
      </c>
      <c r="E476" s="5">
        <v>50000</v>
      </c>
      <c r="F476" t="s">
        <v>748</v>
      </c>
      <c r="G476" s="7">
        <v>46042</v>
      </c>
      <c r="H476" s="5">
        <v>0</v>
      </c>
      <c r="I47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76" t="b">
        <f>((ISNUMBER(Table3[[#This Row],[Quantity]]) )* (Table3[[#This Row],[Quantity]]&gt;0))=1</f>
        <v>1</v>
      </c>
      <c r="K476" t="b">
        <f>((Table3[[#This Row],[Quantity]]&gt;=Table3[[#This Row],[Return Qty]])*(ISNUMBER(Table3[[#This Row],[Quantity]])))=1</f>
        <v>1</v>
      </c>
      <c r="L476" t="b">
        <f>ISNUMBER(Table3[[#This Row],[Unit Price]])</f>
        <v>1</v>
      </c>
      <c r="M476" t="b">
        <f>ISNUMBER(Table3[[#This Row],[Order Date]])</f>
        <v>1</v>
      </c>
      <c r="N476">
        <f>IFERROR(IF(Table3[[#This Row],[Quantity]]*Table3[[#This Row],[Unit Price]]&lt;0, "N/A", Table3[[#This Row],[Quantity]]*Table3[[#This Row],[Unit Price]]), "N/A")</f>
        <v>50000</v>
      </c>
      <c r="O476">
        <f>IFERROR(Table3[[#This Row],[Unit Price]]*Table3[[#This Row],[Return Qty]], "N/A")</f>
        <v>0</v>
      </c>
      <c r="P476">
        <f>IFERROR(IF((Table3[[#This Row],[Revenue before return]]-Table3[[#This Row],[Amount of order  returned]])&lt;0, "N/A", Table3[[#This Row],[Revenue before return]]-Table3[[#This Row],[Amount of order  returned]]), "N/A")</f>
        <v>50000</v>
      </c>
      <c r="Q47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77" spans="1:17" x14ac:dyDescent="0.2">
      <c r="A477" t="s">
        <v>798</v>
      </c>
      <c r="B477" t="s">
        <v>9</v>
      </c>
      <c r="C477" t="s">
        <v>39</v>
      </c>
      <c r="D477" s="6">
        <v>15</v>
      </c>
      <c r="E477" s="5">
        <v>12000</v>
      </c>
      <c r="F477" t="s">
        <v>263</v>
      </c>
      <c r="G477" s="7">
        <v>46042</v>
      </c>
      <c r="H477" s="5">
        <v>0</v>
      </c>
      <c r="I47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77" t="b">
        <f>((ISNUMBER(Table3[[#This Row],[Quantity]]) )* (Table3[[#This Row],[Quantity]]&gt;0))=1</f>
        <v>1</v>
      </c>
      <c r="K477" t="b">
        <f>((Table3[[#This Row],[Quantity]]&gt;=Table3[[#This Row],[Return Qty]])*(ISNUMBER(Table3[[#This Row],[Quantity]])))=1</f>
        <v>1</v>
      </c>
      <c r="L477" t="b">
        <f>ISNUMBER(Table3[[#This Row],[Unit Price]])</f>
        <v>1</v>
      </c>
      <c r="M477" t="b">
        <f>ISNUMBER(Table3[[#This Row],[Order Date]])</f>
        <v>1</v>
      </c>
      <c r="N477">
        <f>IFERROR(IF(Table3[[#This Row],[Quantity]]*Table3[[#This Row],[Unit Price]]&lt;0, "N/A", Table3[[#This Row],[Quantity]]*Table3[[#This Row],[Unit Price]]), "N/A")</f>
        <v>180000</v>
      </c>
      <c r="O477">
        <f>IFERROR(Table3[[#This Row],[Unit Price]]*Table3[[#This Row],[Return Qty]], "N/A")</f>
        <v>0</v>
      </c>
      <c r="P477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47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78" spans="1:17" x14ac:dyDescent="0.2">
      <c r="A478" t="s">
        <v>799</v>
      </c>
      <c r="B478" t="s">
        <v>21</v>
      </c>
      <c r="C478" t="s">
        <v>26</v>
      </c>
      <c r="D478" s="6">
        <v>5</v>
      </c>
      <c r="E478" s="5">
        <v>20000</v>
      </c>
      <c r="F478" t="s">
        <v>272</v>
      </c>
      <c r="G478" s="7">
        <v>46143</v>
      </c>
      <c r="H478" s="5">
        <v>0</v>
      </c>
      <c r="I47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78" t="b">
        <f>((ISNUMBER(Table3[[#This Row],[Quantity]]) )* (Table3[[#This Row],[Quantity]]&gt;0))=1</f>
        <v>1</v>
      </c>
      <c r="K478" t="b">
        <f>((Table3[[#This Row],[Quantity]]&gt;=Table3[[#This Row],[Return Qty]])*(ISNUMBER(Table3[[#This Row],[Quantity]])))=1</f>
        <v>1</v>
      </c>
      <c r="L478" t="b">
        <f>ISNUMBER(Table3[[#This Row],[Unit Price]])</f>
        <v>1</v>
      </c>
      <c r="M478" t="b">
        <f>ISNUMBER(Table3[[#This Row],[Order Date]])</f>
        <v>1</v>
      </c>
      <c r="N478">
        <f>IFERROR(IF(Table3[[#This Row],[Quantity]]*Table3[[#This Row],[Unit Price]]&lt;0, "N/A", Table3[[#This Row],[Quantity]]*Table3[[#This Row],[Unit Price]]), "N/A")</f>
        <v>100000</v>
      </c>
      <c r="O478">
        <f>IFERROR(Table3[[#This Row],[Unit Price]]*Table3[[#This Row],[Return Qty]], "N/A")</f>
        <v>0</v>
      </c>
      <c r="P478">
        <f>IFERROR(IF((Table3[[#This Row],[Revenue before return]]-Table3[[#This Row],[Amount of order  returned]])&lt;0, "N/A", Table3[[#This Row],[Revenue before return]]-Table3[[#This Row],[Amount of order  returned]]), "N/A")</f>
        <v>100000</v>
      </c>
      <c r="Q47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79" spans="1:17" x14ac:dyDescent="0.2">
      <c r="A479" t="s">
        <v>800</v>
      </c>
      <c r="B479" t="s">
        <v>25</v>
      </c>
      <c r="C479" t="s">
        <v>32</v>
      </c>
      <c r="D479" s="6">
        <v>23</v>
      </c>
      <c r="E479" s="5">
        <v>8000</v>
      </c>
      <c r="F479" t="s">
        <v>416</v>
      </c>
      <c r="G479" s="7">
        <v>46029</v>
      </c>
      <c r="H479" s="5">
        <v>0</v>
      </c>
      <c r="I47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79" t="b">
        <f>((ISNUMBER(Table3[[#This Row],[Quantity]]) )* (Table3[[#This Row],[Quantity]]&gt;0))=1</f>
        <v>1</v>
      </c>
      <c r="K479" t="b">
        <f>((Table3[[#This Row],[Quantity]]&gt;=Table3[[#This Row],[Return Qty]])*(ISNUMBER(Table3[[#This Row],[Quantity]])))=1</f>
        <v>1</v>
      </c>
      <c r="L479" t="b">
        <f>ISNUMBER(Table3[[#This Row],[Unit Price]])</f>
        <v>1</v>
      </c>
      <c r="M479" t="b">
        <f>ISNUMBER(Table3[[#This Row],[Order Date]])</f>
        <v>1</v>
      </c>
      <c r="N479">
        <f>IFERROR(IF(Table3[[#This Row],[Quantity]]*Table3[[#This Row],[Unit Price]]&lt;0, "N/A", Table3[[#This Row],[Quantity]]*Table3[[#This Row],[Unit Price]]), "N/A")</f>
        <v>184000</v>
      </c>
      <c r="O479">
        <f>IFERROR(Table3[[#This Row],[Unit Price]]*Table3[[#This Row],[Return Qty]], "N/A")</f>
        <v>0</v>
      </c>
      <c r="P479">
        <f>IFERROR(IF((Table3[[#This Row],[Revenue before return]]-Table3[[#This Row],[Amount of order  returned]])&lt;0, "N/A", Table3[[#This Row],[Revenue before return]]-Table3[[#This Row],[Amount of order  returned]]), "N/A")</f>
        <v>184000</v>
      </c>
      <c r="Q47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80" spans="1:17" x14ac:dyDescent="0.2">
      <c r="A480" t="s">
        <v>801</v>
      </c>
      <c r="B480" t="s">
        <v>21</v>
      </c>
      <c r="C480" t="s">
        <v>39</v>
      </c>
      <c r="D480" s="6">
        <v>15</v>
      </c>
      <c r="E480" s="5">
        <v>12000</v>
      </c>
      <c r="F480" t="s">
        <v>802</v>
      </c>
      <c r="G480" s="7">
        <v>46201</v>
      </c>
      <c r="H480" s="5">
        <v>0</v>
      </c>
      <c r="I48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80" t="b">
        <f>((ISNUMBER(Table3[[#This Row],[Quantity]]) )* (Table3[[#This Row],[Quantity]]&gt;0))=1</f>
        <v>1</v>
      </c>
      <c r="K480" t="b">
        <f>((Table3[[#This Row],[Quantity]]&gt;=Table3[[#This Row],[Return Qty]])*(ISNUMBER(Table3[[#This Row],[Quantity]])))=1</f>
        <v>1</v>
      </c>
      <c r="L480" t="b">
        <f>ISNUMBER(Table3[[#This Row],[Unit Price]])</f>
        <v>1</v>
      </c>
      <c r="M480" t="b">
        <f>ISNUMBER(Table3[[#This Row],[Order Date]])</f>
        <v>1</v>
      </c>
      <c r="N480">
        <f>IFERROR(IF(Table3[[#This Row],[Quantity]]*Table3[[#This Row],[Unit Price]]&lt;0, "N/A", Table3[[#This Row],[Quantity]]*Table3[[#This Row],[Unit Price]]), "N/A")</f>
        <v>180000</v>
      </c>
      <c r="O480">
        <f>IFERROR(Table3[[#This Row],[Unit Price]]*Table3[[#This Row],[Return Qty]], "N/A")</f>
        <v>0</v>
      </c>
      <c r="P480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48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81" spans="1:17" x14ac:dyDescent="0.2">
      <c r="A481" t="s">
        <v>803</v>
      </c>
      <c r="B481" t="s">
        <v>21</v>
      </c>
      <c r="C481" t="s">
        <v>26</v>
      </c>
      <c r="D481" s="6">
        <v>15</v>
      </c>
      <c r="E481" s="5">
        <v>20000</v>
      </c>
      <c r="F481" t="s">
        <v>642</v>
      </c>
      <c r="G481" s="7">
        <v>46130</v>
      </c>
      <c r="H481" s="5">
        <v>0</v>
      </c>
      <c r="I48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81" t="b">
        <f>((ISNUMBER(Table3[[#This Row],[Quantity]]) )* (Table3[[#This Row],[Quantity]]&gt;0))=1</f>
        <v>1</v>
      </c>
      <c r="K481" t="b">
        <f>((Table3[[#This Row],[Quantity]]&gt;=Table3[[#This Row],[Return Qty]])*(ISNUMBER(Table3[[#This Row],[Quantity]])))=1</f>
        <v>1</v>
      </c>
      <c r="L481" t="b">
        <f>ISNUMBER(Table3[[#This Row],[Unit Price]])</f>
        <v>1</v>
      </c>
      <c r="M481" t="b">
        <f>ISNUMBER(Table3[[#This Row],[Order Date]])</f>
        <v>1</v>
      </c>
      <c r="N481">
        <f>IFERROR(IF(Table3[[#This Row],[Quantity]]*Table3[[#This Row],[Unit Price]]&lt;0, "N/A", Table3[[#This Row],[Quantity]]*Table3[[#This Row],[Unit Price]]), "N/A")</f>
        <v>300000</v>
      </c>
      <c r="O481">
        <f>IFERROR(Table3[[#This Row],[Unit Price]]*Table3[[#This Row],[Return Qty]], "N/A")</f>
        <v>0</v>
      </c>
      <c r="P481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48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82" spans="1:17" x14ac:dyDescent="0.2">
      <c r="A482" t="s">
        <v>804</v>
      </c>
      <c r="B482" t="s">
        <v>21</v>
      </c>
      <c r="C482" t="s">
        <v>22</v>
      </c>
      <c r="D482" s="6">
        <v>4</v>
      </c>
      <c r="E482" s="5">
        <v>35000</v>
      </c>
      <c r="F482" t="s">
        <v>805</v>
      </c>
      <c r="G482" s="7">
        <v>46125</v>
      </c>
      <c r="H482" s="5">
        <v>0</v>
      </c>
      <c r="I48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82" t="b">
        <f>((ISNUMBER(Table3[[#This Row],[Quantity]]) )* (Table3[[#This Row],[Quantity]]&gt;0))=1</f>
        <v>1</v>
      </c>
      <c r="K482" t="b">
        <f>((Table3[[#This Row],[Quantity]]&gt;=Table3[[#This Row],[Return Qty]])*(ISNUMBER(Table3[[#This Row],[Quantity]])))=1</f>
        <v>1</v>
      </c>
      <c r="L482" t="b">
        <f>ISNUMBER(Table3[[#This Row],[Unit Price]])</f>
        <v>1</v>
      </c>
      <c r="M482" t="b">
        <f>ISNUMBER(Table3[[#This Row],[Order Date]])</f>
        <v>1</v>
      </c>
      <c r="N482">
        <f>IFERROR(IF(Table3[[#This Row],[Quantity]]*Table3[[#This Row],[Unit Price]]&lt;0, "N/A", Table3[[#This Row],[Quantity]]*Table3[[#This Row],[Unit Price]]), "N/A")</f>
        <v>140000</v>
      </c>
      <c r="O482">
        <f>IFERROR(Table3[[#This Row],[Unit Price]]*Table3[[#This Row],[Return Qty]], "N/A")</f>
        <v>0</v>
      </c>
      <c r="P482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48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83" spans="1:17" x14ac:dyDescent="0.2">
      <c r="A483" t="s">
        <v>806</v>
      </c>
      <c r="B483" t="s">
        <v>25</v>
      </c>
      <c r="C483" t="s">
        <v>70</v>
      </c>
      <c r="D483" s="6">
        <v>1</v>
      </c>
      <c r="E483" s="5">
        <v>28000</v>
      </c>
      <c r="F483" t="s">
        <v>11</v>
      </c>
      <c r="G483" s="7">
        <v>46070</v>
      </c>
      <c r="H483" s="5">
        <v>1</v>
      </c>
      <c r="I48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83" t="b">
        <f>((ISNUMBER(Table3[[#This Row],[Quantity]]) )* (Table3[[#This Row],[Quantity]]&gt;0))=1</f>
        <v>1</v>
      </c>
      <c r="K483" t="b">
        <f>((Table3[[#This Row],[Quantity]]&gt;=Table3[[#This Row],[Return Qty]])*(ISNUMBER(Table3[[#This Row],[Quantity]])))=1</f>
        <v>1</v>
      </c>
      <c r="L483" t="b">
        <f>ISNUMBER(Table3[[#This Row],[Unit Price]])</f>
        <v>1</v>
      </c>
      <c r="M483" t="b">
        <f>ISNUMBER(Table3[[#This Row],[Order Date]])</f>
        <v>1</v>
      </c>
      <c r="N483">
        <f>IFERROR(IF(Table3[[#This Row],[Quantity]]*Table3[[#This Row],[Unit Price]]&lt;0, "N/A", Table3[[#This Row],[Quantity]]*Table3[[#This Row],[Unit Price]]), "N/A")</f>
        <v>28000</v>
      </c>
      <c r="O483">
        <f>IFERROR(Table3[[#This Row],[Unit Price]]*Table3[[#This Row],[Return Qty]], "N/A")</f>
        <v>28000</v>
      </c>
      <c r="P483">
        <f>IFERROR(IF((Table3[[#This Row],[Revenue before return]]-Table3[[#This Row],[Amount of order  returned]])&lt;0, "N/A", Table3[[#This Row],[Revenue before return]]-Table3[[#This Row],[Amount of order  returned]]), "N/A")</f>
        <v>0</v>
      </c>
      <c r="Q48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84" spans="1:17" x14ac:dyDescent="0.2">
      <c r="A484" t="s">
        <v>807</v>
      </c>
      <c r="B484" t="s">
        <v>25</v>
      </c>
      <c r="C484" t="s">
        <v>32</v>
      </c>
      <c r="D484" s="6">
        <v>20</v>
      </c>
      <c r="E484" s="5">
        <v>8000</v>
      </c>
      <c r="F484" t="s">
        <v>140</v>
      </c>
      <c r="G484" s="7">
        <v>46065</v>
      </c>
      <c r="H484" s="5">
        <v>0</v>
      </c>
      <c r="I48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84" t="b">
        <f>((ISNUMBER(Table3[[#This Row],[Quantity]]) )* (Table3[[#This Row],[Quantity]]&gt;0))=1</f>
        <v>1</v>
      </c>
      <c r="K484" t="b">
        <f>((Table3[[#This Row],[Quantity]]&gt;=Table3[[#This Row],[Return Qty]])*(ISNUMBER(Table3[[#This Row],[Quantity]])))=1</f>
        <v>1</v>
      </c>
      <c r="L484" t="b">
        <f>ISNUMBER(Table3[[#This Row],[Unit Price]])</f>
        <v>1</v>
      </c>
      <c r="M484" t="b">
        <f>ISNUMBER(Table3[[#This Row],[Order Date]])</f>
        <v>1</v>
      </c>
      <c r="N484">
        <f>IFERROR(IF(Table3[[#This Row],[Quantity]]*Table3[[#This Row],[Unit Price]]&lt;0, "N/A", Table3[[#This Row],[Quantity]]*Table3[[#This Row],[Unit Price]]), "N/A")</f>
        <v>160000</v>
      </c>
      <c r="O484">
        <f>IFERROR(Table3[[#This Row],[Unit Price]]*Table3[[#This Row],[Return Qty]], "N/A")</f>
        <v>0</v>
      </c>
      <c r="P484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48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85" spans="1:17" x14ac:dyDescent="0.2">
      <c r="A485" t="s">
        <v>808</v>
      </c>
      <c r="B485" t="s">
        <v>25</v>
      </c>
      <c r="C485" t="s">
        <v>32</v>
      </c>
      <c r="D485" s="6">
        <v>4</v>
      </c>
      <c r="E485" s="5">
        <v>8000</v>
      </c>
      <c r="F485" t="s">
        <v>809</v>
      </c>
      <c r="G485" s="7">
        <v>46114</v>
      </c>
      <c r="H485" s="5">
        <v>0</v>
      </c>
      <c r="I48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85" t="b">
        <f>((ISNUMBER(Table3[[#This Row],[Quantity]]) )* (Table3[[#This Row],[Quantity]]&gt;0))=1</f>
        <v>1</v>
      </c>
      <c r="K485" t="b">
        <f>((Table3[[#This Row],[Quantity]]&gt;=Table3[[#This Row],[Return Qty]])*(ISNUMBER(Table3[[#This Row],[Quantity]])))=1</f>
        <v>1</v>
      </c>
      <c r="L485" t="b">
        <f>ISNUMBER(Table3[[#This Row],[Unit Price]])</f>
        <v>1</v>
      </c>
      <c r="M485" t="b">
        <f>ISNUMBER(Table3[[#This Row],[Order Date]])</f>
        <v>1</v>
      </c>
      <c r="N485">
        <f>IFERROR(IF(Table3[[#This Row],[Quantity]]*Table3[[#This Row],[Unit Price]]&lt;0, "N/A", Table3[[#This Row],[Quantity]]*Table3[[#This Row],[Unit Price]]), "N/A")</f>
        <v>32000</v>
      </c>
      <c r="O485">
        <f>IFERROR(Table3[[#This Row],[Unit Price]]*Table3[[#This Row],[Return Qty]], "N/A")</f>
        <v>0</v>
      </c>
      <c r="P485">
        <f>IFERROR(IF((Table3[[#This Row],[Revenue before return]]-Table3[[#This Row],[Amount of order  returned]])&lt;0, "N/A", Table3[[#This Row],[Revenue before return]]-Table3[[#This Row],[Amount of order  returned]]), "N/A")</f>
        <v>32000</v>
      </c>
      <c r="Q48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86" spans="1:17" x14ac:dyDescent="0.2">
      <c r="A486" t="s">
        <v>810</v>
      </c>
      <c r="B486" t="s">
        <v>25</v>
      </c>
      <c r="C486" t="s">
        <v>10</v>
      </c>
      <c r="D486" s="6">
        <v>18</v>
      </c>
      <c r="E486" s="5">
        <v>15000</v>
      </c>
      <c r="F486" t="s">
        <v>599</v>
      </c>
      <c r="G486" s="7">
        <v>46034</v>
      </c>
      <c r="H486" s="5">
        <v>3</v>
      </c>
      <c r="I48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86" t="b">
        <f>((ISNUMBER(Table3[[#This Row],[Quantity]]) )* (Table3[[#This Row],[Quantity]]&gt;0))=1</f>
        <v>1</v>
      </c>
      <c r="K486" t="b">
        <f>((Table3[[#This Row],[Quantity]]&gt;=Table3[[#This Row],[Return Qty]])*(ISNUMBER(Table3[[#This Row],[Quantity]])))=1</f>
        <v>1</v>
      </c>
      <c r="L486" t="b">
        <f>ISNUMBER(Table3[[#This Row],[Unit Price]])</f>
        <v>1</v>
      </c>
      <c r="M486" t="b">
        <f>ISNUMBER(Table3[[#This Row],[Order Date]])</f>
        <v>1</v>
      </c>
      <c r="N486">
        <f>IFERROR(IF(Table3[[#This Row],[Quantity]]*Table3[[#This Row],[Unit Price]]&lt;0, "N/A", Table3[[#This Row],[Quantity]]*Table3[[#This Row],[Unit Price]]), "N/A")</f>
        <v>270000</v>
      </c>
      <c r="O486">
        <f>IFERROR(Table3[[#This Row],[Unit Price]]*Table3[[#This Row],[Return Qty]], "N/A")</f>
        <v>45000</v>
      </c>
      <c r="P486">
        <f>IFERROR(IF((Table3[[#This Row],[Revenue before return]]-Table3[[#This Row],[Amount of order  returned]])&lt;0, "N/A", Table3[[#This Row],[Revenue before return]]-Table3[[#This Row],[Amount of order  returned]]), "N/A")</f>
        <v>225000</v>
      </c>
      <c r="Q48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87" spans="1:17" x14ac:dyDescent="0.2">
      <c r="A487" t="s">
        <v>811</v>
      </c>
      <c r="B487" t="s">
        <v>9</v>
      </c>
      <c r="C487" t="s">
        <v>10</v>
      </c>
      <c r="D487" s="6">
        <v>10</v>
      </c>
      <c r="E487" s="5">
        <v>15000</v>
      </c>
      <c r="F487" t="s">
        <v>812</v>
      </c>
      <c r="G487" s="7">
        <v>46176</v>
      </c>
      <c r="H487" s="5">
        <v>0</v>
      </c>
      <c r="I48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87" t="b">
        <f>((ISNUMBER(Table3[[#This Row],[Quantity]]) )* (Table3[[#This Row],[Quantity]]&gt;0))=1</f>
        <v>1</v>
      </c>
      <c r="K487" t="b">
        <f>((Table3[[#This Row],[Quantity]]&gt;=Table3[[#This Row],[Return Qty]])*(ISNUMBER(Table3[[#This Row],[Quantity]])))=1</f>
        <v>1</v>
      </c>
      <c r="L487" t="b">
        <f>ISNUMBER(Table3[[#This Row],[Unit Price]])</f>
        <v>1</v>
      </c>
      <c r="M487" t="b">
        <f>ISNUMBER(Table3[[#This Row],[Order Date]])</f>
        <v>1</v>
      </c>
      <c r="N487">
        <f>IFERROR(IF(Table3[[#This Row],[Quantity]]*Table3[[#This Row],[Unit Price]]&lt;0, "N/A", Table3[[#This Row],[Quantity]]*Table3[[#This Row],[Unit Price]]), "N/A")</f>
        <v>150000</v>
      </c>
      <c r="O487">
        <f>IFERROR(Table3[[#This Row],[Unit Price]]*Table3[[#This Row],[Return Qty]], "N/A")</f>
        <v>0</v>
      </c>
      <c r="P487">
        <f>IFERROR(IF((Table3[[#This Row],[Revenue before return]]-Table3[[#This Row],[Amount of order  returned]])&lt;0, "N/A", Table3[[#This Row],[Revenue before return]]-Table3[[#This Row],[Amount of order  returned]]), "N/A")</f>
        <v>150000</v>
      </c>
      <c r="Q48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88" spans="1:17" x14ac:dyDescent="0.2">
      <c r="A488" t="s">
        <v>813</v>
      </c>
      <c r="B488" t="s">
        <v>25</v>
      </c>
      <c r="C488" t="s">
        <v>70</v>
      </c>
      <c r="D488" s="6">
        <v>14</v>
      </c>
      <c r="E488" s="5">
        <v>28000</v>
      </c>
      <c r="F488" t="s">
        <v>814</v>
      </c>
      <c r="G488" s="7">
        <v>46093</v>
      </c>
      <c r="H488" s="5">
        <v>0</v>
      </c>
      <c r="I48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88" t="b">
        <f>((ISNUMBER(Table3[[#This Row],[Quantity]]) )* (Table3[[#This Row],[Quantity]]&gt;0))=1</f>
        <v>1</v>
      </c>
      <c r="K488" t="b">
        <f>((Table3[[#This Row],[Quantity]]&gt;=Table3[[#This Row],[Return Qty]])*(ISNUMBER(Table3[[#This Row],[Quantity]])))=1</f>
        <v>1</v>
      </c>
      <c r="L488" t="b">
        <f>ISNUMBER(Table3[[#This Row],[Unit Price]])</f>
        <v>1</v>
      </c>
      <c r="M488" t="b">
        <f>ISNUMBER(Table3[[#This Row],[Order Date]])</f>
        <v>1</v>
      </c>
      <c r="N488">
        <f>IFERROR(IF(Table3[[#This Row],[Quantity]]*Table3[[#This Row],[Unit Price]]&lt;0, "N/A", Table3[[#This Row],[Quantity]]*Table3[[#This Row],[Unit Price]]), "N/A")</f>
        <v>392000</v>
      </c>
      <c r="O488">
        <f>IFERROR(Table3[[#This Row],[Unit Price]]*Table3[[#This Row],[Return Qty]], "N/A")</f>
        <v>0</v>
      </c>
      <c r="P488">
        <f>IFERROR(IF((Table3[[#This Row],[Revenue before return]]-Table3[[#This Row],[Amount of order  returned]])&lt;0, "N/A", Table3[[#This Row],[Revenue before return]]-Table3[[#This Row],[Amount of order  returned]]), "N/A")</f>
        <v>392000</v>
      </c>
      <c r="Q48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89" spans="1:17" x14ac:dyDescent="0.2">
      <c r="A489" t="s">
        <v>815</v>
      </c>
      <c r="B489" t="s">
        <v>14</v>
      </c>
      <c r="C489" t="s">
        <v>70</v>
      </c>
      <c r="D489" s="6">
        <v>22</v>
      </c>
      <c r="E489" s="5">
        <v>28000</v>
      </c>
      <c r="F489" t="s">
        <v>816</v>
      </c>
      <c r="G489" s="7">
        <v>46184</v>
      </c>
      <c r="H489" s="5">
        <v>0</v>
      </c>
      <c r="I48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89" t="b">
        <f>((ISNUMBER(Table3[[#This Row],[Quantity]]) )* (Table3[[#This Row],[Quantity]]&gt;0))=1</f>
        <v>1</v>
      </c>
      <c r="K489" t="b">
        <f>((Table3[[#This Row],[Quantity]]&gt;=Table3[[#This Row],[Return Qty]])*(ISNUMBER(Table3[[#This Row],[Quantity]])))=1</f>
        <v>1</v>
      </c>
      <c r="L489" t="b">
        <f>ISNUMBER(Table3[[#This Row],[Unit Price]])</f>
        <v>1</v>
      </c>
      <c r="M489" t="b">
        <f>ISNUMBER(Table3[[#This Row],[Order Date]])</f>
        <v>1</v>
      </c>
      <c r="N489">
        <f>IFERROR(IF(Table3[[#This Row],[Quantity]]*Table3[[#This Row],[Unit Price]]&lt;0, "N/A", Table3[[#This Row],[Quantity]]*Table3[[#This Row],[Unit Price]]), "N/A")</f>
        <v>616000</v>
      </c>
      <c r="O489">
        <f>IFERROR(Table3[[#This Row],[Unit Price]]*Table3[[#This Row],[Return Qty]], "N/A")</f>
        <v>0</v>
      </c>
      <c r="P489">
        <f>IFERROR(IF((Table3[[#This Row],[Revenue before return]]-Table3[[#This Row],[Amount of order  returned]])&lt;0, "N/A", Table3[[#This Row],[Revenue before return]]-Table3[[#This Row],[Amount of order  returned]]), "N/A")</f>
        <v>616000</v>
      </c>
      <c r="Q48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90" spans="1:17" x14ac:dyDescent="0.2">
      <c r="A490" t="s">
        <v>817</v>
      </c>
      <c r="B490" t="s">
        <v>9</v>
      </c>
      <c r="C490" t="s">
        <v>32</v>
      </c>
      <c r="D490" s="6">
        <v>18</v>
      </c>
      <c r="E490" s="5">
        <v>8000</v>
      </c>
      <c r="F490" t="s">
        <v>773</v>
      </c>
      <c r="G490" s="7">
        <v>46138</v>
      </c>
      <c r="H490" s="5">
        <v>0</v>
      </c>
      <c r="I49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90" t="b">
        <f>((ISNUMBER(Table3[[#This Row],[Quantity]]) )* (Table3[[#This Row],[Quantity]]&gt;0))=1</f>
        <v>1</v>
      </c>
      <c r="K490" t="b">
        <f>((Table3[[#This Row],[Quantity]]&gt;=Table3[[#This Row],[Return Qty]])*(ISNUMBER(Table3[[#This Row],[Quantity]])))=1</f>
        <v>1</v>
      </c>
      <c r="L490" t="b">
        <f>ISNUMBER(Table3[[#This Row],[Unit Price]])</f>
        <v>1</v>
      </c>
      <c r="M490" t="b">
        <f>ISNUMBER(Table3[[#This Row],[Order Date]])</f>
        <v>1</v>
      </c>
      <c r="N490">
        <f>IFERROR(IF(Table3[[#This Row],[Quantity]]*Table3[[#This Row],[Unit Price]]&lt;0, "N/A", Table3[[#This Row],[Quantity]]*Table3[[#This Row],[Unit Price]]), "N/A")</f>
        <v>144000</v>
      </c>
      <c r="O490">
        <f>IFERROR(Table3[[#This Row],[Unit Price]]*Table3[[#This Row],[Return Qty]], "N/A")</f>
        <v>0</v>
      </c>
      <c r="P490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49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91" spans="1:17" x14ac:dyDescent="0.2">
      <c r="A491" t="s">
        <v>818</v>
      </c>
      <c r="B491" t="s">
        <v>25</v>
      </c>
      <c r="C491" t="s">
        <v>70</v>
      </c>
      <c r="D491" s="6">
        <v>17</v>
      </c>
      <c r="E491" s="5">
        <v>28000</v>
      </c>
      <c r="F491" t="s">
        <v>161</v>
      </c>
      <c r="G491" s="7">
        <v>46145</v>
      </c>
      <c r="H491" s="5">
        <v>23</v>
      </c>
      <c r="I49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91" t="b">
        <f>((ISNUMBER(Table3[[#This Row],[Quantity]]) )* (Table3[[#This Row],[Quantity]]&gt;0))=1</f>
        <v>1</v>
      </c>
      <c r="K491" t="b">
        <f>((Table3[[#This Row],[Quantity]]&gt;=Table3[[#This Row],[Return Qty]])*(ISNUMBER(Table3[[#This Row],[Quantity]])))=1</f>
        <v>0</v>
      </c>
      <c r="L491" t="b">
        <f>ISNUMBER(Table3[[#This Row],[Unit Price]])</f>
        <v>1</v>
      </c>
      <c r="M491" t="b">
        <f>ISNUMBER(Table3[[#This Row],[Order Date]])</f>
        <v>1</v>
      </c>
      <c r="N491">
        <f>IFERROR(IF(Table3[[#This Row],[Quantity]]*Table3[[#This Row],[Unit Price]]&lt;0, "N/A", Table3[[#This Row],[Quantity]]*Table3[[#This Row],[Unit Price]]), "N/A")</f>
        <v>476000</v>
      </c>
      <c r="O491">
        <f>IFERROR(Table3[[#This Row],[Unit Price]]*Table3[[#This Row],[Return Qty]], "N/A")</f>
        <v>644000</v>
      </c>
      <c r="P491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49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492" spans="1:17" x14ac:dyDescent="0.2">
      <c r="A492" t="s">
        <v>819</v>
      </c>
      <c r="B492" t="s">
        <v>9</v>
      </c>
      <c r="C492" t="s">
        <v>10</v>
      </c>
      <c r="D492" s="6">
        <v>10</v>
      </c>
      <c r="E492" s="5">
        <v>15000</v>
      </c>
      <c r="F492" t="s">
        <v>820</v>
      </c>
      <c r="G492" s="7">
        <v>46130</v>
      </c>
      <c r="H492" s="5">
        <v>2</v>
      </c>
      <c r="I49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92" t="b">
        <f>((ISNUMBER(Table3[[#This Row],[Quantity]]) )* (Table3[[#This Row],[Quantity]]&gt;0))=1</f>
        <v>1</v>
      </c>
      <c r="K492" t="b">
        <f>((Table3[[#This Row],[Quantity]]&gt;=Table3[[#This Row],[Return Qty]])*(ISNUMBER(Table3[[#This Row],[Quantity]])))=1</f>
        <v>1</v>
      </c>
      <c r="L492" t="b">
        <f>ISNUMBER(Table3[[#This Row],[Unit Price]])</f>
        <v>1</v>
      </c>
      <c r="M492" t="b">
        <f>ISNUMBER(Table3[[#This Row],[Order Date]])</f>
        <v>1</v>
      </c>
      <c r="N492">
        <f>IFERROR(IF(Table3[[#This Row],[Quantity]]*Table3[[#This Row],[Unit Price]]&lt;0, "N/A", Table3[[#This Row],[Quantity]]*Table3[[#This Row],[Unit Price]]), "N/A")</f>
        <v>150000</v>
      </c>
      <c r="O492">
        <f>IFERROR(Table3[[#This Row],[Unit Price]]*Table3[[#This Row],[Return Qty]], "N/A")</f>
        <v>30000</v>
      </c>
      <c r="P492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49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93" spans="1:17" x14ac:dyDescent="0.2">
      <c r="A493" t="s">
        <v>821</v>
      </c>
      <c r="B493" t="s">
        <v>21</v>
      </c>
      <c r="C493" t="s">
        <v>10</v>
      </c>
      <c r="D493" s="6">
        <v>150</v>
      </c>
      <c r="E493" s="5">
        <v>15000</v>
      </c>
      <c r="F493" t="s">
        <v>311</v>
      </c>
      <c r="G493" s="7">
        <v>46032</v>
      </c>
      <c r="H493" s="5">
        <v>0</v>
      </c>
      <c r="I49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93" t="b">
        <f>((ISNUMBER(Table3[[#This Row],[Quantity]]) )* (Table3[[#This Row],[Quantity]]&gt;0))=1</f>
        <v>1</v>
      </c>
      <c r="K493" t="b">
        <f>((Table3[[#This Row],[Quantity]]&gt;=Table3[[#This Row],[Return Qty]])*(ISNUMBER(Table3[[#This Row],[Quantity]])))=1</f>
        <v>1</v>
      </c>
      <c r="L493" t="b">
        <f>ISNUMBER(Table3[[#This Row],[Unit Price]])</f>
        <v>1</v>
      </c>
      <c r="M493" t="b">
        <f>ISNUMBER(Table3[[#This Row],[Order Date]])</f>
        <v>1</v>
      </c>
      <c r="N493">
        <f>IFERROR(IF(Table3[[#This Row],[Quantity]]*Table3[[#This Row],[Unit Price]]&lt;0, "N/A", Table3[[#This Row],[Quantity]]*Table3[[#This Row],[Unit Price]]), "N/A")</f>
        <v>2250000</v>
      </c>
      <c r="O493">
        <f>IFERROR(Table3[[#This Row],[Unit Price]]*Table3[[#This Row],[Return Qty]], "N/A")</f>
        <v>0</v>
      </c>
      <c r="P493">
        <f>IFERROR(IF((Table3[[#This Row],[Revenue before return]]-Table3[[#This Row],[Amount of order  returned]])&lt;0, "N/A", Table3[[#This Row],[Revenue before return]]-Table3[[#This Row],[Amount of order  returned]]), "N/A")</f>
        <v>2250000</v>
      </c>
      <c r="Q49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94" spans="1:17" x14ac:dyDescent="0.2">
      <c r="A494" t="s">
        <v>822</v>
      </c>
      <c r="B494" t="s">
        <v>21</v>
      </c>
      <c r="C494" t="s">
        <v>18</v>
      </c>
      <c r="D494" s="6">
        <v>24</v>
      </c>
      <c r="E494" s="5">
        <v>50000</v>
      </c>
      <c r="F494" t="s">
        <v>11</v>
      </c>
      <c r="G494" s="7">
        <v>46132</v>
      </c>
      <c r="H494" s="5">
        <v>0</v>
      </c>
      <c r="I49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94" t="b">
        <f>((ISNUMBER(Table3[[#This Row],[Quantity]]) )* (Table3[[#This Row],[Quantity]]&gt;0))=1</f>
        <v>1</v>
      </c>
      <c r="K494" t="b">
        <f>((Table3[[#This Row],[Quantity]]&gt;=Table3[[#This Row],[Return Qty]])*(ISNUMBER(Table3[[#This Row],[Quantity]])))=1</f>
        <v>1</v>
      </c>
      <c r="L494" t="b">
        <f>ISNUMBER(Table3[[#This Row],[Unit Price]])</f>
        <v>1</v>
      </c>
      <c r="M494" t="b">
        <f>ISNUMBER(Table3[[#This Row],[Order Date]])</f>
        <v>1</v>
      </c>
      <c r="N494">
        <f>IFERROR(IF(Table3[[#This Row],[Quantity]]*Table3[[#This Row],[Unit Price]]&lt;0, "N/A", Table3[[#This Row],[Quantity]]*Table3[[#This Row],[Unit Price]]), "N/A")</f>
        <v>1200000</v>
      </c>
      <c r="O494">
        <f>IFERROR(Table3[[#This Row],[Unit Price]]*Table3[[#This Row],[Return Qty]], "N/A")</f>
        <v>0</v>
      </c>
      <c r="P494">
        <f>IFERROR(IF((Table3[[#This Row],[Revenue before return]]-Table3[[#This Row],[Amount of order  returned]])&lt;0, "N/A", Table3[[#This Row],[Revenue before return]]-Table3[[#This Row],[Amount of order  returned]]), "N/A")</f>
        <v>1200000</v>
      </c>
      <c r="Q49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95" spans="1:17" x14ac:dyDescent="0.2">
      <c r="A495" t="s">
        <v>823</v>
      </c>
      <c r="B495" t="s">
        <v>21</v>
      </c>
      <c r="C495" t="s">
        <v>39</v>
      </c>
      <c r="D495" s="6">
        <v>7</v>
      </c>
      <c r="E495" s="5">
        <v>12000</v>
      </c>
      <c r="F495" t="s">
        <v>493</v>
      </c>
      <c r="G495" s="7">
        <v>46104</v>
      </c>
      <c r="H495" s="5">
        <v>0</v>
      </c>
      <c r="I49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95" t="b">
        <f>((ISNUMBER(Table3[[#This Row],[Quantity]]) )* (Table3[[#This Row],[Quantity]]&gt;0))=1</f>
        <v>1</v>
      </c>
      <c r="K495" t="b">
        <f>((Table3[[#This Row],[Quantity]]&gt;=Table3[[#This Row],[Return Qty]])*(ISNUMBER(Table3[[#This Row],[Quantity]])))=1</f>
        <v>1</v>
      </c>
      <c r="L495" t="b">
        <f>ISNUMBER(Table3[[#This Row],[Unit Price]])</f>
        <v>1</v>
      </c>
      <c r="M495" t="b">
        <f>ISNUMBER(Table3[[#This Row],[Order Date]])</f>
        <v>1</v>
      </c>
      <c r="N495">
        <f>IFERROR(IF(Table3[[#This Row],[Quantity]]*Table3[[#This Row],[Unit Price]]&lt;0, "N/A", Table3[[#This Row],[Quantity]]*Table3[[#This Row],[Unit Price]]), "N/A")</f>
        <v>84000</v>
      </c>
      <c r="O495">
        <f>IFERROR(Table3[[#This Row],[Unit Price]]*Table3[[#This Row],[Return Qty]], "N/A")</f>
        <v>0</v>
      </c>
      <c r="P495">
        <f>IFERROR(IF((Table3[[#This Row],[Revenue before return]]-Table3[[#This Row],[Amount of order  returned]])&lt;0, "N/A", Table3[[#This Row],[Revenue before return]]-Table3[[#This Row],[Amount of order  returned]]), "N/A")</f>
        <v>84000</v>
      </c>
      <c r="Q49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96" spans="1:17" x14ac:dyDescent="0.2">
      <c r="A496" t="s">
        <v>824</v>
      </c>
      <c r="B496" t="s">
        <v>185</v>
      </c>
      <c r="C496" t="s">
        <v>26</v>
      </c>
      <c r="D496" s="6">
        <v>4</v>
      </c>
      <c r="E496" s="5">
        <v>20000</v>
      </c>
      <c r="F496" t="s">
        <v>161</v>
      </c>
      <c r="G496" s="7">
        <v>46199</v>
      </c>
      <c r="H496" s="5">
        <v>0</v>
      </c>
      <c r="I49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96" t="b">
        <f>((ISNUMBER(Table3[[#This Row],[Quantity]]) )* (Table3[[#This Row],[Quantity]]&gt;0))=1</f>
        <v>1</v>
      </c>
      <c r="K496" t="b">
        <f>((Table3[[#This Row],[Quantity]]&gt;=Table3[[#This Row],[Return Qty]])*(ISNUMBER(Table3[[#This Row],[Quantity]])))=1</f>
        <v>1</v>
      </c>
      <c r="L496" t="b">
        <f>ISNUMBER(Table3[[#This Row],[Unit Price]])</f>
        <v>1</v>
      </c>
      <c r="M496" t="b">
        <f>ISNUMBER(Table3[[#This Row],[Order Date]])</f>
        <v>1</v>
      </c>
      <c r="N496">
        <f>IFERROR(IF(Table3[[#This Row],[Quantity]]*Table3[[#This Row],[Unit Price]]&lt;0, "N/A", Table3[[#This Row],[Quantity]]*Table3[[#This Row],[Unit Price]]), "N/A")</f>
        <v>80000</v>
      </c>
      <c r="O496">
        <f>IFERROR(Table3[[#This Row],[Unit Price]]*Table3[[#This Row],[Return Qty]], "N/A")</f>
        <v>0</v>
      </c>
      <c r="P496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49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97" spans="1:17" x14ac:dyDescent="0.2">
      <c r="A497" t="s">
        <v>825</v>
      </c>
      <c r="B497" t="s">
        <v>14</v>
      </c>
      <c r="C497" t="s">
        <v>18</v>
      </c>
      <c r="D497" s="6">
        <v>9</v>
      </c>
      <c r="E497" s="5">
        <v>50000</v>
      </c>
      <c r="F497" t="s">
        <v>331</v>
      </c>
      <c r="G497" s="7">
        <v>46061</v>
      </c>
      <c r="H497" s="5">
        <v>0</v>
      </c>
      <c r="I49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97" t="b">
        <f>((ISNUMBER(Table3[[#This Row],[Quantity]]) )* (Table3[[#This Row],[Quantity]]&gt;0))=1</f>
        <v>1</v>
      </c>
      <c r="K497" t="b">
        <f>((Table3[[#This Row],[Quantity]]&gt;=Table3[[#This Row],[Return Qty]])*(ISNUMBER(Table3[[#This Row],[Quantity]])))=1</f>
        <v>1</v>
      </c>
      <c r="L497" t="b">
        <f>ISNUMBER(Table3[[#This Row],[Unit Price]])</f>
        <v>1</v>
      </c>
      <c r="M497" t="b">
        <f>ISNUMBER(Table3[[#This Row],[Order Date]])</f>
        <v>1</v>
      </c>
      <c r="N497">
        <f>IFERROR(IF(Table3[[#This Row],[Quantity]]*Table3[[#This Row],[Unit Price]]&lt;0, "N/A", Table3[[#This Row],[Quantity]]*Table3[[#This Row],[Unit Price]]), "N/A")</f>
        <v>450000</v>
      </c>
      <c r="O497">
        <f>IFERROR(Table3[[#This Row],[Unit Price]]*Table3[[#This Row],[Return Qty]], "N/A")</f>
        <v>0</v>
      </c>
      <c r="P497">
        <f>IFERROR(IF((Table3[[#This Row],[Revenue before return]]-Table3[[#This Row],[Amount of order  returned]])&lt;0, "N/A", Table3[[#This Row],[Revenue before return]]-Table3[[#This Row],[Amount of order  returned]]), "N/A")</f>
        <v>450000</v>
      </c>
      <c r="Q49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98" spans="1:17" x14ac:dyDescent="0.2">
      <c r="A498" t="s">
        <v>826</v>
      </c>
      <c r="B498" t="s">
        <v>25</v>
      </c>
      <c r="C498" t="s">
        <v>18</v>
      </c>
      <c r="D498" s="6">
        <v>3</v>
      </c>
      <c r="E498" s="5">
        <v>50000</v>
      </c>
      <c r="F498" t="s">
        <v>73</v>
      </c>
      <c r="G498" s="7">
        <v>46164</v>
      </c>
      <c r="H498" s="5">
        <v>0</v>
      </c>
      <c r="I49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98" t="b">
        <f>((ISNUMBER(Table3[[#This Row],[Quantity]]) )* (Table3[[#This Row],[Quantity]]&gt;0))=1</f>
        <v>1</v>
      </c>
      <c r="K498" t="b">
        <f>((Table3[[#This Row],[Quantity]]&gt;=Table3[[#This Row],[Return Qty]])*(ISNUMBER(Table3[[#This Row],[Quantity]])))=1</f>
        <v>1</v>
      </c>
      <c r="L498" t="b">
        <f>ISNUMBER(Table3[[#This Row],[Unit Price]])</f>
        <v>1</v>
      </c>
      <c r="M498" t="b">
        <f>ISNUMBER(Table3[[#This Row],[Order Date]])</f>
        <v>1</v>
      </c>
      <c r="N498">
        <f>IFERROR(IF(Table3[[#This Row],[Quantity]]*Table3[[#This Row],[Unit Price]]&lt;0, "N/A", Table3[[#This Row],[Quantity]]*Table3[[#This Row],[Unit Price]]), "N/A")</f>
        <v>150000</v>
      </c>
      <c r="O498">
        <f>IFERROR(Table3[[#This Row],[Unit Price]]*Table3[[#This Row],[Return Qty]], "N/A")</f>
        <v>0</v>
      </c>
      <c r="P498">
        <f>IFERROR(IF((Table3[[#This Row],[Revenue before return]]-Table3[[#This Row],[Amount of order  returned]])&lt;0, "N/A", Table3[[#This Row],[Revenue before return]]-Table3[[#This Row],[Amount of order  returned]]), "N/A")</f>
        <v>150000</v>
      </c>
      <c r="Q49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499" spans="1:17" x14ac:dyDescent="0.2">
      <c r="A499" t="s">
        <v>827</v>
      </c>
      <c r="B499" t="s">
        <v>21</v>
      </c>
      <c r="C499" t="s">
        <v>18</v>
      </c>
      <c r="D499" s="6">
        <v>18</v>
      </c>
      <c r="E499" s="5">
        <v>50000</v>
      </c>
      <c r="F499" t="s">
        <v>516</v>
      </c>
      <c r="G499" s="7">
        <v>46140</v>
      </c>
      <c r="H499" s="5">
        <v>0</v>
      </c>
      <c r="I49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499" t="b">
        <f>((ISNUMBER(Table3[[#This Row],[Quantity]]) )* (Table3[[#This Row],[Quantity]]&gt;0))=1</f>
        <v>1</v>
      </c>
      <c r="K499" t="b">
        <f>((Table3[[#This Row],[Quantity]]&gt;=Table3[[#This Row],[Return Qty]])*(ISNUMBER(Table3[[#This Row],[Quantity]])))=1</f>
        <v>1</v>
      </c>
      <c r="L499" t="b">
        <f>ISNUMBER(Table3[[#This Row],[Unit Price]])</f>
        <v>1</v>
      </c>
      <c r="M499" t="b">
        <f>ISNUMBER(Table3[[#This Row],[Order Date]])</f>
        <v>1</v>
      </c>
      <c r="N499">
        <f>IFERROR(IF(Table3[[#This Row],[Quantity]]*Table3[[#This Row],[Unit Price]]&lt;0, "N/A", Table3[[#This Row],[Quantity]]*Table3[[#This Row],[Unit Price]]), "N/A")</f>
        <v>900000</v>
      </c>
      <c r="O499">
        <f>IFERROR(Table3[[#This Row],[Unit Price]]*Table3[[#This Row],[Return Qty]], "N/A")</f>
        <v>0</v>
      </c>
      <c r="P499">
        <f>IFERROR(IF((Table3[[#This Row],[Revenue before return]]-Table3[[#This Row],[Amount of order  returned]])&lt;0, "N/A", Table3[[#This Row],[Revenue before return]]-Table3[[#This Row],[Amount of order  returned]]), "N/A")</f>
        <v>900000</v>
      </c>
      <c r="Q49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00" spans="1:17" x14ac:dyDescent="0.2">
      <c r="A500" t="s">
        <v>828</v>
      </c>
      <c r="B500" t="s">
        <v>9</v>
      </c>
      <c r="C500" t="s">
        <v>26</v>
      </c>
      <c r="D500" s="6">
        <v>22</v>
      </c>
      <c r="E500" s="5">
        <v>20000</v>
      </c>
      <c r="F500" t="s">
        <v>829</v>
      </c>
      <c r="G500" s="7">
        <v>46118</v>
      </c>
      <c r="H500" s="5">
        <v>0</v>
      </c>
      <c r="I50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00" t="b">
        <f>((ISNUMBER(Table3[[#This Row],[Quantity]]) )* (Table3[[#This Row],[Quantity]]&gt;0))=1</f>
        <v>1</v>
      </c>
      <c r="K500" t="b">
        <f>((Table3[[#This Row],[Quantity]]&gt;=Table3[[#This Row],[Return Qty]])*(ISNUMBER(Table3[[#This Row],[Quantity]])))=1</f>
        <v>1</v>
      </c>
      <c r="L500" t="b">
        <f>ISNUMBER(Table3[[#This Row],[Unit Price]])</f>
        <v>1</v>
      </c>
      <c r="M500" t="b">
        <f>ISNUMBER(Table3[[#This Row],[Order Date]])</f>
        <v>1</v>
      </c>
      <c r="N500">
        <f>IFERROR(IF(Table3[[#This Row],[Quantity]]*Table3[[#This Row],[Unit Price]]&lt;0, "N/A", Table3[[#This Row],[Quantity]]*Table3[[#This Row],[Unit Price]]), "N/A")</f>
        <v>440000</v>
      </c>
      <c r="O500">
        <f>IFERROR(Table3[[#This Row],[Unit Price]]*Table3[[#This Row],[Return Qty]], "N/A")</f>
        <v>0</v>
      </c>
      <c r="P500">
        <f>IFERROR(IF((Table3[[#This Row],[Revenue before return]]-Table3[[#This Row],[Amount of order  returned]])&lt;0, "N/A", Table3[[#This Row],[Revenue before return]]-Table3[[#This Row],[Amount of order  returned]]), "N/A")</f>
        <v>440000</v>
      </c>
      <c r="Q50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01" spans="1:17" x14ac:dyDescent="0.2">
      <c r="A501" t="s">
        <v>830</v>
      </c>
      <c r="B501" t="s">
        <v>14</v>
      </c>
      <c r="C501" t="s">
        <v>26</v>
      </c>
      <c r="D501" s="6">
        <v>-1</v>
      </c>
      <c r="E501" s="5">
        <v>20000</v>
      </c>
      <c r="F501" t="s">
        <v>449</v>
      </c>
      <c r="G501" s="7">
        <v>46069</v>
      </c>
      <c r="H501" s="5">
        <v>0</v>
      </c>
      <c r="I50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01" t="b">
        <f>((ISNUMBER(Table3[[#This Row],[Quantity]]) )* (Table3[[#This Row],[Quantity]]&gt;0))=1</f>
        <v>0</v>
      </c>
      <c r="K501" t="b">
        <f>((Table3[[#This Row],[Quantity]]&gt;=Table3[[#This Row],[Return Qty]])*(ISNUMBER(Table3[[#This Row],[Quantity]])))=1</f>
        <v>0</v>
      </c>
      <c r="L501" t="b">
        <f>ISNUMBER(Table3[[#This Row],[Unit Price]])</f>
        <v>1</v>
      </c>
      <c r="M501" t="b">
        <f>ISNUMBER(Table3[[#This Row],[Order Date]])</f>
        <v>1</v>
      </c>
      <c r="N501" t="str">
        <f>IFERROR(IF(Table3[[#This Row],[Quantity]]*Table3[[#This Row],[Unit Price]]&lt;0, "N/A", Table3[[#This Row],[Quantity]]*Table3[[#This Row],[Unit Price]]), "N/A")</f>
        <v>N/A</v>
      </c>
      <c r="O501">
        <f>IFERROR(Table3[[#This Row],[Unit Price]]*Table3[[#This Row],[Return Qty]], "N/A")</f>
        <v>0</v>
      </c>
      <c r="P501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50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502" spans="1:17" x14ac:dyDescent="0.2">
      <c r="A502" t="s">
        <v>831</v>
      </c>
      <c r="B502" t="s">
        <v>14</v>
      </c>
      <c r="C502" t="s">
        <v>18</v>
      </c>
      <c r="D502" s="6">
        <v>8</v>
      </c>
      <c r="E502" s="5">
        <v>50000</v>
      </c>
      <c r="F502" t="s">
        <v>692</v>
      </c>
      <c r="G502" s="7">
        <v>46055</v>
      </c>
      <c r="H502" s="5">
        <v>0</v>
      </c>
      <c r="I50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02" t="b">
        <f>((ISNUMBER(Table3[[#This Row],[Quantity]]) )* (Table3[[#This Row],[Quantity]]&gt;0))=1</f>
        <v>1</v>
      </c>
      <c r="K502" t="b">
        <f>((Table3[[#This Row],[Quantity]]&gt;=Table3[[#This Row],[Return Qty]])*(ISNUMBER(Table3[[#This Row],[Quantity]])))=1</f>
        <v>1</v>
      </c>
      <c r="L502" t="b">
        <f>ISNUMBER(Table3[[#This Row],[Unit Price]])</f>
        <v>1</v>
      </c>
      <c r="M502" t="b">
        <f>ISNUMBER(Table3[[#This Row],[Order Date]])</f>
        <v>1</v>
      </c>
      <c r="N502">
        <f>IFERROR(IF(Table3[[#This Row],[Quantity]]*Table3[[#This Row],[Unit Price]]&lt;0, "N/A", Table3[[#This Row],[Quantity]]*Table3[[#This Row],[Unit Price]]), "N/A")</f>
        <v>400000</v>
      </c>
      <c r="O502">
        <f>IFERROR(Table3[[#This Row],[Unit Price]]*Table3[[#This Row],[Return Qty]], "N/A")</f>
        <v>0</v>
      </c>
      <c r="P502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50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03" spans="1:17" x14ac:dyDescent="0.2">
      <c r="A503" t="s">
        <v>832</v>
      </c>
      <c r="B503" t="s">
        <v>14</v>
      </c>
      <c r="C503" t="s">
        <v>22</v>
      </c>
      <c r="D503" s="6">
        <v>14</v>
      </c>
      <c r="E503" s="5">
        <v>35000</v>
      </c>
      <c r="F503" t="s">
        <v>255</v>
      </c>
      <c r="G503" s="7">
        <v>46170</v>
      </c>
      <c r="H503" s="5">
        <v>0</v>
      </c>
      <c r="I50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03" t="b">
        <f>((ISNUMBER(Table3[[#This Row],[Quantity]]) )* (Table3[[#This Row],[Quantity]]&gt;0))=1</f>
        <v>1</v>
      </c>
      <c r="K503" t="b">
        <f>((Table3[[#This Row],[Quantity]]&gt;=Table3[[#This Row],[Return Qty]])*(ISNUMBER(Table3[[#This Row],[Quantity]])))=1</f>
        <v>1</v>
      </c>
      <c r="L503" t="b">
        <f>ISNUMBER(Table3[[#This Row],[Unit Price]])</f>
        <v>1</v>
      </c>
      <c r="M503" t="b">
        <f>ISNUMBER(Table3[[#This Row],[Order Date]])</f>
        <v>1</v>
      </c>
      <c r="N503">
        <f>IFERROR(IF(Table3[[#This Row],[Quantity]]*Table3[[#This Row],[Unit Price]]&lt;0, "N/A", Table3[[#This Row],[Quantity]]*Table3[[#This Row],[Unit Price]]), "N/A")</f>
        <v>490000</v>
      </c>
      <c r="O503">
        <f>IFERROR(Table3[[#This Row],[Unit Price]]*Table3[[#This Row],[Return Qty]], "N/A")</f>
        <v>0</v>
      </c>
      <c r="P503">
        <f>IFERROR(IF((Table3[[#This Row],[Revenue before return]]-Table3[[#This Row],[Amount of order  returned]])&lt;0, "N/A", Table3[[#This Row],[Revenue before return]]-Table3[[#This Row],[Amount of order  returned]]), "N/A")</f>
        <v>490000</v>
      </c>
      <c r="Q50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04" spans="1:17" x14ac:dyDescent="0.2">
      <c r="A504" t="s">
        <v>833</v>
      </c>
      <c r="B504" t="s">
        <v>25</v>
      </c>
      <c r="C504" t="s">
        <v>70</v>
      </c>
      <c r="D504" s="6">
        <v>5</v>
      </c>
      <c r="E504" s="5">
        <v>28000</v>
      </c>
      <c r="F504" t="s">
        <v>244</v>
      </c>
      <c r="G504" s="7">
        <v>46050</v>
      </c>
      <c r="H504" s="5">
        <v>3</v>
      </c>
      <c r="I50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04" t="b">
        <f>((ISNUMBER(Table3[[#This Row],[Quantity]]) )* (Table3[[#This Row],[Quantity]]&gt;0))=1</f>
        <v>1</v>
      </c>
      <c r="K504" t="b">
        <f>((Table3[[#This Row],[Quantity]]&gt;=Table3[[#This Row],[Return Qty]])*(ISNUMBER(Table3[[#This Row],[Quantity]])))=1</f>
        <v>1</v>
      </c>
      <c r="L504" t="b">
        <f>ISNUMBER(Table3[[#This Row],[Unit Price]])</f>
        <v>1</v>
      </c>
      <c r="M504" t="b">
        <f>ISNUMBER(Table3[[#This Row],[Order Date]])</f>
        <v>1</v>
      </c>
      <c r="N504">
        <f>IFERROR(IF(Table3[[#This Row],[Quantity]]*Table3[[#This Row],[Unit Price]]&lt;0, "N/A", Table3[[#This Row],[Quantity]]*Table3[[#This Row],[Unit Price]]), "N/A")</f>
        <v>140000</v>
      </c>
      <c r="O504">
        <f>IFERROR(Table3[[#This Row],[Unit Price]]*Table3[[#This Row],[Return Qty]], "N/A")</f>
        <v>84000</v>
      </c>
      <c r="P504">
        <f>IFERROR(IF((Table3[[#This Row],[Revenue before return]]-Table3[[#This Row],[Amount of order  returned]])&lt;0, "N/A", Table3[[#This Row],[Revenue before return]]-Table3[[#This Row],[Amount of order  returned]]), "N/A")</f>
        <v>56000</v>
      </c>
      <c r="Q50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05" spans="1:17" x14ac:dyDescent="0.2">
      <c r="A505" t="s">
        <v>835</v>
      </c>
      <c r="B505" t="s">
        <v>14</v>
      </c>
      <c r="C505" t="s">
        <v>18</v>
      </c>
      <c r="D505" s="6">
        <v>11</v>
      </c>
      <c r="E505" s="5">
        <v>50000</v>
      </c>
      <c r="F505" t="s">
        <v>46</v>
      </c>
      <c r="G505" s="7">
        <v>46122</v>
      </c>
      <c r="H505" s="5">
        <v>0</v>
      </c>
      <c r="I50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05" t="b">
        <f>((ISNUMBER(Table3[[#This Row],[Quantity]]) )* (Table3[[#This Row],[Quantity]]&gt;0))=1</f>
        <v>1</v>
      </c>
      <c r="K505" t="b">
        <f>((Table3[[#This Row],[Quantity]]&gt;=Table3[[#This Row],[Return Qty]])*(ISNUMBER(Table3[[#This Row],[Quantity]])))=1</f>
        <v>1</v>
      </c>
      <c r="L505" t="b">
        <f>ISNUMBER(Table3[[#This Row],[Unit Price]])</f>
        <v>1</v>
      </c>
      <c r="M505" t="b">
        <f>ISNUMBER(Table3[[#This Row],[Order Date]])</f>
        <v>1</v>
      </c>
      <c r="N505">
        <f>IFERROR(IF(Table3[[#This Row],[Quantity]]*Table3[[#This Row],[Unit Price]]&lt;0, "N/A", Table3[[#This Row],[Quantity]]*Table3[[#This Row],[Unit Price]]), "N/A")</f>
        <v>550000</v>
      </c>
      <c r="O505">
        <f>IFERROR(Table3[[#This Row],[Unit Price]]*Table3[[#This Row],[Return Qty]], "N/A")</f>
        <v>0</v>
      </c>
      <c r="P505">
        <f>IFERROR(IF((Table3[[#This Row],[Revenue before return]]-Table3[[#This Row],[Amount of order  returned]])&lt;0, "N/A", Table3[[#This Row],[Revenue before return]]-Table3[[#This Row],[Amount of order  returned]]), "N/A")</f>
        <v>550000</v>
      </c>
      <c r="Q50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06" spans="1:17" x14ac:dyDescent="0.2">
      <c r="A506" t="s">
        <v>836</v>
      </c>
      <c r="B506" t="s">
        <v>9</v>
      </c>
      <c r="C506" t="s">
        <v>18</v>
      </c>
      <c r="D506" s="6">
        <v>13</v>
      </c>
      <c r="E506" s="5">
        <v>50000</v>
      </c>
      <c r="F506" t="s">
        <v>776</v>
      </c>
      <c r="G506" s="7">
        <v>46122</v>
      </c>
      <c r="H506" s="5">
        <v>0</v>
      </c>
      <c r="I50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06" t="b">
        <f>((ISNUMBER(Table3[[#This Row],[Quantity]]) )* (Table3[[#This Row],[Quantity]]&gt;0))=1</f>
        <v>1</v>
      </c>
      <c r="K506" t="b">
        <f>((Table3[[#This Row],[Quantity]]&gt;=Table3[[#This Row],[Return Qty]])*(ISNUMBER(Table3[[#This Row],[Quantity]])))=1</f>
        <v>1</v>
      </c>
      <c r="L506" t="b">
        <f>ISNUMBER(Table3[[#This Row],[Unit Price]])</f>
        <v>1</v>
      </c>
      <c r="M506" t="b">
        <f>ISNUMBER(Table3[[#This Row],[Order Date]])</f>
        <v>1</v>
      </c>
      <c r="N506">
        <f>IFERROR(IF(Table3[[#This Row],[Quantity]]*Table3[[#This Row],[Unit Price]]&lt;0, "N/A", Table3[[#This Row],[Quantity]]*Table3[[#This Row],[Unit Price]]), "N/A")</f>
        <v>650000</v>
      </c>
      <c r="O506">
        <f>IFERROR(Table3[[#This Row],[Unit Price]]*Table3[[#This Row],[Return Qty]], "N/A")</f>
        <v>0</v>
      </c>
      <c r="P506">
        <f>IFERROR(IF((Table3[[#This Row],[Revenue before return]]-Table3[[#This Row],[Amount of order  returned]])&lt;0, "N/A", Table3[[#This Row],[Revenue before return]]-Table3[[#This Row],[Amount of order  returned]]), "N/A")</f>
        <v>650000</v>
      </c>
      <c r="Q50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07" spans="1:17" x14ac:dyDescent="0.2">
      <c r="A507" t="s">
        <v>837</v>
      </c>
      <c r="B507" t="s">
        <v>25</v>
      </c>
      <c r="C507" t="s">
        <v>18</v>
      </c>
      <c r="D507" s="6">
        <v>18</v>
      </c>
      <c r="E507" s="5">
        <v>50000</v>
      </c>
      <c r="F507" t="s">
        <v>838</v>
      </c>
      <c r="G507" s="7">
        <v>46123</v>
      </c>
      <c r="H507" s="5">
        <v>0</v>
      </c>
      <c r="I50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07" t="b">
        <f>((ISNUMBER(Table3[[#This Row],[Quantity]]) )* (Table3[[#This Row],[Quantity]]&gt;0))=1</f>
        <v>1</v>
      </c>
      <c r="K507" t="b">
        <f>((Table3[[#This Row],[Quantity]]&gt;=Table3[[#This Row],[Return Qty]])*(ISNUMBER(Table3[[#This Row],[Quantity]])))=1</f>
        <v>1</v>
      </c>
      <c r="L507" t="b">
        <f>ISNUMBER(Table3[[#This Row],[Unit Price]])</f>
        <v>1</v>
      </c>
      <c r="M507" t="b">
        <f>ISNUMBER(Table3[[#This Row],[Order Date]])</f>
        <v>1</v>
      </c>
      <c r="N507">
        <f>IFERROR(IF(Table3[[#This Row],[Quantity]]*Table3[[#This Row],[Unit Price]]&lt;0, "N/A", Table3[[#This Row],[Quantity]]*Table3[[#This Row],[Unit Price]]), "N/A")</f>
        <v>900000</v>
      </c>
      <c r="O507">
        <f>IFERROR(Table3[[#This Row],[Unit Price]]*Table3[[#This Row],[Return Qty]], "N/A")</f>
        <v>0</v>
      </c>
      <c r="P507">
        <f>IFERROR(IF((Table3[[#This Row],[Revenue before return]]-Table3[[#This Row],[Amount of order  returned]])&lt;0, "N/A", Table3[[#This Row],[Revenue before return]]-Table3[[#This Row],[Amount of order  returned]]), "N/A")</f>
        <v>900000</v>
      </c>
      <c r="Q50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08" spans="1:17" x14ac:dyDescent="0.2">
      <c r="A508" t="s">
        <v>839</v>
      </c>
      <c r="B508" t="s">
        <v>14</v>
      </c>
      <c r="C508" t="s">
        <v>32</v>
      </c>
      <c r="D508" s="6">
        <v>24</v>
      </c>
      <c r="E508" s="5">
        <v>8000</v>
      </c>
      <c r="F508" t="s">
        <v>35</v>
      </c>
      <c r="G508" s="7">
        <v>46053</v>
      </c>
      <c r="H508" s="5">
        <v>0</v>
      </c>
      <c r="I50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08" t="b">
        <f>((ISNUMBER(Table3[[#This Row],[Quantity]]) )* (Table3[[#This Row],[Quantity]]&gt;0))=1</f>
        <v>1</v>
      </c>
      <c r="K508" t="b">
        <f>((Table3[[#This Row],[Quantity]]&gt;=Table3[[#This Row],[Return Qty]])*(ISNUMBER(Table3[[#This Row],[Quantity]])))=1</f>
        <v>1</v>
      </c>
      <c r="L508" t="b">
        <f>ISNUMBER(Table3[[#This Row],[Unit Price]])</f>
        <v>1</v>
      </c>
      <c r="M508" t="b">
        <f>ISNUMBER(Table3[[#This Row],[Order Date]])</f>
        <v>1</v>
      </c>
      <c r="N508">
        <f>IFERROR(IF(Table3[[#This Row],[Quantity]]*Table3[[#This Row],[Unit Price]]&lt;0, "N/A", Table3[[#This Row],[Quantity]]*Table3[[#This Row],[Unit Price]]), "N/A")</f>
        <v>192000</v>
      </c>
      <c r="O508">
        <f>IFERROR(Table3[[#This Row],[Unit Price]]*Table3[[#This Row],[Return Qty]], "N/A")</f>
        <v>0</v>
      </c>
      <c r="P508">
        <f>IFERROR(IF((Table3[[#This Row],[Revenue before return]]-Table3[[#This Row],[Amount of order  returned]])&lt;0, "N/A", Table3[[#This Row],[Revenue before return]]-Table3[[#This Row],[Amount of order  returned]]), "N/A")</f>
        <v>192000</v>
      </c>
      <c r="Q50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09" spans="1:17" x14ac:dyDescent="0.2">
      <c r="A509" t="s">
        <v>840</v>
      </c>
      <c r="B509" t="s">
        <v>304</v>
      </c>
      <c r="C509" t="s">
        <v>26</v>
      </c>
      <c r="D509" s="6">
        <v>12</v>
      </c>
      <c r="E509" s="5">
        <v>20000</v>
      </c>
      <c r="F509" t="s">
        <v>730</v>
      </c>
      <c r="G509" s="7">
        <v>46038</v>
      </c>
      <c r="H509" s="5">
        <v>0</v>
      </c>
      <c r="I50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09" t="b">
        <f>((ISNUMBER(Table3[[#This Row],[Quantity]]) )* (Table3[[#This Row],[Quantity]]&gt;0))=1</f>
        <v>1</v>
      </c>
      <c r="K509" t="b">
        <f>((Table3[[#This Row],[Quantity]]&gt;=Table3[[#This Row],[Return Qty]])*(ISNUMBER(Table3[[#This Row],[Quantity]])))=1</f>
        <v>1</v>
      </c>
      <c r="L509" t="b">
        <f>ISNUMBER(Table3[[#This Row],[Unit Price]])</f>
        <v>1</v>
      </c>
      <c r="M509" t="b">
        <f>ISNUMBER(Table3[[#This Row],[Order Date]])</f>
        <v>1</v>
      </c>
      <c r="N509">
        <f>IFERROR(IF(Table3[[#This Row],[Quantity]]*Table3[[#This Row],[Unit Price]]&lt;0, "N/A", Table3[[#This Row],[Quantity]]*Table3[[#This Row],[Unit Price]]), "N/A")</f>
        <v>240000</v>
      </c>
      <c r="O509">
        <f>IFERROR(Table3[[#This Row],[Unit Price]]*Table3[[#This Row],[Return Qty]], "N/A")</f>
        <v>0</v>
      </c>
      <c r="P509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50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10" spans="1:17" x14ac:dyDescent="0.2">
      <c r="A510" t="s">
        <v>841</v>
      </c>
      <c r="B510" t="s">
        <v>25</v>
      </c>
      <c r="C510" t="s">
        <v>10</v>
      </c>
      <c r="D510" s="6">
        <v>17</v>
      </c>
      <c r="E510" s="5">
        <v>15000</v>
      </c>
      <c r="F510" t="s">
        <v>842</v>
      </c>
      <c r="G510" s="7">
        <v>46040</v>
      </c>
      <c r="H510" s="5">
        <v>5</v>
      </c>
      <c r="I51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10" t="b">
        <f>((ISNUMBER(Table3[[#This Row],[Quantity]]) )* (Table3[[#This Row],[Quantity]]&gt;0))=1</f>
        <v>1</v>
      </c>
      <c r="K510" t="b">
        <f>((Table3[[#This Row],[Quantity]]&gt;=Table3[[#This Row],[Return Qty]])*(ISNUMBER(Table3[[#This Row],[Quantity]])))=1</f>
        <v>1</v>
      </c>
      <c r="L510" t="b">
        <f>ISNUMBER(Table3[[#This Row],[Unit Price]])</f>
        <v>1</v>
      </c>
      <c r="M510" t="b">
        <f>ISNUMBER(Table3[[#This Row],[Order Date]])</f>
        <v>1</v>
      </c>
      <c r="N510">
        <f>IFERROR(IF(Table3[[#This Row],[Quantity]]*Table3[[#This Row],[Unit Price]]&lt;0, "N/A", Table3[[#This Row],[Quantity]]*Table3[[#This Row],[Unit Price]]), "N/A")</f>
        <v>255000</v>
      </c>
      <c r="O510">
        <f>IFERROR(Table3[[#This Row],[Unit Price]]*Table3[[#This Row],[Return Qty]], "N/A")</f>
        <v>75000</v>
      </c>
      <c r="P510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51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11" spans="1:17" x14ac:dyDescent="0.2">
      <c r="A511" t="s">
        <v>843</v>
      </c>
      <c r="B511" t="s">
        <v>185</v>
      </c>
      <c r="C511" t="s">
        <v>26</v>
      </c>
      <c r="D511" s="6">
        <v>22</v>
      </c>
      <c r="E511" s="5">
        <v>20000</v>
      </c>
      <c r="F511" t="s">
        <v>266</v>
      </c>
      <c r="G511" s="7">
        <v>46067</v>
      </c>
      <c r="H511" s="5">
        <v>0</v>
      </c>
      <c r="I51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11" t="b">
        <f>((ISNUMBER(Table3[[#This Row],[Quantity]]) )* (Table3[[#This Row],[Quantity]]&gt;0))=1</f>
        <v>1</v>
      </c>
      <c r="K511" t="b">
        <f>((Table3[[#This Row],[Quantity]]&gt;=Table3[[#This Row],[Return Qty]])*(ISNUMBER(Table3[[#This Row],[Quantity]])))=1</f>
        <v>1</v>
      </c>
      <c r="L511" t="b">
        <f>ISNUMBER(Table3[[#This Row],[Unit Price]])</f>
        <v>1</v>
      </c>
      <c r="M511" t="b">
        <f>ISNUMBER(Table3[[#This Row],[Order Date]])</f>
        <v>1</v>
      </c>
      <c r="N511">
        <f>IFERROR(IF(Table3[[#This Row],[Quantity]]*Table3[[#This Row],[Unit Price]]&lt;0, "N/A", Table3[[#This Row],[Quantity]]*Table3[[#This Row],[Unit Price]]), "N/A")</f>
        <v>440000</v>
      </c>
      <c r="O511">
        <f>IFERROR(Table3[[#This Row],[Unit Price]]*Table3[[#This Row],[Return Qty]], "N/A")</f>
        <v>0</v>
      </c>
      <c r="P511">
        <f>IFERROR(IF((Table3[[#This Row],[Revenue before return]]-Table3[[#This Row],[Amount of order  returned]])&lt;0, "N/A", Table3[[#This Row],[Revenue before return]]-Table3[[#This Row],[Amount of order  returned]]), "N/A")</f>
        <v>440000</v>
      </c>
      <c r="Q51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12" spans="1:17" x14ac:dyDescent="0.2">
      <c r="A512" t="s">
        <v>844</v>
      </c>
      <c r="B512" t="s">
        <v>25</v>
      </c>
      <c r="C512" t="s">
        <v>39</v>
      </c>
      <c r="D512" s="6">
        <v>8</v>
      </c>
      <c r="E512" s="5">
        <v>12000</v>
      </c>
      <c r="F512" t="s">
        <v>845</v>
      </c>
      <c r="G512" s="7">
        <v>46105</v>
      </c>
      <c r="H512" s="5">
        <v>0</v>
      </c>
      <c r="I51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12" t="b">
        <f>((ISNUMBER(Table3[[#This Row],[Quantity]]) )* (Table3[[#This Row],[Quantity]]&gt;0))=1</f>
        <v>1</v>
      </c>
      <c r="K512" t="b">
        <f>((Table3[[#This Row],[Quantity]]&gt;=Table3[[#This Row],[Return Qty]])*(ISNUMBER(Table3[[#This Row],[Quantity]])))=1</f>
        <v>1</v>
      </c>
      <c r="L512" t="b">
        <f>ISNUMBER(Table3[[#This Row],[Unit Price]])</f>
        <v>1</v>
      </c>
      <c r="M512" t="b">
        <f>ISNUMBER(Table3[[#This Row],[Order Date]])</f>
        <v>1</v>
      </c>
      <c r="N512">
        <f>IFERROR(IF(Table3[[#This Row],[Quantity]]*Table3[[#This Row],[Unit Price]]&lt;0, "N/A", Table3[[#This Row],[Quantity]]*Table3[[#This Row],[Unit Price]]), "N/A")</f>
        <v>96000</v>
      </c>
      <c r="O512">
        <f>IFERROR(Table3[[#This Row],[Unit Price]]*Table3[[#This Row],[Return Qty]], "N/A")</f>
        <v>0</v>
      </c>
      <c r="P512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51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13" spans="1:17" x14ac:dyDescent="0.2">
      <c r="A513" t="s">
        <v>846</v>
      </c>
      <c r="B513" t="s">
        <v>14</v>
      </c>
      <c r="C513" t="s">
        <v>45</v>
      </c>
      <c r="D513" s="6">
        <v>-9</v>
      </c>
      <c r="E513" s="5">
        <v>20000</v>
      </c>
      <c r="F513" t="s">
        <v>710</v>
      </c>
      <c r="G513" s="7">
        <v>46177</v>
      </c>
      <c r="H513" s="5">
        <v>0</v>
      </c>
      <c r="I51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13" t="b">
        <f>((ISNUMBER(Table3[[#This Row],[Quantity]]) )* (Table3[[#This Row],[Quantity]]&gt;0))=1</f>
        <v>0</v>
      </c>
      <c r="K513" t="b">
        <f>((Table3[[#This Row],[Quantity]]&gt;=Table3[[#This Row],[Return Qty]])*(ISNUMBER(Table3[[#This Row],[Quantity]])))=1</f>
        <v>0</v>
      </c>
      <c r="L513" t="b">
        <f>ISNUMBER(Table3[[#This Row],[Unit Price]])</f>
        <v>1</v>
      </c>
      <c r="M513" t="b">
        <f>ISNUMBER(Table3[[#This Row],[Order Date]])</f>
        <v>1</v>
      </c>
      <c r="N513" t="str">
        <f>IFERROR(IF(Table3[[#This Row],[Quantity]]*Table3[[#This Row],[Unit Price]]&lt;0, "N/A", Table3[[#This Row],[Quantity]]*Table3[[#This Row],[Unit Price]]), "N/A")</f>
        <v>N/A</v>
      </c>
      <c r="O513">
        <f>IFERROR(Table3[[#This Row],[Unit Price]]*Table3[[#This Row],[Return Qty]], "N/A")</f>
        <v>0</v>
      </c>
      <c r="P513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51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514" spans="1:17" x14ac:dyDescent="0.2">
      <c r="A514" t="s">
        <v>847</v>
      </c>
      <c r="B514" t="s">
        <v>9</v>
      </c>
      <c r="C514" t="s">
        <v>10</v>
      </c>
      <c r="D514" s="6">
        <v>23</v>
      </c>
      <c r="E514" s="5">
        <v>15000</v>
      </c>
      <c r="F514" t="s">
        <v>848</v>
      </c>
      <c r="G514" s="7">
        <v>46133</v>
      </c>
      <c r="H514" s="5">
        <v>0</v>
      </c>
      <c r="I51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14" t="b">
        <f>((ISNUMBER(Table3[[#This Row],[Quantity]]) )* (Table3[[#This Row],[Quantity]]&gt;0))=1</f>
        <v>1</v>
      </c>
      <c r="K514" t="b">
        <f>((Table3[[#This Row],[Quantity]]&gt;=Table3[[#This Row],[Return Qty]])*(ISNUMBER(Table3[[#This Row],[Quantity]])))=1</f>
        <v>1</v>
      </c>
      <c r="L514" t="b">
        <f>ISNUMBER(Table3[[#This Row],[Unit Price]])</f>
        <v>1</v>
      </c>
      <c r="M514" t="b">
        <f>ISNUMBER(Table3[[#This Row],[Order Date]])</f>
        <v>1</v>
      </c>
      <c r="N514">
        <f>IFERROR(IF(Table3[[#This Row],[Quantity]]*Table3[[#This Row],[Unit Price]]&lt;0, "N/A", Table3[[#This Row],[Quantity]]*Table3[[#This Row],[Unit Price]]), "N/A")</f>
        <v>345000</v>
      </c>
      <c r="O514">
        <f>IFERROR(Table3[[#This Row],[Unit Price]]*Table3[[#This Row],[Return Qty]], "N/A")</f>
        <v>0</v>
      </c>
      <c r="P514">
        <f>IFERROR(IF((Table3[[#This Row],[Revenue before return]]-Table3[[#This Row],[Amount of order  returned]])&lt;0, "N/A", Table3[[#This Row],[Revenue before return]]-Table3[[#This Row],[Amount of order  returned]]), "N/A")</f>
        <v>345000</v>
      </c>
      <c r="Q51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15" spans="1:17" x14ac:dyDescent="0.2">
      <c r="A515" t="s">
        <v>849</v>
      </c>
      <c r="B515" t="s">
        <v>21</v>
      </c>
      <c r="C515" t="s">
        <v>32</v>
      </c>
      <c r="D515" s="6">
        <v>12</v>
      </c>
      <c r="E515" s="5">
        <v>8000</v>
      </c>
      <c r="F515" t="s">
        <v>642</v>
      </c>
      <c r="G515" s="7">
        <v>46061</v>
      </c>
      <c r="H515" s="5">
        <v>0</v>
      </c>
      <c r="I51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15" t="b">
        <f>((ISNUMBER(Table3[[#This Row],[Quantity]]) )* (Table3[[#This Row],[Quantity]]&gt;0))=1</f>
        <v>1</v>
      </c>
      <c r="K515" t="b">
        <f>((Table3[[#This Row],[Quantity]]&gt;=Table3[[#This Row],[Return Qty]])*(ISNUMBER(Table3[[#This Row],[Quantity]])))=1</f>
        <v>1</v>
      </c>
      <c r="L515" t="b">
        <f>ISNUMBER(Table3[[#This Row],[Unit Price]])</f>
        <v>1</v>
      </c>
      <c r="M515" t="b">
        <f>ISNUMBER(Table3[[#This Row],[Order Date]])</f>
        <v>1</v>
      </c>
      <c r="N515">
        <f>IFERROR(IF(Table3[[#This Row],[Quantity]]*Table3[[#This Row],[Unit Price]]&lt;0, "N/A", Table3[[#This Row],[Quantity]]*Table3[[#This Row],[Unit Price]]), "N/A")</f>
        <v>96000</v>
      </c>
      <c r="O515">
        <f>IFERROR(Table3[[#This Row],[Unit Price]]*Table3[[#This Row],[Return Qty]], "N/A")</f>
        <v>0</v>
      </c>
      <c r="P515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51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16" spans="1:17" x14ac:dyDescent="0.2">
      <c r="A516" t="s">
        <v>850</v>
      </c>
      <c r="B516" t="s">
        <v>9</v>
      </c>
      <c r="C516" t="s">
        <v>10</v>
      </c>
      <c r="D516" s="6">
        <v>22</v>
      </c>
      <c r="E516" s="5">
        <v>15000</v>
      </c>
      <c r="F516" t="s">
        <v>117</v>
      </c>
      <c r="G516" s="7">
        <v>46102</v>
      </c>
      <c r="H516" s="5">
        <v>0</v>
      </c>
      <c r="I51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16" t="b">
        <f>((ISNUMBER(Table3[[#This Row],[Quantity]]) )* (Table3[[#This Row],[Quantity]]&gt;0))=1</f>
        <v>1</v>
      </c>
      <c r="K516" t="b">
        <f>((Table3[[#This Row],[Quantity]]&gt;=Table3[[#This Row],[Return Qty]])*(ISNUMBER(Table3[[#This Row],[Quantity]])))=1</f>
        <v>1</v>
      </c>
      <c r="L516" t="b">
        <f>ISNUMBER(Table3[[#This Row],[Unit Price]])</f>
        <v>1</v>
      </c>
      <c r="M516" t="b">
        <f>ISNUMBER(Table3[[#This Row],[Order Date]])</f>
        <v>1</v>
      </c>
      <c r="N516">
        <f>IFERROR(IF(Table3[[#This Row],[Quantity]]*Table3[[#This Row],[Unit Price]]&lt;0, "N/A", Table3[[#This Row],[Quantity]]*Table3[[#This Row],[Unit Price]]), "N/A")</f>
        <v>330000</v>
      </c>
      <c r="O516">
        <f>IFERROR(Table3[[#This Row],[Unit Price]]*Table3[[#This Row],[Return Qty]], "N/A")</f>
        <v>0</v>
      </c>
      <c r="P516">
        <f>IFERROR(IF((Table3[[#This Row],[Revenue before return]]-Table3[[#This Row],[Amount of order  returned]])&lt;0, "N/A", Table3[[#This Row],[Revenue before return]]-Table3[[#This Row],[Amount of order  returned]]), "N/A")</f>
        <v>330000</v>
      </c>
      <c r="Q51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17" spans="1:17" x14ac:dyDescent="0.2">
      <c r="A517" t="s">
        <v>851</v>
      </c>
      <c r="B517" t="s">
        <v>21</v>
      </c>
      <c r="C517" t="s">
        <v>22</v>
      </c>
      <c r="D517" s="6">
        <v>10</v>
      </c>
      <c r="E517" s="5">
        <v>35000</v>
      </c>
      <c r="F517" t="s">
        <v>222</v>
      </c>
      <c r="G517" s="7">
        <v>46030</v>
      </c>
      <c r="H517" s="5">
        <v>0</v>
      </c>
      <c r="I51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17" t="b">
        <f>((ISNUMBER(Table3[[#This Row],[Quantity]]) )* (Table3[[#This Row],[Quantity]]&gt;0))=1</f>
        <v>1</v>
      </c>
      <c r="K517" t="b">
        <f>((Table3[[#This Row],[Quantity]]&gt;=Table3[[#This Row],[Return Qty]])*(ISNUMBER(Table3[[#This Row],[Quantity]])))=1</f>
        <v>1</v>
      </c>
      <c r="L517" t="b">
        <f>ISNUMBER(Table3[[#This Row],[Unit Price]])</f>
        <v>1</v>
      </c>
      <c r="M517" t="b">
        <f>ISNUMBER(Table3[[#This Row],[Order Date]])</f>
        <v>1</v>
      </c>
      <c r="N517">
        <f>IFERROR(IF(Table3[[#This Row],[Quantity]]*Table3[[#This Row],[Unit Price]]&lt;0, "N/A", Table3[[#This Row],[Quantity]]*Table3[[#This Row],[Unit Price]]), "N/A")</f>
        <v>350000</v>
      </c>
      <c r="O517">
        <f>IFERROR(Table3[[#This Row],[Unit Price]]*Table3[[#This Row],[Return Qty]], "N/A")</f>
        <v>0</v>
      </c>
      <c r="P517">
        <f>IFERROR(IF((Table3[[#This Row],[Revenue before return]]-Table3[[#This Row],[Amount of order  returned]])&lt;0, "N/A", Table3[[#This Row],[Revenue before return]]-Table3[[#This Row],[Amount of order  returned]]), "N/A")</f>
        <v>350000</v>
      </c>
      <c r="Q51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18" spans="1:17" x14ac:dyDescent="0.2">
      <c r="A518" t="s">
        <v>852</v>
      </c>
      <c r="B518" t="s">
        <v>9</v>
      </c>
      <c r="C518" t="s">
        <v>39</v>
      </c>
      <c r="D518" s="6">
        <v>20</v>
      </c>
      <c r="E518" s="5">
        <v>12000</v>
      </c>
      <c r="F518" t="s">
        <v>355</v>
      </c>
      <c r="G518" s="7">
        <v>46093</v>
      </c>
      <c r="H518" s="5">
        <v>0</v>
      </c>
      <c r="I51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18" t="b">
        <f>((ISNUMBER(Table3[[#This Row],[Quantity]]) )* (Table3[[#This Row],[Quantity]]&gt;0))=1</f>
        <v>1</v>
      </c>
      <c r="K518" t="b">
        <f>((Table3[[#This Row],[Quantity]]&gt;=Table3[[#This Row],[Return Qty]])*(ISNUMBER(Table3[[#This Row],[Quantity]])))=1</f>
        <v>1</v>
      </c>
      <c r="L518" t="b">
        <f>ISNUMBER(Table3[[#This Row],[Unit Price]])</f>
        <v>1</v>
      </c>
      <c r="M518" t="b">
        <f>ISNUMBER(Table3[[#This Row],[Order Date]])</f>
        <v>1</v>
      </c>
      <c r="N518">
        <f>IFERROR(IF(Table3[[#This Row],[Quantity]]*Table3[[#This Row],[Unit Price]]&lt;0, "N/A", Table3[[#This Row],[Quantity]]*Table3[[#This Row],[Unit Price]]), "N/A")</f>
        <v>240000</v>
      </c>
      <c r="O518">
        <f>IFERROR(Table3[[#This Row],[Unit Price]]*Table3[[#This Row],[Return Qty]], "N/A")</f>
        <v>0</v>
      </c>
      <c r="P518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51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19" spans="1:17" x14ac:dyDescent="0.2">
      <c r="A519" t="s">
        <v>853</v>
      </c>
      <c r="B519" t="s">
        <v>14</v>
      </c>
      <c r="C519" t="s">
        <v>22</v>
      </c>
      <c r="D519" s="6">
        <v>10</v>
      </c>
      <c r="E519" s="5">
        <v>35000</v>
      </c>
      <c r="F519" t="s">
        <v>173</v>
      </c>
      <c r="G519" s="7">
        <v>46200</v>
      </c>
      <c r="H519" s="5">
        <v>0</v>
      </c>
      <c r="I51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19" t="b">
        <f>((ISNUMBER(Table3[[#This Row],[Quantity]]) )* (Table3[[#This Row],[Quantity]]&gt;0))=1</f>
        <v>1</v>
      </c>
      <c r="K519" t="b">
        <f>((Table3[[#This Row],[Quantity]]&gt;=Table3[[#This Row],[Return Qty]])*(ISNUMBER(Table3[[#This Row],[Quantity]])))=1</f>
        <v>1</v>
      </c>
      <c r="L519" t="b">
        <f>ISNUMBER(Table3[[#This Row],[Unit Price]])</f>
        <v>1</v>
      </c>
      <c r="M519" t="b">
        <f>ISNUMBER(Table3[[#This Row],[Order Date]])</f>
        <v>1</v>
      </c>
      <c r="N519">
        <f>IFERROR(IF(Table3[[#This Row],[Quantity]]*Table3[[#This Row],[Unit Price]]&lt;0, "N/A", Table3[[#This Row],[Quantity]]*Table3[[#This Row],[Unit Price]]), "N/A")</f>
        <v>350000</v>
      </c>
      <c r="O519">
        <f>IFERROR(Table3[[#This Row],[Unit Price]]*Table3[[#This Row],[Return Qty]], "N/A")</f>
        <v>0</v>
      </c>
      <c r="P519">
        <f>IFERROR(IF((Table3[[#This Row],[Revenue before return]]-Table3[[#This Row],[Amount of order  returned]])&lt;0, "N/A", Table3[[#This Row],[Revenue before return]]-Table3[[#This Row],[Amount of order  returned]]), "N/A")</f>
        <v>350000</v>
      </c>
      <c r="Q51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20" spans="1:17" x14ac:dyDescent="0.2">
      <c r="A520" t="s">
        <v>854</v>
      </c>
      <c r="B520" t="s">
        <v>14</v>
      </c>
      <c r="C520" t="s">
        <v>39</v>
      </c>
      <c r="D520" s="6">
        <v>11</v>
      </c>
      <c r="E520" s="5">
        <v>12000</v>
      </c>
      <c r="F520" t="s">
        <v>132</v>
      </c>
      <c r="G520" s="7">
        <v>46166</v>
      </c>
      <c r="H520" s="5">
        <v>0</v>
      </c>
      <c r="I52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20" t="b">
        <f>((ISNUMBER(Table3[[#This Row],[Quantity]]) )* (Table3[[#This Row],[Quantity]]&gt;0))=1</f>
        <v>1</v>
      </c>
      <c r="K520" t="b">
        <f>((Table3[[#This Row],[Quantity]]&gt;=Table3[[#This Row],[Return Qty]])*(ISNUMBER(Table3[[#This Row],[Quantity]])))=1</f>
        <v>1</v>
      </c>
      <c r="L520" t="b">
        <f>ISNUMBER(Table3[[#This Row],[Unit Price]])</f>
        <v>1</v>
      </c>
      <c r="M520" t="b">
        <f>ISNUMBER(Table3[[#This Row],[Order Date]])</f>
        <v>1</v>
      </c>
      <c r="N520">
        <f>IFERROR(IF(Table3[[#This Row],[Quantity]]*Table3[[#This Row],[Unit Price]]&lt;0, "N/A", Table3[[#This Row],[Quantity]]*Table3[[#This Row],[Unit Price]]), "N/A")</f>
        <v>132000</v>
      </c>
      <c r="O520">
        <f>IFERROR(Table3[[#This Row],[Unit Price]]*Table3[[#This Row],[Return Qty]], "N/A")</f>
        <v>0</v>
      </c>
      <c r="P520">
        <f>IFERROR(IF((Table3[[#This Row],[Revenue before return]]-Table3[[#This Row],[Amount of order  returned]])&lt;0, "N/A", Table3[[#This Row],[Revenue before return]]-Table3[[#This Row],[Amount of order  returned]]), "N/A")</f>
        <v>132000</v>
      </c>
      <c r="Q52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21" spans="1:17" x14ac:dyDescent="0.2">
      <c r="A521" t="s">
        <v>855</v>
      </c>
      <c r="B521" t="s">
        <v>9</v>
      </c>
      <c r="C521" t="s">
        <v>18</v>
      </c>
      <c r="D521" s="6">
        <v>20</v>
      </c>
      <c r="E521" s="5">
        <v>50000</v>
      </c>
      <c r="F521" t="s">
        <v>78</v>
      </c>
      <c r="G521" s="7">
        <v>46062</v>
      </c>
      <c r="H521" s="5">
        <v>2</v>
      </c>
      <c r="I52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21" t="b">
        <f>((ISNUMBER(Table3[[#This Row],[Quantity]]) )* (Table3[[#This Row],[Quantity]]&gt;0))=1</f>
        <v>1</v>
      </c>
      <c r="K521" t="b">
        <f>((Table3[[#This Row],[Quantity]]&gt;=Table3[[#This Row],[Return Qty]])*(ISNUMBER(Table3[[#This Row],[Quantity]])))=1</f>
        <v>1</v>
      </c>
      <c r="L521" t="b">
        <f>ISNUMBER(Table3[[#This Row],[Unit Price]])</f>
        <v>1</v>
      </c>
      <c r="M521" t="b">
        <f>ISNUMBER(Table3[[#This Row],[Order Date]])</f>
        <v>1</v>
      </c>
      <c r="N521">
        <f>IFERROR(IF(Table3[[#This Row],[Quantity]]*Table3[[#This Row],[Unit Price]]&lt;0, "N/A", Table3[[#This Row],[Quantity]]*Table3[[#This Row],[Unit Price]]), "N/A")</f>
        <v>1000000</v>
      </c>
      <c r="O521">
        <f>IFERROR(Table3[[#This Row],[Unit Price]]*Table3[[#This Row],[Return Qty]], "N/A")</f>
        <v>100000</v>
      </c>
      <c r="P521">
        <f>IFERROR(IF((Table3[[#This Row],[Revenue before return]]-Table3[[#This Row],[Amount of order  returned]])&lt;0, "N/A", Table3[[#This Row],[Revenue before return]]-Table3[[#This Row],[Amount of order  returned]]), "N/A")</f>
        <v>900000</v>
      </c>
      <c r="Q52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22" spans="1:17" x14ac:dyDescent="0.2">
      <c r="A522" t="s">
        <v>856</v>
      </c>
      <c r="B522" t="s">
        <v>14</v>
      </c>
      <c r="C522" t="s">
        <v>26</v>
      </c>
      <c r="D522" s="6">
        <v>11</v>
      </c>
      <c r="E522" s="5">
        <v>20000</v>
      </c>
      <c r="F522" t="s">
        <v>857</v>
      </c>
      <c r="G522" s="7">
        <v>46155</v>
      </c>
      <c r="H522" s="5">
        <v>0</v>
      </c>
      <c r="I52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22" t="b">
        <f>((ISNUMBER(Table3[[#This Row],[Quantity]]) )* (Table3[[#This Row],[Quantity]]&gt;0))=1</f>
        <v>1</v>
      </c>
      <c r="K522" t="b">
        <f>((Table3[[#This Row],[Quantity]]&gt;=Table3[[#This Row],[Return Qty]])*(ISNUMBER(Table3[[#This Row],[Quantity]])))=1</f>
        <v>1</v>
      </c>
      <c r="L522" t="b">
        <f>ISNUMBER(Table3[[#This Row],[Unit Price]])</f>
        <v>1</v>
      </c>
      <c r="M522" t="b">
        <f>ISNUMBER(Table3[[#This Row],[Order Date]])</f>
        <v>1</v>
      </c>
      <c r="N522">
        <f>IFERROR(IF(Table3[[#This Row],[Quantity]]*Table3[[#This Row],[Unit Price]]&lt;0, "N/A", Table3[[#This Row],[Quantity]]*Table3[[#This Row],[Unit Price]]), "N/A")</f>
        <v>220000</v>
      </c>
      <c r="O522">
        <f>IFERROR(Table3[[#This Row],[Unit Price]]*Table3[[#This Row],[Return Qty]], "N/A")</f>
        <v>0</v>
      </c>
      <c r="P522">
        <f>IFERROR(IF((Table3[[#This Row],[Revenue before return]]-Table3[[#This Row],[Amount of order  returned]])&lt;0, "N/A", Table3[[#This Row],[Revenue before return]]-Table3[[#This Row],[Amount of order  returned]]), "N/A")</f>
        <v>220000</v>
      </c>
      <c r="Q52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23" spans="1:17" x14ac:dyDescent="0.2">
      <c r="A523" t="s">
        <v>859</v>
      </c>
      <c r="B523" t="s">
        <v>21</v>
      </c>
      <c r="C523" t="s">
        <v>22</v>
      </c>
      <c r="D523" s="6">
        <v>5</v>
      </c>
      <c r="E523" s="5">
        <v>35000</v>
      </c>
      <c r="F523" t="s">
        <v>464</v>
      </c>
      <c r="G523" s="7">
        <v>46088</v>
      </c>
      <c r="H523" s="5">
        <v>0</v>
      </c>
      <c r="I52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23" t="b">
        <f>((ISNUMBER(Table3[[#This Row],[Quantity]]) )* (Table3[[#This Row],[Quantity]]&gt;0))=1</f>
        <v>1</v>
      </c>
      <c r="K523" t="b">
        <f>((Table3[[#This Row],[Quantity]]&gt;=Table3[[#This Row],[Return Qty]])*(ISNUMBER(Table3[[#This Row],[Quantity]])))=1</f>
        <v>1</v>
      </c>
      <c r="L523" t="b">
        <f>ISNUMBER(Table3[[#This Row],[Unit Price]])</f>
        <v>1</v>
      </c>
      <c r="M523" t="b">
        <f>ISNUMBER(Table3[[#This Row],[Order Date]])</f>
        <v>1</v>
      </c>
      <c r="N523">
        <f>IFERROR(IF(Table3[[#This Row],[Quantity]]*Table3[[#This Row],[Unit Price]]&lt;0, "N/A", Table3[[#This Row],[Quantity]]*Table3[[#This Row],[Unit Price]]), "N/A")</f>
        <v>175000</v>
      </c>
      <c r="O523">
        <f>IFERROR(Table3[[#This Row],[Unit Price]]*Table3[[#This Row],[Return Qty]], "N/A")</f>
        <v>0</v>
      </c>
      <c r="P523">
        <f>IFERROR(IF((Table3[[#This Row],[Revenue before return]]-Table3[[#This Row],[Amount of order  returned]])&lt;0, "N/A", Table3[[#This Row],[Revenue before return]]-Table3[[#This Row],[Amount of order  returned]]), "N/A")</f>
        <v>175000</v>
      </c>
      <c r="Q52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24" spans="1:17" x14ac:dyDescent="0.2">
      <c r="A524" t="s">
        <v>860</v>
      </c>
      <c r="B524" t="s">
        <v>25</v>
      </c>
      <c r="C524" t="s">
        <v>39</v>
      </c>
      <c r="D524" s="6">
        <v>15</v>
      </c>
      <c r="E524" s="5">
        <v>12000</v>
      </c>
      <c r="F524" t="s">
        <v>861</v>
      </c>
      <c r="G524" s="7">
        <v>46177</v>
      </c>
      <c r="H524" s="5">
        <v>0</v>
      </c>
      <c r="I52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24" t="b">
        <f>((ISNUMBER(Table3[[#This Row],[Quantity]]) )* (Table3[[#This Row],[Quantity]]&gt;0))=1</f>
        <v>1</v>
      </c>
      <c r="K524" t="b">
        <f>((Table3[[#This Row],[Quantity]]&gt;=Table3[[#This Row],[Return Qty]])*(ISNUMBER(Table3[[#This Row],[Quantity]])))=1</f>
        <v>1</v>
      </c>
      <c r="L524" t="b">
        <f>ISNUMBER(Table3[[#This Row],[Unit Price]])</f>
        <v>1</v>
      </c>
      <c r="M524" t="b">
        <f>ISNUMBER(Table3[[#This Row],[Order Date]])</f>
        <v>1</v>
      </c>
      <c r="N524">
        <f>IFERROR(IF(Table3[[#This Row],[Quantity]]*Table3[[#This Row],[Unit Price]]&lt;0, "N/A", Table3[[#This Row],[Quantity]]*Table3[[#This Row],[Unit Price]]), "N/A")</f>
        <v>180000</v>
      </c>
      <c r="O524">
        <f>IFERROR(Table3[[#This Row],[Unit Price]]*Table3[[#This Row],[Return Qty]], "N/A")</f>
        <v>0</v>
      </c>
      <c r="P524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52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25" spans="1:17" x14ac:dyDescent="0.2">
      <c r="A525" t="s">
        <v>862</v>
      </c>
      <c r="B525" t="s">
        <v>9</v>
      </c>
      <c r="C525" t="s">
        <v>70</v>
      </c>
      <c r="D525" s="6">
        <v>22</v>
      </c>
      <c r="E525" s="5">
        <v>28000</v>
      </c>
      <c r="F525" t="s">
        <v>75</v>
      </c>
      <c r="G525" s="7">
        <v>46079</v>
      </c>
      <c r="H525" s="5">
        <v>0</v>
      </c>
      <c r="I52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25" t="b">
        <f>((ISNUMBER(Table3[[#This Row],[Quantity]]) )* (Table3[[#This Row],[Quantity]]&gt;0))=1</f>
        <v>1</v>
      </c>
      <c r="K525" t="b">
        <f>((Table3[[#This Row],[Quantity]]&gt;=Table3[[#This Row],[Return Qty]])*(ISNUMBER(Table3[[#This Row],[Quantity]])))=1</f>
        <v>1</v>
      </c>
      <c r="L525" t="b">
        <f>ISNUMBER(Table3[[#This Row],[Unit Price]])</f>
        <v>1</v>
      </c>
      <c r="M525" t="b">
        <f>ISNUMBER(Table3[[#This Row],[Order Date]])</f>
        <v>1</v>
      </c>
      <c r="N525">
        <f>IFERROR(IF(Table3[[#This Row],[Quantity]]*Table3[[#This Row],[Unit Price]]&lt;0, "N/A", Table3[[#This Row],[Quantity]]*Table3[[#This Row],[Unit Price]]), "N/A")</f>
        <v>616000</v>
      </c>
      <c r="O525">
        <f>IFERROR(Table3[[#This Row],[Unit Price]]*Table3[[#This Row],[Return Qty]], "N/A")</f>
        <v>0</v>
      </c>
      <c r="P525">
        <f>IFERROR(IF((Table3[[#This Row],[Revenue before return]]-Table3[[#This Row],[Amount of order  returned]])&lt;0, "N/A", Table3[[#This Row],[Revenue before return]]-Table3[[#This Row],[Amount of order  returned]]), "N/A")</f>
        <v>616000</v>
      </c>
      <c r="Q52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26" spans="1:17" x14ac:dyDescent="0.2">
      <c r="A526" t="s">
        <v>863</v>
      </c>
      <c r="B526" t="s">
        <v>9</v>
      </c>
      <c r="C526" t="s">
        <v>18</v>
      </c>
      <c r="D526" s="6">
        <v>1</v>
      </c>
      <c r="E526" s="5">
        <v>50000</v>
      </c>
      <c r="F526" t="s">
        <v>218</v>
      </c>
      <c r="G526" s="7">
        <v>46053</v>
      </c>
      <c r="H526" s="5">
        <v>0</v>
      </c>
      <c r="I52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26" t="b">
        <f>((ISNUMBER(Table3[[#This Row],[Quantity]]) )* (Table3[[#This Row],[Quantity]]&gt;0))=1</f>
        <v>1</v>
      </c>
      <c r="K526" t="b">
        <f>((Table3[[#This Row],[Quantity]]&gt;=Table3[[#This Row],[Return Qty]])*(ISNUMBER(Table3[[#This Row],[Quantity]])))=1</f>
        <v>1</v>
      </c>
      <c r="L526" t="b">
        <f>ISNUMBER(Table3[[#This Row],[Unit Price]])</f>
        <v>1</v>
      </c>
      <c r="M526" t="b">
        <f>ISNUMBER(Table3[[#This Row],[Order Date]])</f>
        <v>1</v>
      </c>
      <c r="N526">
        <f>IFERROR(IF(Table3[[#This Row],[Quantity]]*Table3[[#This Row],[Unit Price]]&lt;0, "N/A", Table3[[#This Row],[Quantity]]*Table3[[#This Row],[Unit Price]]), "N/A")</f>
        <v>50000</v>
      </c>
      <c r="O526">
        <f>IFERROR(Table3[[#This Row],[Unit Price]]*Table3[[#This Row],[Return Qty]], "N/A")</f>
        <v>0</v>
      </c>
      <c r="P526">
        <f>IFERROR(IF((Table3[[#This Row],[Revenue before return]]-Table3[[#This Row],[Amount of order  returned]])&lt;0, "N/A", Table3[[#This Row],[Revenue before return]]-Table3[[#This Row],[Amount of order  returned]]), "N/A")</f>
        <v>50000</v>
      </c>
      <c r="Q52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27" spans="1:17" x14ac:dyDescent="0.2">
      <c r="A527" t="s">
        <v>864</v>
      </c>
      <c r="B527" t="s">
        <v>9</v>
      </c>
      <c r="C527" t="s">
        <v>26</v>
      </c>
      <c r="D527" s="6" t="s">
        <v>11</v>
      </c>
      <c r="E527" s="5">
        <v>20000</v>
      </c>
      <c r="F527" t="s">
        <v>866</v>
      </c>
      <c r="G527" s="18" t="s">
        <v>224</v>
      </c>
      <c r="H527" s="5">
        <v>0</v>
      </c>
      <c r="I52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27" t="b">
        <f>((ISNUMBER(Table3[[#This Row],[Quantity]]) )* (Table3[[#This Row],[Quantity]]&gt;0))=1</f>
        <v>0</v>
      </c>
      <c r="K527" t="b">
        <f>((Table3[[#This Row],[Quantity]]&gt;=Table3[[#This Row],[Return Qty]])*(ISNUMBER(Table3[[#This Row],[Quantity]])))=1</f>
        <v>0</v>
      </c>
      <c r="L527" t="b">
        <f>ISNUMBER(Table3[[#This Row],[Unit Price]])</f>
        <v>1</v>
      </c>
      <c r="M527" t="b">
        <f>ISNUMBER(Table3[[#This Row],[Order Date]])</f>
        <v>0</v>
      </c>
      <c r="N527" t="str">
        <f>IFERROR(IF(Table3[[#This Row],[Quantity]]*Table3[[#This Row],[Unit Price]]&lt;0, "N/A", Table3[[#This Row],[Quantity]]*Table3[[#This Row],[Unit Price]]), "N/A")</f>
        <v>N/A</v>
      </c>
      <c r="O527">
        <f>IFERROR(Table3[[#This Row],[Unit Price]]*Table3[[#This Row],[Return Qty]], "N/A")</f>
        <v>0</v>
      </c>
      <c r="P527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52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528" spans="1:17" x14ac:dyDescent="0.2">
      <c r="A528" t="s">
        <v>867</v>
      </c>
      <c r="B528" t="s">
        <v>14</v>
      </c>
      <c r="C528" t="s">
        <v>10</v>
      </c>
      <c r="D528" s="6">
        <v>15</v>
      </c>
      <c r="E528" s="5">
        <v>15000</v>
      </c>
      <c r="F528" t="s">
        <v>707</v>
      </c>
      <c r="G528" s="7">
        <v>46077</v>
      </c>
      <c r="H528" s="5">
        <v>4</v>
      </c>
      <c r="I52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28" t="b">
        <f>((ISNUMBER(Table3[[#This Row],[Quantity]]) )* (Table3[[#This Row],[Quantity]]&gt;0))=1</f>
        <v>1</v>
      </c>
      <c r="K528" t="b">
        <f>((Table3[[#This Row],[Quantity]]&gt;=Table3[[#This Row],[Return Qty]])*(ISNUMBER(Table3[[#This Row],[Quantity]])))=1</f>
        <v>1</v>
      </c>
      <c r="L528" t="b">
        <f>ISNUMBER(Table3[[#This Row],[Unit Price]])</f>
        <v>1</v>
      </c>
      <c r="M528" t="b">
        <f>ISNUMBER(Table3[[#This Row],[Order Date]])</f>
        <v>1</v>
      </c>
      <c r="N528">
        <f>IFERROR(IF(Table3[[#This Row],[Quantity]]*Table3[[#This Row],[Unit Price]]&lt;0, "N/A", Table3[[#This Row],[Quantity]]*Table3[[#This Row],[Unit Price]]), "N/A")</f>
        <v>225000</v>
      </c>
      <c r="O528">
        <f>IFERROR(Table3[[#This Row],[Unit Price]]*Table3[[#This Row],[Return Qty]], "N/A")</f>
        <v>60000</v>
      </c>
      <c r="P528">
        <f>IFERROR(IF((Table3[[#This Row],[Revenue before return]]-Table3[[#This Row],[Amount of order  returned]])&lt;0, "N/A", Table3[[#This Row],[Revenue before return]]-Table3[[#This Row],[Amount of order  returned]]), "N/A")</f>
        <v>165000</v>
      </c>
      <c r="Q52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29" spans="1:17" x14ac:dyDescent="0.2">
      <c r="A529" t="s">
        <v>868</v>
      </c>
      <c r="B529" t="s">
        <v>21</v>
      </c>
      <c r="C529" t="s">
        <v>45</v>
      </c>
      <c r="D529" s="6">
        <v>23</v>
      </c>
      <c r="E529" s="5">
        <v>20000</v>
      </c>
      <c r="F529" t="s">
        <v>73</v>
      </c>
      <c r="G529" s="7">
        <v>46184</v>
      </c>
      <c r="H529" s="5">
        <v>0</v>
      </c>
      <c r="I52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29" t="b">
        <f>((ISNUMBER(Table3[[#This Row],[Quantity]]) )* (Table3[[#This Row],[Quantity]]&gt;0))=1</f>
        <v>1</v>
      </c>
      <c r="K529" t="b">
        <f>((Table3[[#This Row],[Quantity]]&gt;=Table3[[#This Row],[Return Qty]])*(ISNUMBER(Table3[[#This Row],[Quantity]])))=1</f>
        <v>1</v>
      </c>
      <c r="L529" t="b">
        <f>ISNUMBER(Table3[[#This Row],[Unit Price]])</f>
        <v>1</v>
      </c>
      <c r="M529" t="b">
        <f>ISNUMBER(Table3[[#This Row],[Order Date]])</f>
        <v>1</v>
      </c>
      <c r="N529">
        <f>IFERROR(IF(Table3[[#This Row],[Quantity]]*Table3[[#This Row],[Unit Price]]&lt;0, "N/A", Table3[[#This Row],[Quantity]]*Table3[[#This Row],[Unit Price]]), "N/A")</f>
        <v>460000</v>
      </c>
      <c r="O529">
        <f>IFERROR(Table3[[#This Row],[Unit Price]]*Table3[[#This Row],[Return Qty]], "N/A")</f>
        <v>0</v>
      </c>
      <c r="P529">
        <f>IFERROR(IF((Table3[[#This Row],[Revenue before return]]-Table3[[#This Row],[Amount of order  returned]])&lt;0, "N/A", Table3[[#This Row],[Revenue before return]]-Table3[[#This Row],[Amount of order  returned]]), "N/A")</f>
        <v>460000</v>
      </c>
      <c r="Q52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30" spans="1:17" x14ac:dyDescent="0.2">
      <c r="A530" t="s">
        <v>869</v>
      </c>
      <c r="B530" t="s">
        <v>21</v>
      </c>
      <c r="C530" t="s">
        <v>18</v>
      </c>
      <c r="D530" s="6">
        <v>5</v>
      </c>
      <c r="E530" s="5">
        <v>50000</v>
      </c>
      <c r="F530" t="s">
        <v>572</v>
      </c>
      <c r="G530" s="7">
        <v>46099</v>
      </c>
      <c r="H530" s="5">
        <v>0</v>
      </c>
      <c r="I53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30" t="b">
        <f>((ISNUMBER(Table3[[#This Row],[Quantity]]) )* (Table3[[#This Row],[Quantity]]&gt;0))=1</f>
        <v>1</v>
      </c>
      <c r="K530" t="b">
        <f>((Table3[[#This Row],[Quantity]]&gt;=Table3[[#This Row],[Return Qty]])*(ISNUMBER(Table3[[#This Row],[Quantity]])))=1</f>
        <v>1</v>
      </c>
      <c r="L530" t="b">
        <f>ISNUMBER(Table3[[#This Row],[Unit Price]])</f>
        <v>1</v>
      </c>
      <c r="M530" t="b">
        <f>ISNUMBER(Table3[[#This Row],[Order Date]])</f>
        <v>1</v>
      </c>
      <c r="N530">
        <f>IFERROR(IF(Table3[[#This Row],[Quantity]]*Table3[[#This Row],[Unit Price]]&lt;0, "N/A", Table3[[#This Row],[Quantity]]*Table3[[#This Row],[Unit Price]]), "N/A")</f>
        <v>250000</v>
      </c>
      <c r="O530">
        <f>IFERROR(Table3[[#This Row],[Unit Price]]*Table3[[#This Row],[Return Qty]], "N/A")</f>
        <v>0</v>
      </c>
      <c r="P530">
        <f>IFERROR(IF((Table3[[#This Row],[Revenue before return]]-Table3[[#This Row],[Amount of order  returned]])&lt;0, "N/A", Table3[[#This Row],[Revenue before return]]-Table3[[#This Row],[Amount of order  returned]]), "N/A")</f>
        <v>250000</v>
      </c>
      <c r="Q53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31" spans="1:17" x14ac:dyDescent="0.2">
      <c r="A531" t="s">
        <v>870</v>
      </c>
      <c r="B531" t="s">
        <v>14</v>
      </c>
      <c r="C531" t="s">
        <v>26</v>
      </c>
      <c r="D531" s="6">
        <v>15</v>
      </c>
      <c r="E531" s="5">
        <v>20000</v>
      </c>
      <c r="F531" t="s">
        <v>595</v>
      </c>
      <c r="G531" s="7">
        <v>46126</v>
      </c>
      <c r="H531" s="5">
        <v>0</v>
      </c>
      <c r="I53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31" t="b">
        <f>((ISNUMBER(Table3[[#This Row],[Quantity]]) )* (Table3[[#This Row],[Quantity]]&gt;0))=1</f>
        <v>1</v>
      </c>
      <c r="K531" t="b">
        <f>((Table3[[#This Row],[Quantity]]&gt;=Table3[[#This Row],[Return Qty]])*(ISNUMBER(Table3[[#This Row],[Quantity]])))=1</f>
        <v>1</v>
      </c>
      <c r="L531" t="b">
        <f>ISNUMBER(Table3[[#This Row],[Unit Price]])</f>
        <v>1</v>
      </c>
      <c r="M531" t="b">
        <f>ISNUMBER(Table3[[#This Row],[Order Date]])</f>
        <v>1</v>
      </c>
      <c r="N531">
        <f>IFERROR(IF(Table3[[#This Row],[Quantity]]*Table3[[#This Row],[Unit Price]]&lt;0, "N/A", Table3[[#This Row],[Quantity]]*Table3[[#This Row],[Unit Price]]), "N/A")</f>
        <v>300000</v>
      </c>
      <c r="O531">
        <f>IFERROR(Table3[[#This Row],[Unit Price]]*Table3[[#This Row],[Return Qty]], "N/A")</f>
        <v>0</v>
      </c>
      <c r="P531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53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32" spans="1:17" x14ac:dyDescent="0.2">
      <c r="A532" t="s">
        <v>871</v>
      </c>
      <c r="B532" t="s">
        <v>9</v>
      </c>
      <c r="C532" t="s">
        <v>45</v>
      </c>
      <c r="D532" s="6">
        <v>13</v>
      </c>
      <c r="E532" s="5">
        <v>20000</v>
      </c>
      <c r="F532" t="s">
        <v>134</v>
      </c>
      <c r="G532" s="7">
        <v>46040</v>
      </c>
      <c r="H532" s="5">
        <v>0</v>
      </c>
      <c r="I53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32" t="b">
        <f>((ISNUMBER(Table3[[#This Row],[Quantity]]) )* (Table3[[#This Row],[Quantity]]&gt;0))=1</f>
        <v>1</v>
      </c>
      <c r="K532" t="b">
        <f>((Table3[[#This Row],[Quantity]]&gt;=Table3[[#This Row],[Return Qty]])*(ISNUMBER(Table3[[#This Row],[Quantity]])))=1</f>
        <v>1</v>
      </c>
      <c r="L532" t="b">
        <f>ISNUMBER(Table3[[#This Row],[Unit Price]])</f>
        <v>1</v>
      </c>
      <c r="M532" t="b">
        <f>ISNUMBER(Table3[[#This Row],[Order Date]])</f>
        <v>1</v>
      </c>
      <c r="N532">
        <f>IFERROR(IF(Table3[[#This Row],[Quantity]]*Table3[[#This Row],[Unit Price]]&lt;0, "N/A", Table3[[#This Row],[Quantity]]*Table3[[#This Row],[Unit Price]]), "N/A")</f>
        <v>260000</v>
      </c>
      <c r="O532">
        <f>IFERROR(Table3[[#This Row],[Unit Price]]*Table3[[#This Row],[Return Qty]], "N/A")</f>
        <v>0</v>
      </c>
      <c r="P532">
        <f>IFERROR(IF((Table3[[#This Row],[Revenue before return]]-Table3[[#This Row],[Amount of order  returned]])&lt;0, "N/A", Table3[[#This Row],[Revenue before return]]-Table3[[#This Row],[Amount of order  returned]]), "N/A")</f>
        <v>260000</v>
      </c>
      <c r="Q53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33" spans="1:17" x14ac:dyDescent="0.2">
      <c r="A533" t="s">
        <v>872</v>
      </c>
      <c r="B533" t="s">
        <v>9</v>
      </c>
      <c r="C533" t="s">
        <v>22</v>
      </c>
      <c r="D533" s="6">
        <v>11</v>
      </c>
      <c r="E533" s="5">
        <v>35000</v>
      </c>
      <c r="F533" t="s">
        <v>656</v>
      </c>
      <c r="G533" s="7">
        <v>46086</v>
      </c>
      <c r="H533" s="5">
        <v>5</v>
      </c>
      <c r="I53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33" t="b">
        <f>((ISNUMBER(Table3[[#This Row],[Quantity]]) )* (Table3[[#This Row],[Quantity]]&gt;0))=1</f>
        <v>1</v>
      </c>
      <c r="K533" t="b">
        <f>((Table3[[#This Row],[Quantity]]&gt;=Table3[[#This Row],[Return Qty]])*(ISNUMBER(Table3[[#This Row],[Quantity]])))=1</f>
        <v>1</v>
      </c>
      <c r="L533" t="b">
        <f>ISNUMBER(Table3[[#This Row],[Unit Price]])</f>
        <v>1</v>
      </c>
      <c r="M533" t="b">
        <f>ISNUMBER(Table3[[#This Row],[Order Date]])</f>
        <v>1</v>
      </c>
      <c r="N533">
        <f>IFERROR(IF(Table3[[#This Row],[Quantity]]*Table3[[#This Row],[Unit Price]]&lt;0, "N/A", Table3[[#This Row],[Quantity]]*Table3[[#This Row],[Unit Price]]), "N/A")</f>
        <v>385000</v>
      </c>
      <c r="O533">
        <f>IFERROR(Table3[[#This Row],[Unit Price]]*Table3[[#This Row],[Return Qty]], "N/A")</f>
        <v>175000</v>
      </c>
      <c r="P533">
        <f>IFERROR(IF((Table3[[#This Row],[Revenue before return]]-Table3[[#This Row],[Amount of order  returned]])&lt;0, "N/A", Table3[[#This Row],[Revenue before return]]-Table3[[#This Row],[Amount of order  returned]]), "N/A")</f>
        <v>210000</v>
      </c>
      <c r="Q53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34" spans="1:17" x14ac:dyDescent="0.2">
      <c r="A534" t="s">
        <v>873</v>
      </c>
      <c r="B534" t="s">
        <v>21</v>
      </c>
      <c r="C534" t="s">
        <v>45</v>
      </c>
      <c r="D534" s="6">
        <v>19</v>
      </c>
      <c r="E534" s="5">
        <v>20000</v>
      </c>
      <c r="F534" t="s">
        <v>480</v>
      </c>
      <c r="G534" s="7">
        <v>46101</v>
      </c>
      <c r="H534" s="5">
        <v>0</v>
      </c>
      <c r="I53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34" t="b">
        <f>((ISNUMBER(Table3[[#This Row],[Quantity]]) )* (Table3[[#This Row],[Quantity]]&gt;0))=1</f>
        <v>1</v>
      </c>
      <c r="K534" t="b">
        <f>((Table3[[#This Row],[Quantity]]&gt;=Table3[[#This Row],[Return Qty]])*(ISNUMBER(Table3[[#This Row],[Quantity]])))=1</f>
        <v>1</v>
      </c>
      <c r="L534" t="b">
        <f>ISNUMBER(Table3[[#This Row],[Unit Price]])</f>
        <v>1</v>
      </c>
      <c r="M534" t="b">
        <f>ISNUMBER(Table3[[#This Row],[Order Date]])</f>
        <v>1</v>
      </c>
      <c r="N534">
        <f>IFERROR(IF(Table3[[#This Row],[Quantity]]*Table3[[#This Row],[Unit Price]]&lt;0, "N/A", Table3[[#This Row],[Quantity]]*Table3[[#This Row],[Unit Price]]), "N/A")</f>
        <v>380000</v>
      </c>
      <c r="O534">
        <f>IFERROR(Table3[[#This Row],[Unit Price]]*Table3[[#This Row],[Return Qty]], "N/A")</f>
        <v>0</v>
      </c>
      <c r="P534">
        <f>IFERROR(IF((Table3[[#This Row],[Revenue before return]]-Table3[[#This Row],[Amount of order  returned]])&lt;0, "N/A", Table3[[#This Row],[Revenue before return]]-Table3[[#This Row],[Amount of order  returned]]), "N/A")</f>
        <v>380000</v>
      </c>
      <c r="Q53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35" spans="1:17" x14ac:dyDescent="0.2">
      <c r="A535" t="s">
        <v>874</v>
      </c>
      <c r="B535" t="s">
        <v>14</v>
      </c>
      <c r="C535" t="s">
        <v>22</v>
      </c>
      <c r="D535" s="6">
        <v>24</v>
      </c>
      <c r="E535" s="5">
        <v>35000</v>
      </c>
      <c r="F535" t="s">
        <v>11</v>
      </c>
      <c r="G535" s="7">
        <v>46046</v>
      </c>
      <c r="H535" s="5">
        <v>0</v>
      </c>
      <c r="I53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35" t="b">
        <f>((ISNUMBER(Table3[[#This Row],[Quantity]]) )* (Table3[[#This Row],[Quantity]]&gt;0))=1</f>
        <v>1</v>
      </c>
      <c r="K535" t="b">
        <f>((Table3[[#This Row],[Quantity]]&gt;=Table3[[#This Row],[Return Qty]])*(ISNUMBER(Table3[[#This Row],[Quantity]])))=1</f>
        <v>1</v>
      </c>
      <c r="L535" t="b">
        <f>ISNUMBER(Table3[[#This Row],[Unit Price]])</f>
        <v>1</v>
      </c>
      <c r="M535" t="b">
        <f>ISNUMBER(Table3[[#This Row],[Order Date]])</f>
        <v>1</v>
      </c>
      <c r="N535">
        <f>IFERROR(IF(Table3[[#This Row],[Quantity]]*Table3[[#This Row],[Unit Price]]&lt;0, "N/A", Table3[[#This Row],[Quantity]]*Table3[[#This Row],[Unit Price]]), "N/A")</f>
        <v>840000</v>
      </c>
      <c r="O535">
        <f>IFERROR(Table3[[#This Row],[Unit Price]]*Table3[[#This Row],[Return Qty]], "N/A")</f>
        <v>0</v>
      </c>
      <c r="P535">
        <f>IFERROR(IF((Table3[[#This Row],[Revenue before return]]-Table3[[#This Row],[Amount of order  returned]])&lt;0, "N/A", Table3[[#This Row],[Revenue before return]]-Table3[[#This Row],[Amount of order  returned]]), "N/A")</f>
        <v>840000</v>
      </c>
      <c r="Q53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36" spans="1:17" x14ac:dyDescent="0.2">
      <c r="A536" t="s">
        <v>875</v>
      </c>
      <c r="B536" t="s">
        <v>21</v>
      </c>
      <c r="C536" t="s">
        <v>39</v>
      </c>
      <c r="D536" s="6">
        <v>2</v>
      </c>
      <c r="E536" s="5">
        <v>12000</v>
      </c>
      <c r="F536" t="s">
        <v>222</v>
      </c>
      <c r="G536" s="7">
        <v>46200</v>
      </c>
      <c r="H536" s="5">
        <v>0</v>
      </c>
      <c r="I53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36" t="b">
        <f>((ISNUMBER(Table3[[#This Row],[Quantity]]) )* (Table3[[#This Row],[Quantity]]&gt;0))=1</f>
        <v>1</v>
      </c>
      <c r="K536" t="b">
        <f>((Table3[[#This Row],[Quantity]]&gt;=Table3[[#This Row],[Return Qty]])*(ISNUMBER(Table3[[#This Row],[Quantity]])))=1</f>
        <v>1</v>
      </c>
      <c r="L536" t="b">
        <f>ISNUMBER(Table3[[#This Row],[Unit Price]])</f>
        <v>1</v>
      </c>
      <c r="M536" t="b">
        <f>ISNUMBER(Table3[[#This Row],[Order Date]])</f>
        <v>1</v>
      </c>
      <c r="N536">
        <f>IFERROR(IF(Table3[[#This Row],[Quantity]]*Table3[[#This Row],[Unit Price]]&lt;0, "N/A", Table3[[#This Row],[Quantity]]*Table3[[#This Row],[Unit Price]]), "N/A")</f>
        <v>24000</v>
      </c>
      <c r="O536">
        <f>IFERROR(Table3[[#This Row],[Unit Price]]*Table3[[#This Row],[Return Qty]], "N/A")</f>
        <v>0</v>
      </c>
      <c r="P536">
        <f>IFERROR(IF((Table3[[#This Row],[Revenue before return]]-Table3[[#This Row],[Amount of order  returned]])&lt;0, "N/A", Table3[[#This Row],[Revenue before return]]-Table3[[#This Row],[Amount of order  returned]]), "N/A")</f>
        <v>24000</v>
      </c>
      <c r="Q53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37" spans="1:17" x14ac:dyDescent="0.2">
      <c r="A537" t="s">
        <v>876</v>
      </c>
      <c r="B537" t="s">
        <v>9</v>
      </c>
      <c r="C537" t="s">
        <v>70</v>
      </c>
      <c r="D537" s="6">
        <v>5</v>
      </c>
      <c r="E537" s="5">
        <v>28000</v>
      </c>
      <c r="F537" t="s">
        <v>591</v>
      </c>
      <c r="G537" s="7">
        <v>46044</v>
      </c>
      <c r="H537" s="5">
        <v>0</v>
      </c>
      <c r="I53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37" t="b">
        <f>((ISNUMBER(Table3[[#This Row],[Quantity]]) )* (Table3[[#This Row],[Quantity]]&gt;0))=1</f>
        <v>1</v>
      </c>
      <c r="K537" t="b">
        <f>((Table3[[#This Row],[Quantity]]&gt;=Table3[[#This Row],[Return Qty]])*(ISNUMBER(Table3[[#This Row],[Quantity]])))=1</f>
        <v>1</v>
      </c>
      <c r="L537" t="b">
        <f>ISNUMBER(Table3[[#This Row],[Unit Price]])</f>
        <v>1</v>
      </c>
      <c r="M537" t="b">
        <f>ISNUMBER(Table3[[#This Row],[Order Date]])</f>
        <v>1</v>
      </c>
      <c r="N537">
        <f>IFERROR(IF(Table3[[#This Row],[Quantity]]*Table3[[#This Row],[Unit Price]]&lt;0, "N/A", Table3[[#This Row],[Quantity]]*Table3[[#This Row],[Unit Price]]), "N/A")</f>
        <v>140000</v>
      </c>
      <c r="O537">
        <f>IFERROR(Table3[[#This Row],[Unit Price]]*Table3[[#This Row],[Return Qty]], "N/A")</f>
        <v>0</v>
      </c>
      <c r="P537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53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38" spans="1:17" x14ac:dyDescent="0.2">
      <c r="A538" t="s">
        <v>877</v>
      </c>
      <c r="B538" t="s">
        <v>25</v>
      </c>
      <c r="C538" t="s">
        <v>18</v>
      </c>
      <c r="D538" s="6">
        <v>11</v>
      </c>
      <c r="E538" s="5">
        <v>50000</v>
      </c>
      <c r="F538" t="s">
        <v>181</v>
      </c>
      <c r="G538" s="7">
        <v>46184</v>
      </c>
      <c r="H538" s="5">
        <v>0</v>
      </c>
      <c r="I53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38" t="b">
        <f>((ISNUMBER(Table3[[#This Row],[Quantity]]) )* (Table3[[#This Row],[Quantity]]&gt;0))=1</f>
        <v>1</v>
      </c>
      <c r="K538" t="b">
        <f>((Table3[[#This Row],[Quantity]]&gt;=Table3[[#This Row],[Return Qty]])*(ISNUMBER(Table3[[#This Row],[Quantity]])))=1</f>
        <v>1</v>
      </c>
      <c r="L538" t="b">
        <f>ISNUMBER(Table3[[#This Row],[Unit Price]])</f>
        <v>1</v>
      </c>
      <c r="M538" t="b">
        <f>ISNUMBER(Table3[[#This Row],[Order Date]])</f>
        <v>1</v>
      </c>
      <c r="N538">
        <f>IFERROR(IF(Table3[[#This Row],[Quantity]]*Table3[[#This Row],[Unit Price]]&lt;0, "N/A", Table3[[#This Row],[Quantity]]*Table3[[#This Row],[Unit Price]]), "N/A")</f>
        <v>550000</v>
      </c>
      <c r="O538">
        <f>IFERROR(Table3[[#This Row],[Unit Price]]*Table3[[#This Row],[Return Qty]], "N/A")</f>
        <v>0</v>
      </c>
      <c r="P538">
        <f>IFERROR(IF((Table3[[#This Row],[Revenue before return]]-Table3[[#This Row],[Amount of order  returned]])&lt;0, "N/A", Table3[[#This Row],[Revenue before return]]-Table3[[#This Row],[Amount of order  returned]]), "N/A")</f>
        <v>550000</v>
      </c>
      <c r="Q53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39" spans="1:17" x14ac:dyDescent="0.2">
      <c r="A539" t="s">
        <v>879</v>
      </c>
      <c r="B539" t="s">
        <v>14</v>
      </c>
      <c r="C539" t="s">
        <v>18</v>
      </c>
      <c r="D539" s="6">
        <v>8</v>
      </c>
      <c r="E539" s="5">
        <v>50000</v>
      </c>
      <c r="F539" t="s">
        <v>604</v>
      </c>
      <c r="G539" s="7">
        <v>46156</v>
      </c>
      <c r="H539" s="5">
        <v>0</v>
      </c>
      <c r="I53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39" t="b">
        <f>((ISNUMBER(Table3[[#This Row],[Quantity]]) )* (Table3[[#This Row],[Quantity]]&gt;0))=1</f>
        <v>1</v>
      </c>
      <c r="K539" t="b">
        <f>((Table3[[#This Row],[Quantity]]&gt;=Table3[[#This Row],[Return Qty]])*(ISNUMBER(Table3[[#This Row],[Quantity]])))=1</f>
        <v>1</v>
      </c>
      <c r="L539" t="b">
        <f>ISNUMBER(Table3[[#This Row],[Unit Price]])</f>
        <v>1</v>
      </c>
      <c r="M539" t="b">
        <f>ISNUMBER(Table3[[#This Row],[Order Date]])</f>
        <v>1</v>
      </c>
      <c r="N539">
        <f>IFERROR(IF(Table3[[#This Row],[Quantity]]*Table3[[#This Row],[Unit Price]]&lt;0, "N/A", Table3[[#This Row],[Quantity]]*Table3[[#This Row],[Unit Price]]), "N/A")</f>
        <v>400000</v>
      </c>
      <c r="O539">
        <f>IFERROR(Table3[[#This Row],[Unit Price]]*Table3[[#This Row],[Return Qty]], "N/A")</f>
        <v>0</v>
      </c>
      <c r="P539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53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40" spans="1:17" x14ac:dyDescent="0.2">
      <c r="A540" t="s">
        <v>880</v>
      </c>
      <c r="B540" t="s">
        <v>25</v>
      </c>
      <c r="C540" t="s">
        <v>39</v>
      </c>
      <c r="D540" s="6">
        <v>-8</v>
      </c>
      <c r="E540" s="5">
        <v>12000</v>
      </c>
      <c r="F540" t="s">
        <v>443</v>
      </c>
      <c r="G540" s="7">
        <v>46130</v>
      </c>
      <c r="H540" s="5">
        <v>0</v>
      </c>
      <c r="I54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40" t="b">
        <f>((ISNUMBER(Table3[[#This Row],[Quantity]]) )* (Table3[[#This Row],[Quantity]]&gt;0))=1</f>
        <v>0</v>
      </c>
      <c r="K540" t="b">
        <f>((Table3[[#This Row],[Quantity]]&gt;=Table3[[#This Row],[Return Qty]])*(ISNUMBER(Table3[[#This Row],[Quantity]])))=1</f>
        <v>0</v>
      </c>
      <c r="L540" t="b">
        <f>ISNUMBER(Table3[[#This Row],[Unit Price]])</f>
        <v>1</v>
      </c>
      <c r="M540" t="b">
        <f>ISNUMBER(Table3[[#This Row],[Order Date]])</f>
        <v>1</v>
      </c>
      <c r="N540" t="str">
        <f>IFERROR(IF(Table3[[#This Row],[Quantity]]*Table3[[#This Row],[Unit Price]]&lt;0, "N/A", Table3[[#This Row],[Quantity]]*Table3[[#This Row],[Unit Price]]), "N/A")</f>
        <v>N/A</v>
      </c>
      <c r="O540">
        <f>IFERROR(Table3[[#This Row],[Unit Price]]*Table3[[#This Row],[Return Qty]], "N/A")</f>
        <v>0</v>
      </c>
      <c r="P540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54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541" spans="1:17" x14ac:dyDescent="0.2">
      <c r="A541" t="s">
        <v>881</v>
      </c>
      <c r="B541" t="s">
        <v>25</v>
      </c>
      <c r="C541" t="s">
        <v>10</v>
      </c>
      <c r="D541" s="6">
        <v>3</v>
      </c>
      <c r="E541" s="5">
        <v>15000</v>
      </c>
      <c r="F541" t="s">
        <v>272</v>
      </c>
      <c r="G541" s="7">
        <v>46088</v>
      </c>
      <c r="H541" s="5">
        <v>0</v>
      </c>
      <c r="I54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41" t="b">
        <f>((ISNUMBER(Table3[[#This Row],[Quantity]]) )* (Table3[[#This Row],[Quantity]]&gt;0))=1</f>
        <v>1</v>
      </c>
      <c r="K541" t="b">
        <f>((Table3[[#This Row],[Quantity]]&gt;=Table3[[#This Row],[Return Qty]])*(ISNUMBER(Table3[[#This Row],[Quantity]])))=1</f>
        <v>1</v>
      </c>
      <c r="L541" t="b">
        <f>ISNUMBER(Table3[[#This Row],[Unit Price]])</f>
        <v>1</v>
      </c>
      <c r="M541" t="b">
        <f>ISNUMBER(Table3[[#This Row],[Order Date]])</f>
        <v>1</v>
      </c>
      <c r="N541">
        <f>IFERROR(IF(Table3[[#This Row],[Quantity]]*Table3[[#This Row],[Unit Price]]&lt;0, "N/A", Table3[[#This Row],[Quantity]]*Table3[[#This Row],[Unit Price]]), "N/A")</f>
        <v>45000</v>
      </c>
      <c r="O541">
        <f>IFERROR(Table3[[#This Row],[Unit Price]]*Table3[[#This Row],[Return Qty]], "N/A")</f>
        <v>0</v>
      </c>
      <c r="P541">
        <f>IFERROR(IF((Table3[[#This Row],[Revenue before return]]-Table3[[#This Row],[Amount of order  returned]])&lt;0, "N/A", Table3[[#This Row],[Revenue before return]]-Table3[[#This Row],[Amount of order  returned]]), "N/A")</f>
        <v>45000</v>
      </c>
      <c r="Q54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42" spans="1:17" x14ac:dyDescent="0.2">
      <c r="A542" t="s">
        <v>882</v>
      </c>
      <c r="B542" t="s">
        <v>21</v>
      </c>
      <c r="C542" t="s">
        <v>26</v>
      </c>
      <c r="D542" s="6">
        <v>20</v>
      </c>
      <c r="E542" s="5">
        <v>20000</v>
      </c>
      <c r="F542" t="s">
        <v>137</v>
      </c>
      <c r="G542" s="7">
        <v>46045</v>
      </c>
      <c r="H542" s="5">
        <v>0</v>
      </c>
      <c r="I54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42" t="b">
        <f>((ISNUMBER(Table3[[#This Row],[Quantity]]) )* (Table3[[#This Row],[Quantity]]&gt;0))=1</f>
        <v>1</v>
      </c>
      <c r="K542" t="b">
        <f>((Table3[[#This Row],[Quantity]]&gt;=Table3[[#This Row],[Return Qty]])*(ISNUMBER(Table3[[#This Row],[Quantity]])))=1</f>
        <v>1</v>
      </c>
      <c r="L542" t="b">
        <f>ISNUMBER(Table3[[#This Row],[Unit Price]])</f>
        <v>1</v>
      </c>
      <c r="M542" t="b">
        <f>ISNUMBER(Table3[[#This Row],[Order Date]])</f>
        <v>1</v>
      </c>
      <c r="N542">
        <f>IFERROR(IF(Table3[[#This Row],[Quantity]]*Table3[[#This Row],[Unit Price]]&lt;0, "N/A", Table3[[#This Row],[Quantity]]*Table3[[#This Row],[Unit Price]]), "N/A")</f>
        <v>400000</v>
      </c>
      <c r="O542">
        <f>IFERROR(Table3[[#This Row],[Unit Price]]*Table3[[#This Row],[Return Qty]], "N/A")</f>
        <v>0</v>
      </c>
      <c r="P542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54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43" spans="1:17" x14ac:dyDescent="0.2">
      <c r="A543" t="s">
        <v>883</v>
      </c>
      <c r="B543" t="s">
        <v>14</v>
      </c>
      <c r="C543" t="s">
        <v>18</v>
      </c>
      <c r="D543" s="6">
        <v>3</v>
      </c>
      <c r="E543" s="5">
        <v>50000</v>
      </c>
      <c r="F543" t="s">
        <v>649</v>
      </c>
      <c r="G543" s="7">
        <v>46174</v>
      </c>
      <c r="H543" s="5">
        <v>0</v>
      </c>
      <c r="I54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43" t="b">
        <f>((ISNUMBER(Table3[[#This Row],[Quantity]]) )* (Table3[[#This Row],[Quantity]]&gt;0))=1</f>
        <v>1</v>
      </c>
      <c r="K543" t="b">
        <f>((Table3[[#This Row],[Quantity]]&gt;=Table3[[#This Row],[Return Qty]])*(ISNUMBER(Table3[[#This Row],[Quantity]])))=1</f>
        <v>1</v>
      </c>
      <c r="L543" t="b">
        <f>ISNUMBER(Table3[[#This Row],[Unit Price]])</f>
        <v>1</v>
      </c>
      <c r="M543" t="b">
        <f>ISNUMBER(Table3[[#This Row],[Order Date]])</f>
        <v>1</v>
      </c>
      <c r="N543">
        <f>IFERROR(IF(Table3[[#This Row],[Quantity]]*Table3[[#This Row],[Unit Price]]&lt;0, "N/A", Table3[[#This Row],[Quantity]]*Table3[[#This Row],[Unit Price]]), "N/A")</f>
        <v>150000</v>
      </c>
      <c r="O543">
        <f>IFERROR(Table3[[#This Row],[Unit Price]]*Table3[[#This Row],[Return Qty]], "N/A")</f>
        <v>0</v>
      </c>
      <c r="P543">
        <f>IFERROR(IF((Table3[[#This Row],[Revenue before return]]-Table3[[#This Row],[Amount of order  returned]])&lt;0, "N/A", Table3[[#This Row],[Revenue before return]]-Table3[[#This Row],[Amount of order  returned]]), "N/A")</f>
        <v>150000</v>
      </c>
      <c r="Q54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44" spans="1:17" x14ac:dyDescent="0.2">
      <c r="A544" t="s">
        <v>884</v>
      </c>
      <c r="B544" t="s">
        <v>14</v>
      </c>
      <c r="C544" t="s">
        <v>18</v>
      </c>
      <c r="D544" s="6">
        <v>24</v>
      </c>
      <c r="E544" s="5">
        <v>50000</v>
      </c>
      <c r="F544" t="s">
        <v>151</v>
      </c>
      <c r="G544" s="7">
        <v>46149</v>
      </c>
      <c r="H544" s="5">
        <v>0</v>
      </c>
      <c r="I54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44" t="b">
        <f>((ISNUMBER(Table3[[#This Row],[Quantity]]) )* (Table3[[#This Row],[Quantity]]&gt;0))=1</f>
        <v>1</v>
      </c>
      <c r="K544" t="b">
        <f>((Table3[[#This Row],[Quantity]]&gt;=Table3[[#This Row],[Return Qty]])*(ISNUMBER(Table3[[#This Row],[Quantity]])))=1</f>
        <v>1</v>
      </c>
      <c r="L544" t="b">
        <f>ISNUMBER(Table3[[#This Row],[Unit Price]])</f>
        <v>1</v>
      </c>
      <c r="M544" t="b">
        <f>ISNUMBER(Table3[[#This Row],[Order Date]])</f>
        <v>1</v>
      </c>
      <c r="N544">
        <f>IFERROR(IF(Table3[[#This Row],[Quantity]]*Table3[[#This Row],[Unit Price]]&lt;0, "N/A", Table3[[#This Row],[Quantity]]*Table3[[#This Row],[Unit Price]]), "N/A")</f>
        <v>1200000</v>
      </c>
      <c r="O544">
        <f>IFERROR(Table3[[#This Row],[Unit Price]]*Table3[[#This Row],[Return Qty]], "N/A")</f>
        <v>0</v>
      </c>
      <c r="P544">
        <f>IFERROR(IF((Table3[[#This Row],[Revenue before return]]-Table3[[#This Row],[Amount of order  returned]])&lt;0, "N/A", Table3[[#This Row],[Revenue before return]]-Table3[[#This Row],[Amount of order  returned]]), "N/A")</f>
        <v>1200000</v>
      </c>
      <c r="Q54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45" spans="1:17" x14ac:dyDescent="0.2">
      <c r="A545" t="s">
        <v>885</v>
      </c>
      <c r="B545" t="s">
        <v>25</v>
      </c>
      <c r="C545" t="s">
        <v>32</v>
      </c>
      <c r="D545" s="6">
        <v>18</v>
      </c>
      <c r="E545" s="5">
        <v>8000</v>
      </c>
      <c r="F545" t="s">
        <v>732</v>
      </c>
      <c r="G545" s="7">
        <v>46148</v>
      </c>
      <c r="H545" s="5">
        <v>1</v>
      </c>
      <c r="I54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45" t="b">
        <f>((ISNUMBER(Table3[[#This Row],[Quantity]]) )* (Table3[[#This Row],[Quantity]]&gt;0))=1</f>
        <v>1</v>
      </c>
      <c r="K545" t="b">
        <f>((Table3[[#This Row],[Quantity]]&gt;=Table3[[#This Row],[Return Qty]])*(ISNUMBER(Table3[[#This Row],[Quantity]])))=1</f>
        <v>1</v>
      </c>
      <c r="L545" t="b">
        <f>ISNUMBER(Table3[[#This Row],[Unit Price]])</f>
        <v>1</v>
      </c>
      <c r="M545" t="b">
        <f>ISNUMBER(Table3[[#This Row],[Order Date]])</f>
        <v>1</v>
      </c>
      <c r="N545">
        <f>IFERROR(IF(Table3[[#This Row],[Quantity]]*Table3[[#This Row],[Unit Price]]&lt;0, "N/A", Table3[[#This Row],[Quantity]]*Table3[[#This Row],[Unit Price]]), "N/A")</f>
        <v>144000</v>
      </c>
      <c r="O545">
        <f>IFERROR(Table3[[#This Row],[Unit Price]]*Table3[[#This Row],[Return Qty]], "N/A")</f>
        <v>8000</v>
      </c>
      <c r="P545">
        <f>IFERROR(IF((Table3[[#This Row],[Revenue before return]]-Table3[[#This Row],[Amount of order  returned]])&lt;0, "N/A", Table3[[#This Row],[Revenue before return]]-Table3[[#This Row],[Amount of order  returned]]), "N/A")</f>
        <v>136000</v>
      </c>
      <c r="Q54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46" spans="1:17" x14ac:dyDescent="0.2">
      <c r="A546" t="s">
        <v>886</v>
      </c>
      <c r="B546" t="s">
        <v>9</v>
      </c>
      <c r="C546" t="s">
        <v>26</v>
      </c>
      <c r="D546" s="6">
        <v>5</v>
      </c>
      <c r="E546" s="5">
        <v>20000</v>
      </c>
      <c r="F546" t="s">
        <v>364</v>
      </c>
      <c r="G546" s="7">
        <v>46054</v>
      </c>
      <c r="H546" s="5">
        <v>0</v>
      </c>
      <c r="I54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46" t="b">
        <f>((ISNUMBER(Table3[[#This Row],[Quantity]]) )* (Table3[[#This Row],[Quantity]]&gt;0))=1</f>
        <v>1</v>
      </c>
      <c r="K546" t="b">
        <f>((Table3[[#This Row],[Quantity]]&gt;=Table3[[#This Row],[Return Qty]])*(ISNUMBER(Table3[[#This Row],[Quantity]])))=1</f>
        <v>1</v>
      </c>
      <c r="L546" t="b">
        <f>ISNUMBER(Table3[[#This Row],[Unit Price]])</f>
        <v>1</v>
      </c>
      <c r="M546" t="b">
        <f>ISNUMBER(Table3[[#This Row],[Order Date]])</f>
        <v>1</v>
      </c>
      <c r="N546">
        <f>IFERROR(IF(Table3[[#This Row],[Quantity]]*Table3[[#This Row],[Unit Price]]&lt;0, "N/A", Table3[[#This Row],[Quantity]]*Table3[[#This Row],[Unit Price]]), "N/A")</f>
        <v>100000</v>
      </c>
      <c r="O546">
        <f>IFERROR(Table3[[#This Row],[Unit Price]]*Table3[[#This Row],[Return Qty]], "N/A")</f>
        <v>0</v>
      </c>
      <c r="P546">
        <f>IFERROR(IF((Table3[[#This Row],[Revenue before return]]-Table3[[#This Row],[Amount of order  returned]])&lt;0, "N/A", Table3[[#This Row],[Revenue before return]]-Table3[[#This Row],[Amount of order  returned]]), "N/A")</f>
        <v>100000</v>
      </c>
      <c r="Q54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47" spans="1:17" x14ac:dyDescent="0.2">
      <c r="A547" t="s">
        <v>887</v>
      </c>
      <c r="B547" t="s">
        <v>14</v>
      </c>
      <c r="C547" t="s">
        <v>26</v>
      </c>
      <c r="D547" s="6">
        <v>22</v>
      </c>
      <c r="E547" s="5">
        <v>20000</v>
      </c>
      <c r="F547" t="s">
        <v>698</v>
      </c>
      <c r="G547" s="7">
        <v>46195</v>
      </c>
      <c r="H547" s="5">
        <v>0</v>
      </c>
      <c r="I54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47" t="b">
        <f>((ISNUMBER(Table3[[#This Row],[Quantity]]) )* (Table3[[#This Row],[Quantity]]&gt;0))=1</f>
        <v>1</v>
      </c>
      <c r="K547" t="b">
        <f>((Table3[[#This Row],[Quantity]]&gt;=Table3[[#This Row],[Return Qty]])*(ISNUMBER(Table3[[#This Row],[Quantity]])))=1</f>
        <v>1</v>
      </c>
      <c r="L547" t="b">
        <f>ISNUMBER(Table3[[#This Row],[Unit Price]])</f>
        <v>1</v>
      </c>
      <c r="M547" t="b">
        <f>ISNUMBER(Table3[[#This Row],[Order Date]])</f>
        <v>1</v>
      </c>
      <c r="N547">
        <f>IFERROR(IF(Table3[[#This Row],[Quantity]]*Table3[[#This Row],[Unit Price]]&lt;0, "N/A", Table3[[#This Row],[Quantity]]*Table3[[#This Row],[Unit Price]]), "N/A")</f>
        <v>440000</v>
      </c>
      <c r="O547">
        <f>IFERROR(Table3[[#This Row],[Unit Price]]*Table3[[#This Row],[Return Qty]], "N/A")</f>
        <v>0</v>
      </c>
      <c r="P547">
        <f>IFERROR(IF((Table3[[#This Row],[Revenue before return]]-Table3[[#This Row],[Amount of order  returned]])&lt;0, "N/A", Table3[[#This Row],[Revenue before return]]-Table3[[#This Row],[Amount of order  returned]]), "N/A")</f>
        <v>440000</v>
      </c>
      <c r="Q54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48" spans="1:17" x14ac:dyDescent="0.2">
      <c r="A548" t="s">
        <v>888</v>
      </c>
      <c r="B548" t="s">
        <v>21</v>
      </c>
      <c r="C548" t="s">
        <v>32</v>
      </c>
      <c r="D548" s="6">
        <v>15</v>
      </c>
      <c r="E548" s="5">
        <v>8000</v>
      </c>
      <c r="F548" t="s">
        <v>159</v>
      </c>
      <c r="G548" s="7">
        <v>46059</v>
      </c>
      <c r="H548" s="5">
        <v>0</v>
      </c>
      <c r="I54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48" t="b">
        <f>((ISNUMBER(Table3[[#This Row],[Quantity]]) )* (Table3[[#This Row],[Quantity]]&gt;0))=1</f>
        <v>1</v>
      </c>
      <c r="K548" t="b">
        <f>((Table3[[#This Row],[Quantity]]&gt;=Table3[[#This Row],[Return Qty]])*(ISNUMBER(Table3[[#This Row],[Quantity]])))=1</f>
        <v>1</v>
      </c>
      <c r="L548" t="b">
        <f>ISNUMBER(Table3[[#This Row],[Unit Price]])</f>
        <v>1</v>
      </c>
      <c r="M548" t="b">
        <f>ISNUMBER(Table3[[#This Row],[Order Date]])</f>
        <v>1</v>
      </c>
      <c r="N548">
        <f>IFERROR(IF(Table3[[#This Row],[Quantity]]*Table3[[#This Row],[Unit Price]]&lt;0, "N/A", Table3[[#This Row],[Quantity]]*Table3[[#This Row],[Unit Price]]), "N/A")</f>
        <v>120000</v>
      </c>
      <c r="O548">
        <f>IFERROR(Table3[[#This Row],[Unit Price]]*Table3[[#This Row],[Return Qty]], "N/A")</f>
        <v>0</v>
      </c>
      <c r="P548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54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49" spans="1:17" x14ac:dyDescent="0.2">
      <c r="A549" t="s">
        <v>889</v>
      </c>
      <c r="B549" t="s">
        <v>9</v>
      </c>
      <c r="C549" t="s">
        <v>18</v>
      </c>
      <c r="D549" s="6">
        <v>20</v>
      </c>
      <c r="E549" s="5">
        <v>50000</v>
      </c>
      <c r="F549" t="s">
        <v>838</v>
      </c>
      <c r="G549" s="7">
        <v>46082</v>
      </c>
      <c r="H549" s="5">
        <v>0</v>
      </c>
      <c r="I54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49" t="b">
        <f>((ISNUMBER(Table3[[#This Row],[Quantity]]) )* (Table3[[#This Row],[Quantity]]&gt;0))=1</f>
        <v>1</v>
      </c>
      <c r="K549" t="b">
        <f>((Table3[[#This Row],[Quantity]]&gt;=Table3[[#This Row],[Return Qty]])*(ISNUMBER(Table3[[#This Row],[Quantity]])))=1</f>
        <v>1</v>
      </c>
      <c r="L549" t="b">
        <f>ISNUMBER(Table3[[#This Row],[Unit Price]])</f>
        <v>1</v>
      </c>
      <c r="M549" t="b">
        <f>ISNUMBER(Table3[[#This Row],[Order Date]])</f>
        <v>1</v>
      </c>
      <c r="N549">
        <f>IFERROR(IF(Table3[[#This Row],[Quantity]]*Table3[[#This Row],[Unit Price]]&lt;0, "N/A", Table3[[#This Row],[Quantity]]*Table3[[#This Row],[Unit Price]]), "N/A")</f>
        <v>1000000</v>
      </c>
      <c r="O549">
        <f>IFERROR(Table3[[#This Row],[Unit Price]]*Table3[[#This Row],[Return Qty]], "N/A")</f>
        <v>0</v>
      </c>
      <c r="P549">
        <f>IFERROR(IF((Table3[[#This Row],[Revenue before return]]-Table3[[#This Row],[Amount of order  returned]])&lt;0, "N/A", Table3[[#This Row],[Revenue before return]]-Table3[[#This Row],[Amount of order  returned]]), "N/A")</f>
        <v>1000000</v>
      </c>
      <c r="Q54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50" spans="1:17" x14ac:dyDescent="0.2">
      <c r="A550" t="s">
        <v>890</v>
      </c>
      <c r="B550" t="s">
        <v>21</v>
      </c>
      <c r="C550" t="s">
        <v>39</v>
      </c>
      <c r="D550" s="6">
        <v>24</v>
      </c>
      <c r="E550" s="5">
        <v>12000</v>
      </c>
      <c r="F550" t="s">
        <v>891</v>
      </c>
      <c r="G550" s="7" t="s">
        <v>11</v>
      </c>
      <c r="H550" s="5">
        <v>0</v>
      </c>
      <c r="I55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50" t="b">
        <f>((ISNUMBER(Table3[[#This Row],[Quantity]]) )* (Table3[[#This Row],[Quantity]]&gt;0))=1</f>
        <v>1</v>
      </c>
      <c r="K550" t="b">
        <f>((Table3[[#This Row],[Quantity]]&gt;=Table3[[#This Row],[Return Qty]])*(ISNUMBER(Table3[[#This Row],[Quantity]])))=1</f>
        <v>1</v>
      </c>
      <c r="L550" t="b">
        <f>ISNUMBER(Table3[[#This Row],[Unit Price]])</f>
        <v>1</v>
      </c>
      <c r="M550" t="b">
        <f>ISNUMBER(Table3[[#This Row],[Order Date]])</f>
        <v>0</v>
      </c>
      <c r="N550">
        <f>IFERROR(IF(Table3[[#This Row],[Quantity]]*Table3[[#This Row],[Unit Price]]&lt;0, "N/A", Table3[[#This Row],[Quantity]]*Table3[[#This Row],[Unit Price]]), "N/A")</f>
        <v>288000</v>
      </c>
      <c r="O550">
        <f>IFERROR(Table3[[#This Row],[Unit Price]]*Table3[[#This Row],[Return Qty]], "N/A")</f>
        <v>0</v>
      </c>
      <c r="P550">
        <f>IFERROR(IF((Table3[[#This Row],[Revenue before return]]-Table3[[#This Row],[Amount of order  returned]])&lt;0, "N/A", Table3[[#This Row],[Revenue before return]]-Table3[[#This Row],[Amount of order  returned]]), "N/A")</f>
        <v>288000</v>
      </c>
      <c r="Q55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551" spans="1:17" x14ac:dyDescent="0.2">
      <c r="A551" t="s">
        <v>892</v>
      </c>
      <c r="B551" t="s">
        <v>21</v>
      </c>
      <c r="C551" t="s">
        <v>26</v>
      </c>
      <c r="D551" s="6">
        <v>13</v>
      </c>
      <c r="E551" s="5">
        <v>20000</v>
      </c>
      <c r="F551" t="s">
        <v>893</v>
      </c>
      <c r="G551" s="7">
        <v>46132</v>
      </c>
      <c r="H551" s="5">
        <v>0</v>
      </c>
      <c r="I55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51" t="b">
        <f>((ISNUMBER(Table3[[#This Row],[Quantity]]) )* (Table3[[#This Row],[Quantity]]&gt;0))=1</f>
        <v>1</v>
      </c>
      <c r="K551" t="b">
        <f>((Table3[[#This Row],[Quantity]]&gt;=Table3[[#This Row],[Return Qty]])*(ISNUMBER(Table3[[#This Row],[Quantity]])))=1</f>
        <v>1</v>
      </c>
      <c r="L551" t="b">
        <f>ISNUMBER(Table3[[#This Row],[Unit Price]])</f>
        <v>1</v>
      </c>
      <c r="M551" t="b">
        <f>ISNUMBER(Table3[[#This Row],[Order Date]])</f>
        <v>1</v>
      </c>
      <c r="N551">
        <f>IFERROR(IF(Table3[[#This Row],[Quantity]]*Table3[[#This Row],[Unit Price]]&lt;0, "N/A", Table3[[#This Row],[Quantity]]*Table3[[#This Row],[Unit Price]]), "N/A")</f>
        <v>260000</v>
      </c>
      <c r="O551">
        <f>IFERROR(Table3[[#This Row],[Unit Price]]*Table3[[#This Row],[Return Qty]], "N/A")</f>
        <v>0</v>
      </c>
      <c r="P551">
        <f>IFERROR(IF((Table3[[#This Row],[Revenue before return]]-Table3[[#This Row],[Amount of order  returned]])&lt;0, "N/A", Table3[[#This Row],[Revenue before return]]-Table3[[#This Row],[Amount of order  returned]]), "N/A")</f>
        <v>260000</v>
      </c>
      <c r="Q55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52" spans="1:17" x14ac:dyDescent="0.2">
      <c r="A552" t="s">
        <v>894</v>
      </c>
      <c r="B552" t="s">
        <v>25</v>
      </c>
      <c r="C552" t="s">
        <v>26</v>
      </c>
      <c r="D552" s="6">
        <v>1</v>
      </c>
      <c r="E552" s="5">
        <v>20000</v>
      </c>
      <c r="F552" t="s">
        <v>895</v>
      </c>
      <c r="G552" s="7">
        <v>46024</v>
      </c>
      <c r="H552" s="5">
        <v>0</v>
      </c>
      <c r="I55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52" t="b">
        <f>((ISNUMBER(Table3[[#This Row],[Quantity]]) )* (Table3[[#This Row],[Quantity]]&gt;0))=1</f>
        <v>1</v>
      </c>
      <c r="K552" t="b">
        <f>((Table3[[#This Row],[Quantity]]&gt;=Table3[[#This Row],[Return Qty]])*(ISNUMBER(Table3[[#This Row],[Quantity]])))=1</f>
        <v>1</v>
      </c>
      <c r="L552" t="b">
        <f>ISNUMBER(Table3[[#This Row],[Unit Price]])</f>
        <v>1</v>
      </c>
      <c r="M552" t="b">
        <f>ISNUMBER(Table3[[#This Row],[Order Date]])</f>
        <v>1</v>
      </c>
      <c r="N552">
        <f>IFERROR(IF(Table3[[#This Row],[Quantity]]*Table3[[#This Row],[Unit Price]]&lt;0, "N/A", Table3[[#This Row],[Quantity]]*Table3[[#This Row],[Unit Price]]), "N/A")</f>
        <v>20000</v>
      </c>
      <c r="O552">
        <f>IFERROR(Table3[[#This Row],[Unit Price]]*Table3[[#This Row],[Return Qty]], "N/A")</f>
        <v>0</v>
      </c>
      <c r="P552">
        <f>IFERROR(IF((Table3[[#This Row],[Revenue before return]]-Table3[[#This Row],[Amount of order  returned]])&lt;0, "N/A", Table3[[#This Row],[Revenue before return]]-Table3[[#This Row],[Amount of order  returned]]), "N/A")</f>
        <v>20000</v>
      </c>
      <c r="Q55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53" spans="1:17" x14ac:dyDescent="0.2">
      <c r="A553" t="s">
        <v>896</v>
      </c>
      <c r="B553" t="s">
        <v>21</v>
      </c>
      <c r="C553" t="s">
        <v>18</v>
      </c>
      <c r="D553" s="6">
        <v>-8</v>
      </c>
      <c r="E553" s="5">
        <v>50000</v>
      </c>
      <c r="F553" t="s">
        <v>514</v>
      </c>
      <c r="G553" s="7">
        <v>46118</v>
      </c>
      <c r="H553" s="5">
        <v>0</v>
      </c>
      <c r="I55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53" t="b">
        <f>((ISNUMBER(Table3[[#This Row],[Quantity]]) )* (Table3[[#This Row],[Quantity]]&gt;0))=1</f>
        <v>0</v>
      </c>
      <c r="K553" t="b">
        <f>((Table3[[#This Row],[Quantity]]&gt;=Table3[[#This Row],[Return Qty]])*(ISNUMBER(Table3[[#This Row],[Quantity]])))=1</f>
        <v>0</v>
      </c>
      <c r="L553" t="b">
        <f>ISNUMBER(Table3[[#This Row],[Unit Price]])</f>
        <v>1</v>
      </c>
      <c r="M553" t="b">
        <f>ISNUMBER(Table3[[#This Row],[Order Date]])</f>
        <v>1</v>
      </c>
      <c r="N553" t="str">
        <f>IFERROR(IF(Table3[[#This Row],[Quantity]]*Table3[[#This Row],[Unit Price]]&lt;0, "N/A", Table3[[#This Row],[Quantity]]*Table3[[#This Row],[Unit Price]]), "N/A")</f>
        <v>N/A</v>
      </c>
      <c r="O553">
        <f>IFERROR(Table3[[#This Row],[Unit Price]]*Table3[[#This Row],[Return Qty]], "N/A")</f>
        <v>0</v>
      </c>
      <c r="P553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55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554" spans="1:17" x14ac:dyDescent="0.2">
      <c r="A554" t="s">
        <v>897</v>
      </c>
      <c r="B554" t="s">
        <v>21</v>
      </c>
      <c r="C554" t="s">
        <v>26</v>
      </c>
      <c r="D554" s="6">
        <v>18</v>
      </c>
      <c r="E554" s="5">
        <v>20000</v>
      </c>
      <c r="F554" t="s">
        <v>898</v>
      </c>
      <c r="G554" s="7">
        <v>46192</v>
      </c>
      <c r="H554" s="5">
        <v>0</v>
      </c>
      <c r="I55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54" t="b">
        <f>((ISNUMBER(Table3[[#This Row],[Quantity]]) )* (Table3[[#This Row],[Quantity]]&gt;0))=1</f>
        <v>1</v>
      </c>
      <c r="K554" t="b">
        <f>((Table3[[#This Row],[Quantity]]&gt;=Table3[[#This Row],[Return Qty]])*(ISNUMBER(Table3[[#This Row],[Quantity]])))=1</f>
        <v>1</v>
      </c>
      <c r="L554" t="b">
        <f>ISNUMBER(Table3[[#This Row],[Unit Price]])</f>
        <v>1</v>
      </c>
      <c r="M554" t="b">
        <f>ISNUMBER(Table3[[#This Row],[Order Date]])</f>
        <v>1</v>
      </c>
      <c r="N554">
        <f>IFERROR(IF(Table3[[#This Row],[Quantity]]*Table3[[#This Row],[Unit Price]]&lt;0, "N/A", Table3[[#This Row],[Quantity]]*Table3[[#This Row],[Unit Price]]), "N/A")</f>
        <v>360000</v>
      </c>
      <c r="O554">
        <f>IFERROR(Table3[[#This Row],[Unit Price]]*Table3[[#This Row],[Return Qty]], "N/A")</f>
        <v>0</v>
      </c>
      <c r="P554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55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55" spans="1:17" x14ac:dyDescent="0.2">
      <c r="A555" t="s">
        <v>899</v>
      </c>
      <c r="B555" t="s">
        <v>14</v>
      </c>
      <c r="C555" t="s">
        <v>45</v>
      </c>
      <c r="D555" s="6">
        <v>20</v>
      </c>
      <c r="E555" s="5">
        <v>20000</v>
      </c>
      <c r="F555" t="s">
        <v>900</v>
      </c>
      <c r="G555" s="7">
        <v>46042</v>
      </c>
      <c r="H555" s="5">
        <v>0</v>
      </c>
      <c r="I55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55" t="b">
        <f>((ISNUMBER(Table3[[#This Row],[Quantity]]) )* (Table3[[#This Row],[Quantity]]&gt;0))=1</f>
        <v>1</v>
      </c>
      <c r="K555" t="b">
        <f>((Table3[[#This Row],[Quantity]]&gt;=Table3[[#This Row],[Return Qty]])*(ISNUMBER(Table3[[#This Row],[Quantity]])))=1</f>
        <v>1</v>
      </c>
      <c r="L555" t="b">
        <f>ISNUMBER(Table3[[#This Row],[Unit Price]])</f>
        <v>1</v>
      </c>
      <c r="M555" t="b">
        <f>ISNUMBER(Table3[[#This Row],[Order Date]])</f>
        <v>1</v>
      </c>
      <c r="N555">
        <f>IFERROR(IF(Table3[[#This Row],[Quantity]]*Table3[[#This Row],[Unit Price]]&lt;0, "N/A", Table3[[#This Row],[Quantity]]*Table3[[#This Row],[Unit Price]]), "N/A")</f>
        <v>400000</v>
      </c>
      <c r="O555">
        <f>IFERROR(Table3[[#This Row],[Unit Price]]*Table3[[#This Row],[Return Qty]], "N/A")</f>
        <v>0</v>
      </c>
      <c r="P555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55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56" spans="1:17" x14ac:dyDescent="0.2">
      <c r="A556" t="s">
        <v>901</v>
      </c>
      <c r="B556" t="s">
        <v>9</v>
      </c>
      <c r="C556" t="s">
        <v>10</v>
      </c>
      <c r="D556" s="6">
        <v>22</v>
      </c>
      <c r="E556" s="5">
        <v>15000</v>
      </c>
      <c r="F556" t="s">
        <v>236</v>
      </c>
      <c r="G556" s="7">
        <v>46160</v>
      </c>
      <c r="H556" s="5">
        <v>1</v>
      </c>
      <c r="I55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56" t="b">
        <f>((ISNUMBER(Table3[[#This Row],[Quantity]]) )* (Table3[[#This Row],[Quantity]]&gt;0))=1</f>
        <v>1</v>
      </c>
      <c r="K556" t="b">
        <f>((Table3[[#This Row],[Quantity]]&gt;=Table3[[#This Row],[Return Qty]])*(ISNUMBER(Table3[[#This Row],[Quantity]])))=1</f>
        <v>1</v>
      </c>
      <c r="L556" t="b">
        <f>ISNUMBER(Table3[[#This Row],[Unit Price]])</f>
        <v>1</v>
      </c>
      <c r="M556" t="b">
        <f>ISNUMBER(Table3[[#This Row],[Order Date]])</f>
        <v>1</v>
      </c>
      <c r="N556">
        <f>IFERROR(IF(Table3[[#This Row],[Quantity]]*Table3[[#This Row],[Unit Price]]&lt;0, "N/A", Table3[[#This Row],[Quantity]]*Table3[[#This Row],[Unit Price]]), "N/A")</f>
        <v>330000</v>
      </c>
      <c r="O556">
        <f>IFERROR(Table3[[#This Row],[Unit Price]]*Table3[[#This Row],[Return Qty]], "N/A")</f>
        <v>15000</v>
      </c>
      <c r="P556">
        <f>IFERROR(IF((Table3[[#This Row],[Revenue before return]]-Table3[[#This Row],[Amount of order  returned]])&lt;0, "N/A", Table3[[#This Row],[Revenue before return]]-Table3[[#This Row],[Amount of order  returned]]), "N/A")</f>
        <v>315000</v>
      </c>
      <c r="Q55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57" spans="1:17" x14ac:dyDescent="0.2">
      <c r="A557" t="s">
        <v>902</v>
      </c>
      <c r="B557" t="s">
        <v>14</v>
      </c>
      <c r="C557" t="s">
        <v>70</v>
      </c>
      <c r="D557" s="6">
        <v>1</v>
      </c>
      <c r="E557" s="5">
        <v>28000</v>
      </c>
      <c r="F557" t="s">
        <v>419</v>
      </c>
      <c r="G557" s="7">
        <v>46130</v>
      </c>
      <c r="H557" s="5">
        <v>0</v>
      </c>
      <c r="I55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57" t="b">
        <f>((ISNUMBER(Table3[[#This Row],[Quantity]]) )* (Table3[[#This Row],[Quantity]]&gt;0))=1</f>
        <v>1</v>
      </c>
      <c r="K557" t="b">
        <f>((Table3[[#This Row],[Quantity]]&gt;=Table3[[#This Row],[Return Qty]])*(ISNUMBER(Table3[[#This Row],[Quantity]])))=1</f>
        <v>1</v>
      </c>
      <c r="L557" t="b">
        <f>ISNUMBER(Table3[[#This Row],[Unit Price]])</f>
        <v>1</v>
      </c>
      <c r="M557" t="b">
        <f>ISNUMBER(Table3[[#This Row],[Order Date]])</f>
        <v>1</v>
      </c>
      <c r="N557">
        <f>IFERROR(IF(Table3[[#This Row],[Quantity]]*Table3[[#This Row],[Unit Price]]&lt;0, "N/A", Table3[[#This Row],[Quantity]]*Table3[[#This Row],[Unit Price]]), "N/A")</f>
        <v>28000</v>
      </c>
      <c r="O557">
        <f>IFERROR(Table3[[#This Row],[Unit Price]]*Table3[[#This Row],[Return Qty]], "N/A")</f>
        <v>0</v>
      </c>
      <c r="P557">
        <f>IFERROR(IF((Table3[[#This Row],[Revenue before return]]-Table3[[#This Row],[Amount of order  returned]])&lt;0, "N/A", Table3[[#This Row],[Revenue before return]]-Table3[[#This Row],[Amount of order  returned]]), "N/A")</f>
        <v>28000</v>
      </c>
      <c r="Q55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58" spans="1:17" x14ac:dyDescent="0.2">
      <c r="A558" t="s">
        <v>903</v>
      </c>
      <c r="B558" t="s">
        <v>14</v>
      </c>
      <c r="C558" t="s">
        <v>10</v>
      </c>
      <c r="D558" s="6">
        <v>9</v>
      </c>
      <c r="E558" s="5">
        <v>15000</v>
      </c>
      <c r="F558" t="s">
        <v>646</v>
      </c>
      <c r="G558" s="7">
        <v>46075</v>
      </c>
      <c r="H558" s="5">
        <v>0</v>
      </c>
      <c r="I55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58" t="b">
        <f>((ISNUMBER(Table3[[#This Row],[Quantity]]) )* (Table3[[#This Row],[Quantity]]&gt;0))=1</f>
        <v>1</v>
      </c>
      <c r="K558" t="b">
        <f>((Table3[[#This Row],[Quantity]]&gt;=Table3[[#This Row],[Return Qty]])*(ISNUMBER(Table3[[#This Row],[Quantity]])))=1</f>
        <v>1</v>
      </c>
      <c r="L558" t="b">
        <f>ISNUMBER(Table3[[#This Row],[Unit Price]])</f>
        <v>1</v>
      </c>
      <c r="M558" t="b">
        <f>ISNUMBER(Table3[[#This Row],[Order Date]])</f>
        <v>1</v>
      </c>
      <c r="N558">
        <f>IFERROR(IF(Table3[[#This Row],[Quantity]]*Table3[[#This Row],[Unit Price]]&lt;0, "N/A", Table3[[#This Row],[Quantity]]*Table3[[#This Row],[Unit Price]]), "N/A")</f>
        <v>135000</v>
      </c>
      <c r="O558">
        <f>IFERROR(Table3[[#This Row],[Unit Price]]*Table3[[#This Row],[Return Qty]], "N/A")</f>
        <v>0</v>
      </c>
      <c r="P558">
        <f>IFERROR(IF((Table3[[#This Row],[Revenue before return]]-Table3[[#This Row],[Amount of order  returned]])&lt;0, "N/A", Table3[[#This Row],[Revenue before return]]-Table3[[#This Row],[Amount of order  returned]]), "N/A")</f>
        <v>135000</v>
      </c>
      <c r="Q55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59" spans="1:17" x14ac:dyDescent="0.2">
      <c r="A559" t="s">
        <v>904</v>
      </c>
      <c r="B559" t="s">
        <v>21</v>
      </c>
      <c r="C559" t="s">
        <v>26</v>
      </c>
      <c r="D559" s="6">
        <v>4</v>
      </c>
      <c r="E559" s="5">
        <v>20000</v>
      </c>
      <c r="F559" t="s">
        <v>905</v>
      </c>
      <c r="G559" s="7">
        <v>46070</v>
      </c>
      <c r="H559" s="5">
        <v>0</v>
      </c>
      <c r="I55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59" t="b">
        <f>((ISNUMBER(Table3[[#This Row],[Quantity]]) )* (Table3[[#This Row],[Quantity]]&gt;0))=1</f>
        <v>1</v>
      </c>
      <c r="K559" t="b">
        <f>((Table3[[#This Row],[Quantity]]&gt;=Table3[[#This Row],[Return Qty]])*(ISNUMBER(Table3[[#This Row],[Quantity]])))=1</f>
        <v>1</v>
      </c>
      <c r="L559" t="b">
        <f>ISNUMBER(Table3[[#This Row],[Unit Price]])</f>
        <v>1</v>
      </c>
      <c r="M559" t="b">
        <f>ISNUMBER(Table3[[#This Row],[Order Date]])</f>
        <v>1</v>
      </c>
      <c r="N559">
        <f>IFERROR(IF(Table3[[#This Row],[Quantity]]*Table3[[#This Row],[Unit Price]]&lt;0, "N/A", Table3[[#This Row],[Quantity]]*Table3[[#This Row],[Unit Price]]), "N/A")</f>
        <v>80000</v>
      </c>
      <c r="O559">
        <f>IFERROR(Table3[[#This Row],[Unit Price]]*Table3[[#This Row],[Return Qty]], "N/A")</f>
        <v>0</v>
      </c>
      <c r="P559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55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60" spans="1:17" x14ac:dyDescent="0.2">
      <c r="A560" t="s">
        <v>906</v>
      </c>
      <c r="B560" t="s">
        <v>14</v>
      </c>
      <c r="C560" t="s">
        <v>39</v>
      </c>
      <c r="D560" s="6">
        <v>2</v>
      </c>
      <c r="E560" s="5">
        <v>12000</v>
      </c>
      <c r="F560" t="s">
        <v>802</v>
      </c>
      <c r="G560" s="7">
        <v>46196</v>
      </c>
      <c r="H560" s="5">
        <v>0</v>
      </c>
      <c r="I56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60" t="b">
        <f>((ISNUMBER(Table3[[#This Row],[Quantity]]) )* (Table3[[#This Row],[Quantity]]&gt;0))=1</f>
        <v>1</v>
      </c>
      <c r="K560" t="b">
        <f>((Table3[[#This Row],[Quantity]]&gt;=Table3[[#This Row],[Return Qty]])*(ISNUMBER(Table3[[#This Row],[Quantity]])))=1</f>
        <v>1</v>
      </c>
      <c r="L560" t="b">
        <f>ISNUMBER(Table3[[#This Row],[Unit Price]])</f>
        <v>1</v>
      </c>
      <c r="M560" t="b">
        <f>ISNUMBER(Table3[[#This Row],[Order Date]])</f>
        <v>1</v>
      </c>
      <c r="N560">
        <f>IFERROR(IF(Table3[[#This Row],[Quantity]]*Table3[[#This Row],[Unit Price]]&lt;0, "N/A", Table3[[#This Row],[Quantity]]*Table3[[#This Row],[Unit Price]]), "N/A")</f>
        <v>24000</v>
      </c>
      <c r="O560">
        <f>IFERROR(Table3[[#This Row],[Unit Price]]*Table3[[#This Row],[Return Qty]], "N/A")</f>
        <v>0</v>
      </c>
      <c r="P560">
        <f>IFERROR(IF((Table3[[#This Row],[Revenue before return]]-Table3[[#This Row],[Amount of order  returned]])&lt;0, "N/A", Table3[[#This Row],[Revenue before return]]-Table3[[#This Row],[Amount of order  returned]]), "N/A")</f>
        <v>24000</v>
      </c>
      <c r="Q56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61" spans="1:17" x14ac:dyDescent="0.2">
      <c r="A561" t="s">
        <v>907</v>
      </c>
      <c r="B561" t="s">
        <v>14</v>
      </c>
      <c r="C561" t="s">
        <v>70</v>
      </c>
      <c r="D561" s="6">
        <v>11</v>
      </c>
      <c r="E561" s="5">
        <v>28000</v>
      </c>
      <c r="F561" t="s">
        <v>472</v>
      </c>
      <c r="G561" s="7">
        <v>46086</v>
      </c>
      <c r="H561" s="5">
        <v>0</v>
      </c>
      <c r="I56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61" t="b">
        <f>((ISNUMBER(Table3[[#This Row],[Quantity]]) )* (Table3[[#This Row],[Quantity]]&gt;0))=1</f>
        <v>1</v>
      </c>
      <c r="K561" t="b">
        <f>((Table3[[#This Row],[Quantity]]&gt;=Table3[[#This Row],[Return Qty]])*(ISNUMBER(Table3[[#This Row],[Quantity]])))=1</f>
        <v>1</v>
      </c>
      <c r="L561" t="b">
        <f>ISNUMBER(Table3[[#This Row],[Unit Price]])</f>
        <v>1</v>
      </c>
      <c r="M561" t="b">
        <f>ISNUMBER(Table3[[#This Row],[Order Date]])</f>
        <v>1</v>
      </c>
      <c r="N561">
        <f>IFERROR(IF(Table3[[#This Row],[Quantity]]*Table3[[#This Row],[Unit Price]]&lt;0, "N/A", Table3[[#This Row],[Quantity]]*Table3[[#This Row],[Unit Price]]), "N/A")</f>
        <v>308000</v>
      </c>
      <c r="O561">
        <f>IFERROR(Table3[[#This Row],[Unit Price]]*Table3[[#This Row],[Return Qty]], "N/A")</f>
        <v>0</v>
      </c>
      <c r="P561">
        <f>IFERROR(IF((Table3[[#This Row],[Revenue before return]]-Table3[[#This Row],[Amount of order  returned]])&lt;0, "N/A", Table3[[#This Row],[Revenue before return]]-Table3[[#This Row],[Amount of order  returned]]), "N/A")</f>
        <v>308000</v>
      </c>
      <c r="Q56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62" spans="1:17" x14ac:dyDescent="0.2">
      <c r="A562" t="s">
        <v>908</v>
      </c>
      <c r="B562" t="s">
        <v>14</v>
      </c>
      <c r="C562" t="s">
        <v>26</v>
      </c>
      <c r="D562" s="6">
        <v>17</v>
      </c>
      <c r="E562" s="5">
        <v>20000</v>
      </c>
      <c r="F562" t="s">
        <v>891</v>
      </c>
      <c r="G562" s="7">
        <v>46119</v>
      </c>
      <c r="H562" s="5">
        <v>0</v>
      </c>
      <c r="I56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62" t="b">
        <f>((ISNUMBER(Table3[[#This Row],[Quantity]]) )* (Table3[[#This Row],[Quantity]]&gt;0))=1</f>
        <v>1</v>
      </c>
      <c r="K562" t="b">
        <f>((Table3[[#This Row],[Quantity]]&gt;=Table3[[#This Row],[Return Qty]])*(ISNUMBER(Table3[[#This Row],[Quantity]])))=1</f>
        <v>1</v>
      </c>
      <c r="L562" t="b">
        <f>ISNUMBER(Table3[[#This Row],[Unit Price]])</f>
        <v>1</v>
      </c>
      <c r="M562" t="b">
        <f>ISNUMBER(Table3[[#This Row],[Order Date]])</f>
        <v>1</v>
      </c>
      <c r="N562">
        <f>IFERROR(IF(Table3[[#This Row],[Quantity]]*Table3[[#This Row],[Unit Price]]&lt;0, "N/A", Table3[[#This Row],[Quantity]]*Table3[[#This Row],[Unit Price]]), "N/A")</f>
        <v>340000</v>
      </c>
      <c r="O562">
        <f>IFERROR(Table3[[#This Row],[Unit Price]]*Table3[[#This Row],[Return Qty]], "N/A")</f>
        <v>0</v>
      </c>
      <c r="P562">
        <f>IFERROR(IF((Table3[[#This Row],[Revenue before return]]-Table3[[#This Row],[Amount of order  returned]])&lt;0, "N/A", Table3[[#This Row],[Revenue before return]]-Table3[[#This Row],[Amount of order  returned]]), "N/A")</f>
        <v>340000</v>
      </c>
      <c r="Q56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63" spans="1:17" x14ac:dyDescent="0.2">
      <c r="A563" t="s">
        <v>909</v>
      </c>
      <c r="B563" t="s">
        <v>21</v>
      </c>
      <c r="C563" t="s">
        <v>45</v>
      </c>
      <c r="D563" s="6">
        <v>6</v>
      </c>
      <c r="E563" s="5">
        <v>20000</v>
      </c>
      <c r="F563" t="s">
        <v>866</v>
      </c>
      <c r="G563" s="7">
        <v>46060</v>
      </c>
      <c r="H563" s="5">
        <v>0</v>
      </c>
      <c r="I56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63" t="b">
        <f>((ISNUMBER(Table3[[#This Row],[Quantity]]) )* (Table3[[#This Row],[Quantity]]&gt;0))=1</f>
        <v>1</v>
      </c>
      <c r="K563" t="b">
        <f>((Table3[[#This Row],[Quantity]]&gt;=Table3[[#This Row],[Return Qty]])*(ISNUMBER(Table3[[#This Row],[Quantity]])))=1</f>
        <v>1</v>
      </c>
      <c r="L563" t="b">
        <f>ISNUMBER(Table3[[#This Row],[Unit Price]])</f>
        <v>1</v>
      </c>
      <c r="M563" t="b">
        <f>ISNUMBER(Table3[[#This Row],[Order Date]])</f>
        <v>1</v>
      </c>
      <c r="N563">
        <f>IFERROR(IF(Table3[[#This Row],[Quantity]]*Table3[[#This Row],[Unit Price]]&lt;0, "N/A", Table3[[#This Row],[Quantity]]*Table3[[#This Row],[Unit Price]]), "N/A")</f>
        <v>120000</v>
      </c>
      <c r="O563">
        <f>IFERROR(Table3[[#This Row],[Unit Price]]*Table3[[#This Row],[Return Qty]], "N/A")</f>
        <v>0</v>
      </c>
      <c r="P563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56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64" spans="1:17" x14ac:dyDescent="0.2">
      <c r="A564" t="s">
        <v>910</v>
      </c>
      <c r="B564" t="s">
        <v>25</v>
      </c>
      <c r="C564" t="s">
        <v>10</v>
      </c>
      <c r="D564" s="6">
        <v>24</v>
      </c>
      <c r="E564" s="5">
        <v>15000</v>
      </c>
      <c r="F564" t="s">
        <v>677</v>
      </c>
      <c r="G564" s="7">
        <v>46055</v>
      </c>
      <c r="H564" s="5">
        <v>1</v>
      </c>
      <c r="I56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64" t="b">
        <f>((ISNUMBER(Table3[[#This Row],[Quantity]]) )* (Table3[[#This Row],[Quantity]]&gt;0))=1</f>
        <v>1</v>
      </c>
      <c r="K564" t="b">
        <f>((Table3[[#This Row],[Quantity]]&gt;=Table3[[#This Row],[Return Qty]])*(ISNUMBER(Table3[[#This Row],[Quantity]])))=1</f>
        <v>1</v>
      </c>
      <c r="L564" t="b">
        <f>ISNUMBER(Table3[[#This Row],[Unit Price]])</f>
        <v>1</v>
      </c>
      <c r="M564" t="b">
        <f>ISNUMBER(Table3[[#This Row],[Order Date]])</f>
        <v>1</v>
      </c>
      <c r="N564">
        <f>IFERROR(IF(Table3[[#This Row],[Quantity]]*Table3[[#This Row],[Unit Price]]&lt;0, "N/A", Table3[[#This Row],[Quantity]]*Table3[[#This Row],[Unit Price]]), "N/A")</f>
        <v>360000</v>
      </c>
      <c r="O564">
        <f>IFERROR(Table3[[#This Row],[Unit Price]]*Table3[[#This Row],[Return Qty]], "N/A")</f>
        <v>15000</v>
      </c>
      <c r="P564">
        <f>IFERROR(IF((Table3[[#This Row],[Revenue before return]]-Table3[[#This Row],[Amount of order  returned]])&lt;0, "N/A", Table3[[#This Row],[Revenue before return]]-Table3[[#This Row],[Amount of order  returned]]), "N/A")</f>
        <v>345000</v>
      </c>
      <c r="Q56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65" spans="1:17" x14ac:dyDescent="0.2">
      <c r="A565" t="s">
        <v>911</v>
      </c>
      <c r="B565" t="s">
        <v>25</v>
      </c>
      <c r="C565" t="s">
        <v>18</v>
      </c>
      <c r="D565" s="6">
        <v>19</v>
      </c>
      <c r="E565" s="5">
        <v>50000</v>
      </c>
      <c r="F565" t="s">
        <v>78</v>
      </c>
      <c r="G565" s="7">
        <v>46154</v>
      </c>
      <c r="H565" s="5">
        <v>0</v>
      </c>
      <c r="I56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65" t="b">
        <f>((ISNUMBER(Table3[[#This Row],[Quantity]]) )* (Table3[[#This Row],[Quantity]]&gt;0))=1</f>
        <v>1</v>
      </c>
      <c r="K565" t="b">
        <f>((Table3[[#This Row],[Quantity]]&gt;=Table3[[#This Row],[Return Qty]])*(ISNUMBER(Table3[[#This Row],[Quantity]])))=1</f>
        <v>1</v>
      </c>
      <c r="L565" t="b">
        <f>ISNUMBER(Table3[[#This Row],[Unit Price]])</f>
        <v>1</v>
      </c>
      <c r="M565" t="b">
        <f>ISNUMBER(Table3[[#This Row],[Order Date]])</f>
        <v>1</v>
      </c>
      <c r="N565">
        <f>IFERROR(IF(Table3[[#This Row],[Quantity]]*Table3[[#This Row],[Unit Price]]&lt;0, "N/A", Table3[[#This Row],[Quantity]]*Table3[[#This Row],[Unit Price]]), "N/A")</f>
        <v>950000</v>
      </c>
      <c r="O565">
        <f>IFERROR(Table3[[#This Row],[Unit Price]]*Table3[[#This Row],[Return Qty]], "N/A")</f>
        <v>0</v>
      </c>
      <c r="P565">
        <f>IFERROR(IF((Table3[[#This Row],[Revenue before return]]-Table3[[#This Row],[Amount of order  returned]])&lt;0, "N/A", Table3[[#This Row],[Revenue before return]]-Table3[[#This Row],[Amount of order  returned]]), "N/A")</f>
        <v>950000</v>
      </c>
      <c r="Q56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66" spans="1:17" x14ac:dyDescent="0.2">
      <c r="A566" t="s">
        <v>914</v>
      </c>
      <c r="B566" t="s">
        <v>14</v>
      </c>
      <c r="C566" t="s">
        <v>22</v>
      </c>
      <c r="D566" s="6">
        <v>11</v>
      </c>
      <c r="E566" s="5">
        <v>35000</v>
      </c>
      <c r="F566" t="s">
        <v>374</v>
      </c>
      <c r="G566" s="7">
        <v>46115</v>
      </c>
      <c r="H566" s="5">
        <v>0</v>
      </c>
      <c r="I56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66" t="b">
        <f>((ISNUMBER(Table3[[#This Row],[Quantity]]) )* (Table3[[#This Row],[Quantity]]&gt;0))=1</f>
        <v>1</v>
      </c>
      <c r="K566" t="b">
        <f>((Table3[[#This Row],[Quantity]]&gt;=Table3[[#This Row],[Return Qty]])*(ISNUMBER(Table3[[#This Row],[Quantity]])))=1</f>
        <v>1</v>
      </c>
      <c r="L566" t="b">
        <f>ISNUMBER(Table3[[#This Row],[Unit Price]])</f>
        <v>1</v>
      </c>
      <c r="M566" t="b">
        <f>ISNUMBER(Table3[[#This Row],[Order Date]])</f>
        <v>1</v>
      </c>
      <c r="N566">
        <f>IFERROR(IF(Table3[[#This Row],[Quantity]]*Table3[[#This Row],[Unit Price]]&lt;0, "N/A", Table3[[#This Row],[Quantity]]*Table3[[#This Row],[Unit Price]]), "N/A")</f>
        <v>385000</v>
      </c>
      <c r="O566">
        <f>IFERROR(Table3[[#This Row],[Unit Price]]*Table3[[#This Row],[Return Qty]], "N/A")</f>
        <v>0</v>
      </c>
      <c r="P566">
        <f>IFERROR(IF((Table3[[#This Row],[Revenue before return]]-Table3[[#This Row],[Amount of order  returned]])&lt;0, "N/A", Table3[[#This Row],[Revenue before return]]-Table3[[#This Row],[Amount of order  returned]]), "N/A")</f>
        <v>385000</v>
      </c>
      <c r="Q56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67" spans="1:17" x14ac:dyDescent="0.2">
      <c r="A567" t="s">
        <v>916</v>
      </c>
      <c r="B567" t="s">
        <v>25</v>
      </c>
      <c r="C567" t="s">
        <v>70</v>
      </c>
      <c r="D567" s="6">
        <v>22</v>
      </c>
      <c r="E567" s="5">
        <v>28000</v>
      </c>
      <c r="F567" t="s">
        <v>175</v>
      </c>
      <c r="G567" s="7" t="s">
        <v>11</v>
      </c>
      <c r="H567" s="5">
        <v>1</v>
      </c>
      <c r="I56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67" t="b">
        <f>((ISNUMBER(Table3[[#This Row],[Quantity]]) )* (Table3[[#This Row],[Quantity]]&gt;0))=1</f>
        <v>1</v>
      </c>
      <c r="K567" t="b">
        <f>((Table3[[#This Row],[Quantity]]&gt;=Table3[[#This Row],[Return Qty]])*(ISNUMBER(Table3[[#This Row],[Quantity]])))=1</f>
        <v>1</v>
      </c>
      <c r="L567" t="b">
        <f>ISNUMBER(Table3[[#This Row],[Unit Price]])</f>
        <v>1</v>
      </c>
      <c r="M567" t="b">
        <f>ISNUMBER(Table3[[#This Row],[Order Date]])</f>
        <v>0</v>
      </c>
      <c r="N567">
        <f>IFERROR(IF(Table3[[#This Row],[Quantity]]*Table3[[#This Row],[Unit Price]]&lt;0, "N/A", Table3[[#This Row],[Quantity]]*Table3[[#This Row],[Unit Price]]), "N/A")</f>
        <v>616000</v>
      </c>
      <c r="O567">
        <f>IFERROR(Table3[[#This Row],[Unit Price]]*Table3[[#This Row],[Return Qty]], "N/A")</f>
        <v>28000</v>
      </c>
      <c r="P567">
        <f>IFERROR(IF((Table3[[#This Row],[Revenue before return]]-Table3[[#This Row],[Amount of order  returned]])&lt;0, "N/A", Table3[[#This Row],[Revenue before return]]-Table3[[#This Row],[Amount of order  returned]]), "N/A")</f>
        <v>588000</v>
      </c>
      <c r="Q56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568" spans="1:17" x14ac:dyDescent="0.2">
      <c r="A568" t="s">
        <v>917</v>
      </c>
      <c r="B568" t="s">
        <v>21</v>
      </c>
      <c r="C568" t="s">
        <v>45</v>
      </c>
      <c r="D568" s="6">
        <v>17</v>
      </c>
      <c r="E568" s="5">
        <v>20000</v>
      </c>
      <c r="F568" t="s">
        <v>308</v>
      </c>
      <c r="G568" s="7">
        <v>46046</v>
      </c>
      <c r="H568" s="5">
        <v>0</v>
      </c>
      <c r="I56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68" t="b">
        <f>((ISNUMBER(Table3[[#This Row],[Quantity]]) )* (Table3[[#This Row],[Quantity]]&gt;0))=1</f>
        <v>1</v>
      </c>
      <c r="K568" t="b">
        <f>((Table3[[#This Row],[Quantity]]&gt;=Table3[[#This Row],[Return Qty]])*(ISNUMBER(Table3[[#This Row],[Quantity]])))=1</f>
        <v>1</v>
      </c>
      <c r="L568" t="b">
        <f>ISNUMBER(Table3[[#This Row],[Unit Price]])</f>
        <v>1</v>
      </c>
      <c r="M568" t="b">
        <f>ISNUMBER(Table3[[#This Row],[Order Date]])</f>
        <v>1</v>
      </c>
      <c r="N568">
        <f>IFERROR(IF(Table3[[#This Row],[Quantity]]*Table3[[#This Row],[Unit Price]]&lt;0, "N/A", Table3[[#This Row],[Quantity]]*Table3[[#This Row],[Unit Price]]), "N/A")</f>
        <v>340000</v>
      </c>
      <c r="O568">
        <f>IFERROR(Table3[[#This Row],[Unit Price]]*Table3[[#This Row],[Return Qty]], "N/A")</f>
        <v>0</v>
      </c>
      <c r="P568">
        <f>IFERROR(IF((Table3[[#This Row],[Revenue before return]]-Table3[[#This Row],[Amount of order  returned]])&lt;0, "N/A", Table3[[#This Row],[Revenue before return]]-Table3[[#This Row],[Amount of order  returned]]), "N/A")</f>
        <v>340000</v>
      </c>
      <c r="Q56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69" spans="1:17" x14ac:dyDescent="0.2">
      <c r="A569" t="s">
        <v>918</v>
      </c>
      <c r="B569" t="s">
        <v>25</v>
      </c>
      <c r="C569" t="s">
        <v>18</v>
      </c>
      <c r="D569" s="6">
        <v>1</v>
      </c>
      <c r="E569" s="5">
        <v>50000</v>
      </c>
      <c r="F569" t="s">
        <v>677</v>
      </c>
      <c r="G569" s="7">
        <v>46094</v>
      </c>
      <c r="H569" s="5">
        <v>0</v>
      </c>
      <c r="I56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69" t="b">
        <f>((ISNUMBER(Table3[[#This Row],[Quantity]]) )* (Table3[[#This Row],[Quantity]]&gt;0))=1</f>
        <v>1</v>
      </c>
      <c r="K569" t="b">
        <f>((Table3[[#This Row],[Quantity]]&gt;=Table3[[#This Row],[Return Qty]])*(ISNUMBER(Table3[[#This Row],[Quantity]])))=1</f>
        <v>1</v>
      </c>
      <c r="L569" t="b">
        <f>ISNUMBER(Table3[[#This Row],[Unit Price]])</f>
        <v>1</v>
      </c>
      <c r="M569" t="b">
        <f>ISNUMBER(Table3[[#This Row],[Order Date]])</f>
        <v>1</v>
      </c>
      <c r="N569">
        <f>IFERROR(IF(Table3[[#This Row],[Quantity]]*Table3[[#This Row],[Unit Price]]&lt;0, "N/A", Table3[[#This Row],[Quantity]]*Table3[[#This Row],[Unit Price]]), "N/A")</f>
        <v>50000</v>
      </c>
      <c r="O569">
        <f>IFERROR(Table3[[#This Row],[Unit Price]]*Table3[[#This Row],[Return Qty]], "N/A")</f>
        <v>0</v>
      </c>
      <c r="P569">
        <f>IFERROR(IF((Table3[[#This Row],[Revenue before return]]-Table3[[#This Row],[Amount of order  returned]])&lt;0, "N/A", Table3[[#This Row],[Revenue before return]]-Table3[[#This Row],[Amount of order  returned]]), "N/A")</f>
        <v>50000</v>
      </c>
      <c r="Q56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70" spans="1:17" x14ac:dyDescent="0.2">
      <c r="A570" t="s">
        <v>919</v>
      </c>
      <c r="B570" t="s">
        <v>25</v>
      </c>
      <c r="C570" t="s">
        <v>70</v>
      </c>
      <c r="D570" s="6">
        <v>11</v>
      </c>
      <c r="E570" s="5">
        <v>28000</v>
      </c>
      <c r="F570" t="s">
        <v>443</v>
      </c>
      <c r="G570" s="7">
        <v>46168</v>
      </c>
      <c r="H570" s="5">
        <v>0</v>
      </c>
      <c r="I57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70" t="b">
        <f>((ISNUMBER(Table3[[#This Row],[Quantity]]) )* (Table3[[#This Row],[Quantity]]&gt;0))=1</f>
        <v>1</v>
      </c>
      <c r="K570" t="b">
        <f>((Table3[[#This Row],[Quantity]]&gt;=Table3[[#This Row],[Return Qty]])*(ISNUMBER(Table3[[#This Row],[Quantity]])))=1</f>
        <v>1</v>
      </c>
      <c r="L570" t="b">
        <f>ISNUMBER(Table3[[#This Row],[Unit Price]])</f>
        <v>1</v>
      </c>
      <c r="M570" t="b">
        <f>ISNUMBER(Table3[[#This Row],[Order Date]])</f>
        <v>1</v>
      </c>
      <c r="N570">
        <f>IFERROR(IF(Table3[[#This Row],[Quantity]]*Table3[[#This Row],[Unit Price]]&lt;0, "N/A", Table3[[#This Row],[Quantity]]*Table3[[#This Row],[Unit Price]]), "N/A")</f>
        <v>308000</v>
      </c>
      <c r="O570">
        <f>IFERROR(Table3[[#This Row],[Unit Price]]*Table3[[#This Row],[Return Qty]], "N/A")</f>
        <v>0</v>
      </c>
      <c r="P570">
        <f>IFERROR(IF((Table3[[#This Row],[Revenue before return]]-Table3[[#This Row],[Amount of order  returned]])&lt;0, "N/A", Table3[[#This Row],[Revenue before return]]-Table3[[#This Row],[Amount of order  returned]]), "N/A")</f>
        <v>308000</v>
      </c>
      <c r="Q57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71" spans="1:17" x14ac:dyDescent="0.2">
      <c r="A571" t="s">
        <v>920</v>
      </c>
      <c r="B571" t="s">
        <v>9</v>
      </c>
      <c r="C571" t="s">
        <v>70</v>
      </c>
      <c r="D571" s="6">
        <v>13</v>
      </c>
      <c r="E571" s="5">
        <v>28000</v>
      </c>
      <c r="F571" t="s">
        <v>328</v>
      </c>
      <c r="G571" s="7">
        <v>46187</v>
      </c>
      <c r="H571" s="5">
        <v>0</v>
      </c>
      <c r="I57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71" t="b">
        <f>((ISNUMBER(Table3[[#This Row],[Quantity]]) )* (Table3[[#This Row],[Quantity]]&gt;0))=1</f>
        <v>1</v>
      </c>
      <c r="K571" t="b">
        <f>((Table3[[#This Row],[Quantity]]&gt;=Table3[[#This Row],[Return Qty]])*(ISNUMBER(Table3[[#This Row],[Quantity]])))=1</f>
        <v>1</v>
      </c>
      <c r="L571" t="b">
        <f>ISNUMBER(Table3[[#This Row],[Unit Price]])</f>
        <v>1</v>
      </c>
      <c r="M571" t="b">
        <f>ISNUMBER(Table3[[#This Row],[Order Date]])</f>
        <v>1</v>
      </c>
      <c r="N571">
        <f>IFERROR(IF(Table3[[#This Row],[Quantity]]*Table3[[#This Row],[Unit Price]]&lt;0, "N/A", Table3[[#This Row],[Quantity]]*Table3[[#This Row],[Unit Price]]), "N/A")</f>
        <v>364000</v>
      </c>
      <c r="O571">
        <f>IFERROR(Table3[[#This Row],[Unit Price]]*Table3[[#This Row],[Return Qty]], "N/A")</f>
        <v>0</v>
      </c>
      <c r="P571">
        <f>IFERROR(IF((Table3[[#This Row],[Revenue before return]]-Table3[[#This Row],[Amount of order  returned]])&lt;0, "N/A", Table3[[#This Row],[Revenue before return]]-Table3[[#This Row],[Amount of order  returned]]), "N/A")</f>
        <v>364000</v>
      </c>
      <c r="Q57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72" spans="1:17" x14ac:dyDescent="0.2">
      <c r="A572" t="s">
        <v>921</v>
      </c>
      <c r="B572" t="s">
        <v>14</v>
      </c>
      <c r="C572" t="s">
        <v>70</v>
      </c>
      <c r="D572" s="6">
        <v>14</v>
      </c>
      <c r="E572" s="5">
        <v>28000</v>
      </c>
      <c r="F572" t="s">
        <v>530</v>
      </c>
      <c r="G572" s="7">
        <v>46119</v>
      </c>
      <c r="H572" s="5">
        <v>0</v>
      </c>
      <c r="I57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72" t="b">
        <f>((ISNUMBER(Table3[[#This Row],[Quantity]]) )* (Table3[[#This Row],[Quantity]]&gt;0))=1</f>
        <v>1</v>
      </c>
      <c r="K572" t="b">
        <f>((Table3[[#This Row],[Quantity]]&gt;=Table3[[#This Row],[Return Qty]])*(ISNUMBER(Table3[[#This Row],[Quantity]])))=1</f>
        <v>1</v>
      </c>
      <c r="L572" t="b">
        <f>ISNUMBER(Table3[[#This Row],[Unit Price]])</f>
        <v>1</v>
      </c>
      <c r="M572" t="b">
        <f>ISNUMBER(Table3[[#This Row],[Order Date]])</f>
        <v>1</v>
      </c>
      <c r="N572">
        <f>IFERROR(IF(Table3[[#This Row],[Quantity]]*Table3[[#This Row],[Unit Price]]&lt;0, "N/A", Table3[[#This Row],[Quantity]]*Table3[[#This Row],[Unit Price]]), "N/A")</f>
        <v>392000</v>
      </c>
      <c r="O572">
        <f>IFERROR(Table3[[#This Row],[Unit Price]]*Table3[[#This Row],[Return Qty]], "N/A")</f>
        <v>0</v>
      </c>
      <c r="P572">
        <f>IFERROR(IF((Table3[[#This Row],[Revenue before return]]-Table3[[#This Row],[Amount of order  returned]])&lt;0, "N/A", Table3[[#This Row],[Revenue before return]]-Table3[[#This Row],[Amount of order  returned]]), "N/A")</f>
        <v>392000</v>
      </c>
      <c r="Q57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73" spans="1:17" x14ac:dyDescent="0.2">
      <c r="A573" t="s">
        <v>922</v>
      </c>
      <c r="B573" t="s">
        <v>21</v>
      </c>
      <c r="C573" t="s">
        <v>22</v>
      </c>
      <c r="D573" s="6">
        <v>6</v>
      </c>
      <c r="E573" s="5">
        <v>35000</v>
      </c>
      <c r="F573" t="s">
        <v>789</v>
      </c>
      <c r="G573" s="7">
        <v>46187</v>
      </c>
      <c r="H573" s="5">
        <v>0</v>
      </c>
      <c r="I57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73" t="b">
        <f>((ISNUMBER(Table3[[#This Row],[Quantity]]) )* (Table3[[#This Row],[Quantity]]&gt;0))=1</f>
        <v>1</v>
      </c>
      <c r="K573" t="b">
        <f>((Table3[[#This Row],[Quantity]]&gt;=Table3[[#This Row],[Return Qty]])*(ISNUMBER(Table3[[#This Row],[Quantity]])))=1</f>
        <v>1</v>
      </c>
      <c r="L573" t="b">
        <f>ISNUMBER(Table3[[#This Row],[Unit Price]])</f>
        <v>1</v>
      </c>
      <c r="M573" t="b">
        <f>ISNUMBER(Table3[[#This Row],[Order Date]])</f>
        <v>1</v>
      </c>
      <c r="N573">
        <f>IFERROR(IF(Table3[[#This Row],[Quantity]]*Table3[[#This Row],[Unit Price]]&lt;0, "N/A", Table3[[#This Row],[Quantity]]*Table3[[#This Row],[Unit Price]]), "N/A")</f>
        <v>210000</v>
      </c>
      <c r="O573">
        <f>IFERROR(Table3[[#This Row],[Unit Price]]*Table3[[#This Row],[Return Qty]], "N/A")</f>
        <v>0</v>
      </c>
      <c r="P573">
        <f>IFERROR(IF((Table3[[#This Row],[Revenue before return]]-Table3[[#This Row],[Amount of order  returned]])&lt;0, "N/A", Table3[[#This Row],[Revenue before return]]-Table3[[#This Row],[Amount of order  returned]]), "N/A")</f>
        <v>210000</v>
      </c>
      <c r="Q57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74" spans="1:17" x14ac:dyDescent="0.2">
      <c r="A574" t="s">
        <v>923</v>
      </c>
      <c r="B574" t="s">
        <v>25</v>
      </c>
      <c r="C574" t="s">
        <v>22</v>
      </c>
      <c r="D574" s="6">
        <v>11</v>
      </c>
      <c r="E574" s="5" t="s">
        <v>11</v>
      </c>
      <c r="F574" t="s">
        <v>268</v>
      </c>
      <c r="G574" s="7">
        <v>46140</v>
      </c>
      <c r="H574" s="5">
        <v>0</v>
      </c>
      <c r="I57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74" t="b">
        <f>((ISNUMBER(Table3[[#This Row],[Quantity]]) )* (Table3[[#This Row],[Quantity]]&gt;0))=1</f>
        <v>1</v>
      </c>
      <c r="K574" t="b">
        <f>((Table3[[#This Row],[Quantity]]&gt;=Table3[[#This Row],[Return Qty]])*(ISNUMBER(Table3[[#This Row],[Quantity]])))=1</f>
        <v>1</v>
      </c>
      <c r="L574" t="b">
        <f>ISNUMBER(Table3[[#This Row],[Unit Price]])</f>
        <v>0</v>
      </c>
      <c r="M574" t="b">
        <f>ISNUMBER(Table3[[#This Row],[Order Date]])</f>
        <v>1</v>
      </c>
      <c r="N574" t="str">
        <f>IFERROR(IF(Table3[[#This Row],[Quantity]]*Table3[[#This Row],[Unit Price]]&lt;0, "N/A", Table3[[#This Row],[Quantity]]*Table3[[#This Row],[Unit Price]]), "N/A")</f>
        <v>N/A</v>
      </c>
      <c r="O574" t="str">
        <f>IFERROR(Table3[[#This Row],[Unit Price]]*Table3[[#This Row],[Return Qty]], "N/A")</f>
        <v>N/A</v>
      </c>
      <c r="P574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57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575" spans="1:17" x14ac:dyDescent="0.2">
      <c r="A575" t="s">
        <v>924</v>
      </c>
      <c r="B575" t="s">
        <v>9</v>
      </c>
      <c r="C575" t="s">
        <v>10</v>
      </c>
      <c r="D575" s="6">
        <v>8</v>
      </c>
      <c r="E575" s="5">
        <v>15000</v>
      </c>
      <c r="F575" t="s">
        <v>335</v>
      </c>
      <c r="G575" s="7">
        <v>46044</v>
      </c>
      <c r="H575" s="5">
        <v>13</v>
      </c>
      <c r="I57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75" t="b">
        <f>((ISNUMBER(Table3[[#This Row],[Quantity]]) )* (Table3[[#This Row],[Quantity]]&gt;0))=1</f>
        <v>1</v>
      </c>
      <c r="K575" t="b">
        <f>((Table3[[#This Row],[Quantity]]&gt;=Table3[[#This Row],[Return Qty]])*(ISNUMBER(Table3[[#This Row],[Quantity]])))=1</f>
        <v>0</v>
      </c>
      <c r="L575" t="b">
        <f>ISNUMBER(Table3[[#This Row],[Unit Price]])</f>
        <v>1</v>
      </c>
      <c r="M575" t="b">
        <f>ISNUMBER(Table3[[#This Row],[Order Date]])</f>
        <v>1</v>
      </c>
      <c r="N575">
        <f>IFERROR(IF(Table3[[#This Row],[Quantity]]*Table3[[#This Row],[Unit Price]]&lt;0, "N/A", Table3[[#This Row],[Quantity]]*Table3[[#This Row],[Unit Price]]), "N/A")</f>
        <v>120000</v>
      </c>
      <c r="O575">
        <f>IFERROR(Table3[[#This Row],[Unit Price]]*Table3[[#This Row],[Return Qty]], "N/A")</f>
        <v>195000</v>
      </c>
      <c r="P575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57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576" spans="1:17" x14ac:dyDescent="0.2">
      <c r="A576" t="s">
        <v>925</v>
      </c>
      <c r="B576" t="s">
        <v>25</v>
      </c>
      <c r="C576" t="s">
        <v>39</v>
      </c>
      <c r="D576" s="6">
        <v>2</v>
      </c>
      <c r="E576" s="5">
        <v>12000</v>
      </c>
      <c r="F576" t="s">
        <v>437</v>
      </c>
      <c r="G576" s="7">
        <v>46051</v>
      </c>
      <c r="H576" s="5">
        <v>0</v>
      </c>
      <c r="I57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76" t="b">
        <f>((ISNUMBER(Table3[[#This Row],[Quantity]]) )* (Table3[[#This Row],[Quantity]]&gt;0))=1</f>
        <v>1</v>
      </c>
      <c r="K576" t="b">
        <f>((Table3[[#This Row],[Quantity]]&gt;=Table3[[#This Row],[Return Qty]])*(ISNUMBER(Table3[[#This Row],[Quantity]])))=1</f>
        <v>1</v>
      </c>
      <c r="L576" t="b">
        <f>ISNUMBER(Table3[[#This Row],[Unit Price]])</f>
        <v>1</v>
      </c>
      <c r="M576" t="b">
        <f>ISNUMBER(Table3[[#This Row],[Order Date]])</f>
        <v>1</v>
      </c>
      <c r="N576">
        <f>IFERROR(IF(Table3[[#This Row],[Quantity]]*Table3[[#This Row],[Unit Price]]&lt;0, "N/A", Table3[[#This Row],[Quantity]]*Table3[[#This Row],[Unit Price]]), "N/A")</f>
        <v>24000</v>
      </c>
      <c r="O576">
        <f>IFERROR(Table3[[#This Row],[Unit Price]]*Table3[[#This Row],[Return Qty]], "N/A")</f>
        <v>0</v>
      </c>
      <c r="P576">
        <f>IFERROR(IF((Table3[[#This Row],[Revenue before return]]-Table3[[#This Row],[Amount of order  returned]])&lt;0, "N/A", Table3[[#This Row],[Revenue before return]]-Table3[[#This Row],[Amount of order  returned]]), "N/A")</f>
        <v>24000</v>
      </c>
      <c r="Q57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77" spans="1:17" x14ac:dyDescent="0.2">
      <c r="A577" t="s">
        <v>926</v>
      </c>
      <c r="B577" t="s">
        <v>25</v>
      </c>
      <c r="C577" t="s">
        <v>32</v>
      </c>
      <c r="D577" s="6">
        <v>14</v>
      </c>
      <c r="E577" s="5">
        <v>8000</v>
      </c>
      <c r="F577" t="s">
        <v>842</v>
      </c>
      <c r="G577" s="7">
        <v>46024</v>
      </c>
      <c r="H577" s="5">
        <v>4</v>
      </c>
      <c r="I57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77" t="b">
        <f>((ISNUMBER(Table3[[#This Row],[Quantity]]) )* (Table3[[#This Row],[Quantity]]&gt;0))=1</f>
        <v>1</v>
      </c>
      <c r="K577" t="b">
        <f>((Table3[[#This Row],[Quantity]]&gt;=Table3[[#This Row],[Return Qty]])*(ISNUMBER(Table3[[#This Row],[Quantity]])))=1</f>
        <v>1</v>
      </c>
      <c r="L577" t="b">
        <f>ISNUMBER(Table3[[#This Row],[Unit Price]])</f>
        <v>1</v>
      </c>
      <c r="M577" t="b">
        <f>ISNUMBER(Table3[[#This Row],[Order Date]])</f>
        <v>1</v>
      </c>
      <c r="N577">
        <f>IFERROR(IF(Table3[[#This Row],[Quantity]]*Table3[[#This Row],[Unit Price]]&lt;0, "N/A", Table3[[#This Row],[Quantity]]*Table3[[#This Row],[Unit Price]]), "N/A")</f>
        <v>112000</v>
      </c>
      <c r="O577">
        <f>IFERROR(Table3[[#This Row],[Unit Price]]*Table3[[#This Row],[Return Qty]], "N/A")</f>
        <v>32000</v>
      </c>
      <c r="P577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57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78" spans="1:17" x14ac:dyDescent="0.2">
      <c r="A578" t="s">
        <v>927</v>
      </c>
      <c r="B578" t="s">
        <v>21</v>
      </c>
      <c r="C578" t="s">
        <v>70</v>
      </c>
      <c r="D578" s="6">
        <v>8</v>
      </c>
      <c r="E578" s="5">
        <v>28000</v>
      </c>
      <c r="F578" t="s">
        <v>167</v>
      </c>
      <c r="G578" s="7">
        <v>46035</v>
      </c>
      <c r="H578" s="5">
        <v>0</v>
      </c>
      <c r="I57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78" t="b">
        <f>((ISNUMBER(Table3[[#This Row],[Quantity]]) )* (Table3[[#This Row],[Quantity]]&gt;0))=1</f>
        <v>1</v>
      </c>
      <c r="K578" t="b">
        <f>((Table3[[#This Row],[Quantity]]&gt;=Table3[[#This Row],[Return Qty]])*(ISNUMBER(Table3[[#This Row],[Quantity]])))=1</f>
        <v>1</v>
      </c>
      <c r="L578" t="b">
        <f>ISNUMBER(Table3[[#This Row],[Unit Price]])</f>
        <v>1</v>
      </c>
      <c r="M578" t="b">
        <f>ISNUMBER(Table3[[#This Row],[Order Date]])</f>
        <v>1</v>
      </c>
      <c r="N578">
        <f>IFERROR(IF(Table3[[#This Row],[Quantity]]*Table3[[#This Row],[Unit Price]]&lt;0, "N/A", Table3[[#This Row],[Quantity]]*Table3[[#This Row],[Unit Price]]), "N/A")</f>
        <v>224000</v>
      </c>
      <c r="O578">
        <f>IFERROR(Table3[[#This Row],[Unit Price]]*Table3[[#This Row],[Return Qty]], "N/A")</f>
        <v>0</v>
      </c>
      <c r="P578">
        <f>IFERROR(IF((Table3[[#This Row],[Revenue before return]]-Table3[[#This Row],[Amount of order  returned]])&lt;0, "N/A", Table3[[#This Row],[Revenue before return]]-Table3[[#This Row],[Amount of order  returned]]), "N/A")</f>
        <v>224000</v>
      </c>
      <c r="Q57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79" spans="1:17" x14ac:dyDescent="0.2">
      <c r="A579" t="s">
        <v>928</v>
      </c>
      <c r="B579" t="s">
        <v>929</v>
      </c>
      <c r="C579" t="s">
        <v>10</v>
      </c>
      <c r="D579" s="6">
        <v>7</v>
      </c>
      <c r="E579" s="5">
        <v>15000</v>
      </c>
      <c r="F579" t="s">
        <v>40</v>
      </c>
      <c r="G579" s="7">
        <v>46076</v>
      </c>
      <c r="H579" s="5">
        <v>4</v>
      </c>
      <c r="I57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79" t="b">
        <f>((ISNUMBER(Table3[[#This Row],[Quantity]]) )* (Table3[[#This Row],[Quantity]]&gt;0))=1</f>
        <v>1</v>
      </c>
      <c r="K579" t="b">
        <f>((Table3[[#This Row],[Quantity]]&gt;=Table3[[#This Row],[Return Qty]])*(ISNUMBER(Table3[[#This Row],[Quantity]])))=1</f>
        <v>1</v>
      </c>
      <c r="L579" t="b">
        <f>ISNUMBER(Table3[[#This Row],[Unit Price]])</f>
        <v>1</v>
      </c>
      <c r="M579" t="b">
        <f>ISNUMBER(Table3[[#This Row],[Order Date]])</f>
        <v>1</v>
      </c>
      <c r="N579">
        <f>IFERROR(IF(Table3[[#This Row],[Quantity]]*Table3[[#This Row],[Unit Price]]&lt;0, "N/A", Table3[[#This Row],[Quantity]]*Table3[[#This Row],[Unit Price]]), "N/A")</f>
        <v>105000</v>
      </c>
      <c r="O579">
        <f>IFERROR(Table3[[#This Row],[Unit Price]]*Table3[[#This Row],[Return Qty]], "N/A")</f>
        <v>60000</v>
      </c>
      <c r="P579">
        <f>IFERROR(IF((Table3[[#This Row],[Revenue before return]]-Table3[[#This Row],[Amount of order  returned]])&lt;0, "N/A", Table3[[#This Row],[Revenue before return]]-Table3[[#This Row],[Amount of order  returned]]), "N/A")</f>
        <v>45000</v>
      </c>
      <c r="Q57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80" spans="1:17" x14ac:dyDescent="0.2">
      <c r="A580" t="s">
        <v>930</v>
      </c>
      <c r="B580" t="s">
        <v>21</v>
      </c>
      <c r="C580" t="s">
        <v>26</v>
      </c>
      <c r="D580" s="6">
        <v>6</v>
      </c>
      <c r="E580" s="5">
        <v>20000</v>
      </c>
      <c r="F580" t="s">
        <v>614</v>
      </c>
      <c r="G580" s="7">
        <v>46162</v>
      </c>
      <c r="H580" s="5">
        <v>0</v>
      </c>
      <c r="I58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80" t="b">
        <f>((ISNUMBER(Table3[[#This Row],[Quantity]]) )* (Table3[[#This Row],[Quantity]]&gt;0))=1</f>
        <v>1</v>
      </c>
      <c r="K580" t="b">
        <f>((Table3[[#This Row],[Quantity]]&gt;=Table3[[#This Row],[Return Qty]])*(ISNUMBER(Table3[[#This Row],[Quantity]])))=1</f>
        <v>1</v>
      </c>
      <c r="L580" t="b">
        <f>ISNUMBER(Table3[[#This Row],[Unit Price]])</f>
        <v>1</v>
      </c>
      <c r="M580" t="b">
        <f>ISNUMBER(Table3[[#This Row],[Order Date]])</f>
        <v>1</v>
      </c>
      <c r="N580">
        <f>IFERROR(IF(Table3[[#This Row],[Quantity]]*Table3[[#This Row],[Unit Price]]&lt;0, "N/A", Table3[[#This Row],[Quantity]]*Table3[[#This Row],[Unit Price]]), "N/A")</f>
        <v>120000</v>
      </c>
      <c r="O580">
        <f>IFERROR(Table3[[#This Row],[Unit Price]]*Table3[[#This Row],[Return Qty]], "N/A")</f>
        <v>0</v>
      </c>
      <c r="P580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58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81" spans="1:17" x14ac:dyDescent="0.2">
      <c r="A581" t="s">
        <v>931</v>
      </c>
      <c r="B581" t="s">
        <v>14</v>
      </c>
      <c r="C581" t="s">
        <v>70</v>
      </c>
      <c r="D581" s="6">
        <v>24</v>
      </c>
      <c r="E581" s="5">
        <v>28000</v>
      </c>
      <c r="F581" t="s">
        <v>11</v>
      </c>
      <c r="G581" s="7">
        <v>46061</v>
      </c>
      <c r="H581" s="5">
        <v>0</v>
      </c>
      <c r="I58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81" t="b">
        <f>((ISNUMBER(Table3[[#This Row],[Quantity]]) )* (Table3[[#This Row],[Quantity]]&gt;0))=1</f>
        <v>1</v>
      </c>
      <c r="K581" t="b">
        <f>((Table3[[#This Row],[Quantity]]&gt;=Table3[[#This Row],[Return Qty]])*(ISNUMBER(Table3[[#This Row],[Quantity]])))=1</f>
        <v>1</v>
      </c>
      <c r="L581" t="b">
        <f>ISNUMBER(Table3[[#This Row],[Unit Price]])</f>
        <v>1</v>
      </c>
      <c r="M581" t="b">
        <f>ISNUMBER(Table3[[#This Row],[Order Date]])</f>
        <v>1</v>
      </c>
      <c r="N581">
        <f>IFERROR(IF(Table3[[#This Row],[Quantity]]*Table3[[#This Row],[Unit Price]]&lt;0, "N/A", Table3[[#This Row],[Quantity]]*Table3[[#This Row],[Unit Price]]), "N/A")</f>
        <v>672000</v>
      </c>
      <c r="O581">
        <f>IFERROR(Table3[[#This Row],[Unit Price]]*Table3[[#This Row],[Return Qty]], "N/A")</f>
        <v>0</v>
      </c>
      <c r="P581">
        <f>IFERROR(IF((Table3[[#This Row],[Revenue before return]]-Table3[[#This Row],[Amount of order  returned]])&lt;0, "N/A", Table3[[#This Row],[Revenue before return]]-Table3[[#This Row],[Amount of order  returned]]), "N/A")</f>
        <v>672000</v>
      </c>
      <c r="Q58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82" spans="1:17" x14ac:dyDescent="0.2">
      <c r="A582" t="s">
        <v>932</v>
      </c>
      <c r="B582" t="s">
        <v>21</v>
      </c>
      <c r="C582" t="s">
        <v>18</v>
      </c>
      <c r="D582" s="6">
        <v>11</v>
      </c>
      <c r="E582" s="5">
        <v>50000</v>
      </c>
      <c r="F582" t="s">
        <v>108</v>
      </c>
      <c r="G582" s="7">
        <v>46054</v>
      </c>
      <c r="H582" s="5">
        <v>0</v>
      </c>
      <c r="I58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82" t="b">
        <f>((ISNUMBER(Table3[[#This Row],[Quantity]]) )* (Table3[[#This Row],[Quantity]]&gt;0))=1</f>
        <v>1</v>
      </c>
      <c r="K582" t="b">
        <f>((Table3[[#This Row],[Quantity]]&gt;=Table3[[#This Row],[Return Qty]])*(ISNUMBER(Table3[[#This Row],[Quantity]])))=1</f>
        <v>1</v>
      </c>
      <c r="L582" t="b">
        <f>ISNUMBER(Table3[[#This Row],[Unit Price]])</f>
        <v>1</v>
      </c>
      <c r="M582" t="b">
        <f>ISNUMBER(Table3[[#This Row],[Order Date]])</f>
        <v>1</v>
      </c>
      <c r="N582">
        <f>IFERROR(IF(Table3[[#This Row],[Quantity]]*Table3[[#This Row],[Unit Price]]&lt;0, "N/A", Table3[[#This Row],[Quantity]]*Table3[[#This Row],[Unit Price]]), "N/A")</f>
        <v>550000</v>
      </c>
      <c r="O582">
        <f>IFERROR(Table3[[#This Row],[Unit Price]]*Table3[[#This Row],[Return Qty]], "N/A")</f>
        <v>0</v>
      </c>
      <c r="P582">
        <f>IFERROR(IF((Table3[[#This Row],[Revenue before return]]-Table3[[#This Row],[Amount of order  returned]])&lt;0, "N/A", Table3[[#This Row],[Revenue before return]]-Table3[[#This Row],[Amount of order  returned]]), "N/A")</f>
        <v>550000</v>
      </c>
      <c r="Q58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83" spans="1:17" x14ac:dyDescent="0.2">
      <c r="A583" t="s">
        <v>933</v>
      </c>
      <c r="B583" t="s">
        <v>14</v>
      </c>
      <c r="C583" t="s">
        <v>10</v>
      </c>
      <c r="D583" s="6">
        <v>16</v>
      </c>
      <c r="E583" s="5">
        <v>15000</v>
      </c>
      <c r="F583" t="s">
        <v>16</v>
      </c>
      <c r="G583" s="7">
        <v>46199</v>
      </c>
      <c r="H583" s="5">
        <v>0</v>
      </c>
      <c r="I58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83" t="b">
        <f>((ISNUMBER(Table3[[#This Row],[Quantity]]) )* (Table3[[#This Row],[Quantity]]&gt;0))=1</f>
        <v>1</v>
      </c>
      <c r="K583" t="b">
        <f>((Table3[[#This Row],[Quantity]]&gt;=Table3[[#This Row],[Return Qty]])*(ISNUMBER(Table3[[#This Row],[Quantity]])))=1</f>
        <v>1</v>
      </c>
      <c r="L583" t="b">
        <f>ISNUMBER(Table3[[#This Row],[Unit Price]])</f>
        <v>1</v>
      </c>
      <c r="M583" t="b">
        <f>ISNUMBER(Table3[[#This Row],[Order Date]])</f>
        <v>1</v>
      </c>
      <c r="N583">
        <f>IFERROR(IF(Table3[[#This Row],[Quantity]]*Table3[[#This Row],[Unit Price]]&lt;0, "N/A", Table3[[#This Row],[Quantity]]*Table3[[#This Row],[Unit Price]]), "N/A")</f>
        <v>240000</v>
      </c>
      <c r="O583">
        <f>IFERROR(Table3[[#This Row],[Unit Price]]*Table3[[#This Row],[Return Qty]], "N/A")</f>
        <v>0</v>
      </c>
      <c r="P583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58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84" spans="1:17" x14ac:dyDescent="0.2">
      <c r="A584" t="s">
        <v>934</v>
      </c>
      <c r="B584" t="s">
        <v>25</v>
      </c>
      <c r="C584" t="s">
        <v>45</v>
      </c>
      <c r="D584" s="6">
        <v>25</v>
      </c>
      <c r="E584" s="5">
        <v>20000</v>
      </c>
      <c r="F584" t="s">
        <v>282</v>
      </c>
      <c r="G584" s="7">
        <v>46118</v>
      </c>
      <c r="H584" s="5">
        <v>0</v>
      </c>
      <c r="I58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84" t="b">
        <f>((ISNUMBER(Table3[[#This Row],[Quantity]]) )* (Table3[[#This Row],[Quantity]]&gt;0))=1</f>
        <v>1</v>
      </c>
      <c r="K584" t="b">
        <f>((Table3[[#This Row],[Quantity]]&gt;=Table3[[#This Row],[Return Qty]])*(ISNUMBER(Table3[[#This Row],[Quantity]])))=1</f>
        <v>1</v>
      </c>
      <c r="L584" t="b">
        <f>ISNUMBER(Table3[[#This Row],[Unit Price]])</f>
        <v>1</v>
      </c>
      <c r="M584" t="b">
        <f>ISNUMBER(Table3[[#This Row],[Order Date]])</f>
        <v>1</v>
      </c>
      <c r="N584">
        <f>IFERROR(IF(Table3[[#This Row],[Quantity]]*Table3[[#This Row],[Unit Price]]&lt;0, "N/A", Table3[[#This Row],[Quantity]]*Table3[[#This Row],[Unit Price]]), "N/A")</f>
        <v>500000</v>
      </c>
      <c r="O584">
        <f>IFERROR(Table3[[#This Row],[Unit Price]]*Table3[[#This Row],[Return Qty]], "N/A")</f>
        <v>0</v>
      </c>
      <c r="P584">
        <f>IFERROR(IF((Table3[[#This Row],[Revenue before return]]-Table3[[#This Row],[Amount of order  returned]])&lt;0, "N/A", Table3[[#This Row],[Revenue before return]]-Table3[[#This Row],[Amount of order  returned]]), "N/A")</f>
        <v>500000</v>
      </c>
      <c r="Q58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85" spans="1:17" x14ac:dyDescent="0.2">
      <c r="A585" t="s">
        <v>935</v>
      </c>
      <c r="B585" t="s">
        <v>9</v>
      </c>
      <c r="C585" t="s">
        <v>10</v>
      </c>
      <c r="D585" s="6">
        <v>8</v>
      </c>
      <c r="E585" s="5">
        <v>15000</v>
      </c>
      <c r="F585" t="s">
        <v>37</v>
      </c>
      <c r="G585" s="7">
        <v>46099</v>
      </c>
      <c r="H585" s="5">
        <v>0</v>
      </c>
      <c r="I58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85" t="b">
        <f>((ISNUMBER(Table3[[#This Row],[Quantity]]) )* (Table3[[#This Row],[Quantity]]&gt;0))=1</f>
        <v>1</v>
      </c>
      <c r="K585" t="b">
        <f>((Table3[[#This Row],[Quantity]]&gt;=Table3[[#This Row],[Return Qty]])*(ISNUMBER(Table3[[#This Row],[Quantity]])))=1</f>
        <v>1</v>
      </c>
      <c r="L585" t="b">
        <f>ISNUMBER(Table3[[#This Row],[Unit Price]])</f>
        <v>1</v>
      </c>
      <c r="M585" t="b">
        <f>ISNUMBER(Table3[[#This Row],[Order Date]])</f>
        <v>1</v>
      </c>
      <c r="N585">
        <f>IFERROR(IF(Table3[[#This Row],[Quantity]]*Table3[[#This Row],[Unit Price]]&lt;0, "N/A", Table3[[#This Row],[Quantity]]*Table3[[#This Row],[Unit Price]]), "N/A")</f>
        <v>120000</v>
      </c>
      <c r="O585">
        <f>IFERROR(Table3[[#This Row],[Unit Price]]*Table3[[#This Row],[Return Qty]], "N/A")</f>
        <v>0</v>
      </c>
      <c r="P585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58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86" spans="1:17" x14ac:dyDescent="0.2">
      <c r="A586" t="s">
        <v>936</v>
      </c>
      <c r="B586" t="s">
        <v>21</v>
      </c>
      <c r="C586" t="s">
        <v>22</v>
      </c>
      <c r="D586" s="6">
        <v>11</v>
      </c>
      <c r="E586" s="5">
        <v>35000</v>
      </c>
      <c r="F586" t="s">
        <v>937</v>
      </c>
      <c r="G586" s="7">
        <v>46098</v>
      </c>
      <c r="H586" s="5">
        <v>3</v>
      </c>
      <c r="I58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86" t="b">
        <f>((ISNUMBER(Table3[[#This Row],[Quantity]]) )* (Table3[[#This Row],[Quantity]]&gt;0))=1</f>
        <v>1</v>
      </c>
      <c r="K586" t="b">
        <f>((Table3[[#This Row],[Quantity]]&gt;=Table3[[#This Row],[Return Qty]])*(ISNUMBER(Table3[[#This Row],[Quantity]])))=1</f>
        <v>1</v>
      </c>
      <c r="L586" t="b">
        <f>ISNUMBER(Table3[[#This Row],[Unit Price]])</f>
        <v>1</v>
      </c>
      <c r="M586" t="b">
        <f>ISNUMBER(Table3[[#This Row],[Order Date]])</f>
        <v>1</v>
      </c>
      <c r="N586">
        <f>IFERROR(IF(Table3[[#This Row],[Quantity]]*Table3[[#This Row],[Unit Price]]&lt;0, "N/A", Table3[[#This Row],[Quantity]]*Table3[[#This Row],[Unit Price]]), "N/A")</f>
        <v>385000</v>
      </c>
      <c r="O586">
        <f>IFERROR(Table3[[#This Row],[Unit Price]]*Table3[[#This Row],[Return Qty]], "N/A")</f>
        <v>105000</v>
      </c>
      <c r="P586">
        <f>IFERROR(IF((Table3[[#This Row],[Revenue before return]]-Table3[[#This Row],[Amount of order  returned]])&lt;0, "N/A", Table3[[#This Row],[Revenue before return]]-Table3[[#This Row],[Amount of order  returned]]), "N/A")</f>
        <v>280000</v>
      </c>
      <c r="Q58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87" spans="1:17" x14ac:dyDescent="0.2">
      <c r="A587" t="s">
        <v>938</v>
      </c>
      <c r="B587" t="s">
        <v>9</v>
      </c>
      <c r="C587" t="s">
        <v>22</v>
      </c>
      <c r="D587" s="6">
        <v>18</v>
      </c>
      <c r="E587" s="5">
        <v>35000</v>
      </c>
      <c r="F587" t="s">
        <v>324</v>
      </c>
      <c r="G587" s="7">
        <v>46137</v>
      </c>
      <c r="H587" s="5">
        <v>0</v>
      </c>
      <c r="I58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87" t="b">
        <f>((ISNUMBER(Table3[[#This Row],[Quantity]]) )* (Table3[[#This Row],[Quantity]]&gt;0))=1</f>
        <v>1</v>
      </c>
      <c r="K587" t="b">
        <f>((Table3[[#This Row],[Quantity]]&gt;=Table3[[#This Row],[Return Qty]])*(ISNUMBER(Table3[[#This Row],[Quantity]])))=1</f>
        <v>1</v>
      </c>
      <c r="L587" t="b">
        <f>ISNUMBER(Table3[[#This Row],[Unit Price]])</f>
        <v>1</v>
      </c>
      <c r="M587" t="b">
        <f>ISNUMBER(Table3[[#This Row],[Order Date]])</f>
        <v>1</v>
      </c>
      <c r="N587">
        <f>IFERROR(IF(Table3[[#This Row],[Quantity]]*Table3[[#This Row],[Unit Price]]&lt;0, "N/A", Table3[[#This Row],[Quantity]]*Table3[[#This Row],[Unit Price]]), "N/A")</f>
        <v>630000</v>
      </c>
      <c r="O587">
        <f>IFERROR(Table3[[#This Row],[Unit Price]]*Table3[[#This Row],[Return Qty]], "N/A")</f>
        <v>0</v>
      </c>
      <c r="P587">
        <f>IFERROR(IF((Table3[[#This Row],[Revenue before return]]-Table3[[#This Row],[Amount of order  returned]])&lt;0, "N/A", Table3[[#This Row],[Revenue before return]]-Table3[[#This Row],[Amount of order  returned]]), "N/A")</f>
        <v>630000</v>
      </c>
      <c r="Q58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88" spans="1:17" x14ac:dyDescent="0.2">
      <c r="A588" t="s">
        <v>939</v>
      </c>
      <c r="B588" t="s">
        <v>9</v>
      </c>
      <c r="C588" t="s">
        <v>22</v>
      </c>
      <c r="D588" s="6">
        <v>5</v>
      </c>
      <c r="E588" s="5">
        <v>35000</v>
      </c>
      <c r="F588" t="s">
        <v>940</v>
      </c>
      <c r="G588" s="7">
        <v>46137</v>
      </c>
      <c r="H588" s="5">
        <v>0</v>
      </c>
      <c r="I58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88" t="b">
        <f>((ISNUMBER(Table3[[#This Row],[Quantity]]) )* (Table3[[#This Row],[Quantity]]&gt;0))=1</f>
        <v>1</v>
      </c>
      <c r="K588" t="b">
        <f>((Table3[[#This Row],[Quantity]]&gt;=Table3[[#This Row],[Return Qty]])*(ISNUMBER(Table3[[#This Row],[Quantity]])))=1</f>
        <v>1</v>
      </c>
      <c r="L588" t="b">
        <f>ISNUMBER(Table3[[#This Row],[Unit Price]])</f>
        <v>1</v>
      </c>
      <c r="M588" t="b">
        <f>ISNUMBER(Table3[[#This Row],[Order Date]])</f>
        <v>1</v>
      </c>
      <c r="N588">
        <f>IFERROR(IF(Table3[[#This Row],[Quantity]]*Table3[[#This Row],[Unit Price]]&lt;0, "N/A", Table3[[#This Row],[Quantity]]*Table3[[#This Row],[Unit Price]]), "N/A")</f>
        <v>175000</v>
      </c>
      <c r="O588">
        <f>IFERROR(Table3[[#This Row],[Unit Price]]*Table3[[#This Row],[Return Qty]], "N/A")</f>
        <v>0</v>
      </c>
      <c r="P588">
        <f>IFERROR(IF((Table3[[#This Row],[Revenue before return]]-Table3[[#This Row],[Amount of order  returned]])&lt;0, "N/A", Table3[[#This Row],[Revenue before return]]-Table3[[#This Row],[Amount of order  returned]]), "N/A")</f>
        <v>175000</v>
      </c>
      <c r="Q58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89" spans="1:17" x14ac:dyDescent="0.2">
      <c r="A589" t="s">
        <v>941</v>
      </c>
      <c r="B589" t="s">
        <v>21</v>
      </c>
      <c r="C589" t="s">
        <v>10</v>
      </c>
      <c r="D589" s="6">
        <v>21</v>
      </c>
      <c r="E589" s="5" t="s">
        <v>11</v>
      </c>
      <c r="F589" t="s">
        <v>942</v>
      </c>
      <c r="G589" s="7">
        <v>46073</v>
      </c>
      <c r="H589" s="5">
        <v>0</v>
      </c>
      <c r="I58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89" t="b">
        <f>((ISNUMBER(Table3[[#This Row],[Quantity]]) )* (Table3[[#This Row],[Quantity]]&gt;0))=1</f>
        <v>1</v>
      </c>
      <c r="K589" t="b">
        <f>((Table3[[#This Row],[Quantity]]&gt;=Table3[[#This Row],[Return Qty]])*(ISNUMBER(Table3[[#This Row],[Quantity]])))=1</f>
        <v>1</v>
      </c>
      <c r="L589" t="b">
        <f>ISNUMBER(Table3[[#This Row],[Unit Price]])</f>
        <v>0</v>
      </c>
      <c r="M589" t="b">
        <f>ISNUMBER(Table3[[#This Row],[Order Date]])</f>
        <v>1</v>
      </c>
      <c r="N589" t="str">
        <f>IFERROR(IF(Table3[[#This Row],[Quantity]]*Table3[[#This Row],[Unit Price]]&lt;0, "N/A", Table3[[#This Row],[Quantity]]*Table3[[#This Row],[Unit Price]]), "N/A")</f>
        <v>N/A</v>
      </c>
      <c r="O589" t="str">
        <f>IFERROR(Table3[[#This Row],[Unit Price]]*Table3[[#This Row],[Return Qty]], "N/A")</f>
        <v>N/A</v>
      </c>
      <c r="P589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58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590" spans="1:17" x14ac:dyDescent="0.2">
      <c r="A590" t="s">
        <v>943</v>
      </c>
      <c r="B590" t="s">
        <v>25</v>
      </c>
      <c r="C590" t="s">
        <v>10</v>
      </c>
      <c r="D590" s="6">
        <v>14</v>
      </c>
      <c r="E590" s="5">
        <v>15000</v>
      </c>
      <c r="F590" t="s">
        <v>203</v>
      </c>
      <c r="G590" s="7">
        <v>46024</v>
      </c>
      <c r="H590" s="5">
        <v>0</v>
      </c>
      <c r="I59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90" t="b">
        <f>((ISNUMBER(Table3[[#This Row],[Quantity]]) )* (Table3[[#This Row],[Quantity]]&gt;0))=1</f>
        <v>1</v>
      </c>
      <c r="K590" t="b">
        <f>((Table3[[#This Row],[Quantity]]&gt;=Table3[[#This Row],[Return Qty]])*(ISNUMBER(Table3[[#This Row],[Quantity]])))=1</f>
        <v>1</v>
      </c>
      <c r="L590" t="b">
        <f>ISNUMBER(Table3[[#This Row],[Unit Price]])</f>
        <v>1</v>
      </c>
      <c r="M590" t="b">
        <f>ISNUMBER(Table3[[#This Row],[Order Date]])</f>
        <v>1</v>
      </c>
      <c r="N590">
        <f>IFERROR(IF(Table3[[#This Row],[Quantity]]*Table3[[#This Row],[Unit Price]]&lt;0, "N/A", Table3[[#This Row],[Quantity]]*Table3[[#This Row],[Unit Price]]), "N/A")</f>
        <v>210000</v>
      </c>
      <c r="O590">
        <f>IFERROR(Table3[[#This Row],[Unit Price]]*Table3[[#This Row],[Return Qty]], "N/A")</f>
        <v>0</v>
      </c>
      <c r="P590">
        <f>IFERROR(IF((Table3[[#This Row],[Revenue before return]]-Table3[[#This Row],[Amount of order  returned]])&lt;0, "N/A", Table3[[#This Row],[Revenue before return]]-Table3[[#This Row],[Amount of order  returned]]), "N/A")</f>
        <v>210000</v>
      </c>
      <c r="Q59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91" spans="1:17" x14ac:dyDescent="0.2">
      <c r="A591" t="s">
        <v>944</v>
      </c>
      <c r="B591" t="s">
        <v>21</v>
      </c>
      <c r="C591" t="s">
        <v>10</v>
      </c>
      <c r="D591" s="6">
        <v>5</v>
      </c>
      <c r="E591" s="5">
        <v>15000</v>
      </c>
      <c r="F591" t="s">
        <v>257</v>
      </c>
      <c r="G591" s="7">
        <v>46136</v>
      </c>
      <c r="H591" s="5">
        <v>0</v>
      </c>
      <c r="I59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91" t="b">
        <f>((ISNUMBER(Table3[[#This Row],[Quantity]]) )* (Table3[[#This Row],[Quantity]]&gt;0))=1</f>
        <v>1</v>
      </c>
      <c r="K591" t="b">
        <f>((Table3[[#This Row],[Quantity]]&gt;=Table3[[#This Row],[Return Qty]])*(ISNUMBER(Table3[[#This Row],[Quantity]])))=1</f>
        <v>1</v>
      </c>
      <c r="L591" t="b">
        <f>ISNUMBER(Table3[[#This Row],[Unit Price]])</f>
        <v>1</v>
      </c>
      <c r="M591" t="b">
        <f>ISNUMBER(Table3[[#This Row],[Order Date]])</f>
        <v>1</v>
      </c>
      <c r="N591">
        <f>IFERROR(IF(Table3[[#This Row],[Quantity]]*Table3[[#This Row],[Unit Price]]&lt;0, "N/A", Table3[[#This Row],[Quantity]]*Table3[[#This Row],[Unit Price]]), "N/A")</f>
        <v>75000</v>
      </c>
      <c r="O591">
        <f>IFERROR(Table3[[#This Row],[Unit Price]]*Table3[[#This Row],[Return Qty]], "N/A")</f>
        <v>0</v>
      </c>
      <c r="P591">
        <f>IFERROR(IF((Table3[[#This Row],[Revenue before return]]-Table3[[#This Row],[Amount of order  returned]])&lt;0, "N/A", Table3[[#This Row],[Revenue before return]]-Table3[[#This Row],[Amount of order  returned]]), "N/A")</f>
        <v>75000</v>
      </c>
      <c r="Q59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92" spans="1:17" x14ac:dyDescent="0.2">
      <c r="A592" t="s">
        <v>945</v>
      </c>
      <c r="B592" t="s">
        <v>25</v>
      </c>
      <c r="C592" t="s">
        <v>39</v>
      </c>
      <c r="D592" s="6">
        <v>1</v>
      </c>
      <c r="E592" s="5">
        <v>12000</v>
      </c>
      <c r="F592" t="s">
        <v>946</v>
      </c>
      <c r="G592" s="7">
        <v>46199</v>
      </c>
      <c r="H592" s="5">
        <v>0</v>
      </c>
      <c r="I59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92" t="b">
        <f>((ISNUMBER(Table3[[#This Row],[Quantity]]) )* (Table3[[#This Row],[Quantity]]&gt;0))=1</f>
        <v>1</v>
      </c>
      <c r="K592" t="b">
        <f>((Table3[[#This Row],[Quantity]]&gt;=Table3[[#This Row],[Return Qty]])*(ISNUMBER(Table3[[#This Row],[Quantity]])))=1</f>
        <v>1</v>
      </c>
      <c r="L592" t="b">
        <f>ISNUMBER(Table3[[#This Row],[Unit Price]])</f>
        <v>1</v>
      </c>
      <c r="M592" t="b">
        <f>ISNUMBER(Table3[[#This Row],[Order Date]])</f>
        <v>1</v>
      </c>
      <c r="N592">
        <f>IFERROR(IF(Table3[[#This Row],[Quantity]]*Table3[[#This Row],[Unit Price]]&lt;0, "N/A", Table3[[#This Row],[Quantity]]*Table3[[#This Row],[Unit Price]]), "N/A")</f>
        <v>12000</v>
      </c>
      <c r="O592">
        <f>IFERROR(Table3[[#This Row],[Unit Price]]*Table3[[#This Row],[Return Qty]], "N/A")</f>
        <v>0</v>
      </c>
      <c r="P592">
        <f>IFERROR(IF((Table3[[#This Row],[Revenue before return]]-Table3[[#This Row],[Amount of order  returned]])&lt;0, "N/A", Table3[[#This Row],[Revenue before return]]-Table3[[#This Row],[Amount of order  returned]]), "N/A")</f>
        <v>12000</v>
      </c>
      <c r="Q59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93" spans="1:17" x14ac:dyDescent="0.2">
      <c r="A593" t="s">
        <v>947</v>
      </c>
      <c r="B593" t="s">
        <v>21</v>
      </c>
      <c r="C593" t="s">
        <v>39</v>
      </c>
      <c r="D593" s="6">
        <v>12</v>
      </c>
      <c r="E593" s="5">
        <v>12000</v>
      </c>
      <c r="F593" t="s">
        <v>246</v>
      </c>
      <c r="G593" s="7">
        <v>46071</v>
      </c>
      <c r="H593" s="5">
        <v>0</v>
      </c>
      <c r="I59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93" t="b">
        <f>((ISNUMBER(Table3[[#This Row],[Quantity]]) )* (Table3[[#This Row],[Quantity]]&gt;0))=1</f>
        <v>1</v>
      </c>
      <c r="K593" t="b">
        <f>((Table3[[#This Row],[Quantity]]&gt;=Table3[[#This Row],[Return Qty]])*(ISNUMBER(Table3[[#This Row],[Quantity]])))=1</f>
        <v>1</v>
      </c>
      <c r="L593" t="b">
        <f>ISNUMBER(Table3[[#This Row],[Unit Price]])</f>
        <v>1</v>
      </c>
      <c r="M593" t="b">
        <f>ISNUMBER(Table3[[#This Row],[Order Date]])</f>
        <v>1</v>
      </c>
      <c r="N593">
        <f>IFERROR(IF(Table3[[#This Row],[Quantity]]*Table3[[#This Row],[Unit Price]]&lt;0, "N/A", Table3[[#This Row],[Quantity]]*Table3[[#This Row],[Unit Price]]), "N/A")</f>
        <v>144000</v>
      </c>
      <c r="O593">
        <f>IFERROR(Table3[[#This Row],[Unit Price]]*Table3[[#This Row],[Return Qty]], "N/A")</f>
        <v>0</v>
      </c>
      <c r="P593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59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94" spans="1:17" x14ac:dyDescent="0.2">
      <c r="A594" t="s">
        <v>948</v>
      </c>
      <c r="B594" t="s">
        <v>14</v>
      </c>
      <c r="C594" t="s">
        <v>10</v>
      </c>
      <c r="D594" s="6" t="s">
        <v>11</v>
      </c>
      <c r="E594" s="5">
        <v>15000</v>
      </c>
      <c r="F594" t="s">
        <v>949</v>
      </c>
      <c r="G594" s="7">
        <v>46193</v>
      </c>
      <c r="H594" s="5">
        <v>0</v>
      </c>
      <c r="I59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94" t="b">
        <f>((ISNUMBER(Table3[[#This Row],[Quantity]]) )* (Table3[[#This Row],[Quantity]]&gt;0))=1</f>
        <v>0</v>
      </c>
      <c r="K594" t="b">
        <f>((Table3[[#This Row],[Quantity]]&gt;=Table3[[#This Row],[Return Qty]])*(ISNUMBER(Table3[[#This Row],[Quantity]])))=1</f>
        <v>0</v>
      </c>
      <c r="L594" t="b">
        <f>ISNUMBER(Table3[[#This Row],[Unit Price]])</f>
        <v>1</v>
      </c>
      <c r="M594" t="b">
        <f>ISNUMBER(Table3[[#This Row],[Order Date]])</f>
        <v>1</v>
      </c>
      <c r="N594" t="str">
        <f>IFERROR(IF(Table3[[#This Row],[Quantity]]*Table3[[#This Row],[Unit Price]]&lt;0, "N/A", Table3[[#This Row],[Quantity]]*Table3[[#This Row],[Unit Price]]), "N/A")</f>
        <v>N/A</v>
      </c>
      <c r="O594">
        <f>IFERROR(Table3[[#This Row],[Unit Price]]*Table3[[#This Row],[Return Qty]], "N/A")</f>
        <v>0</v>
      </c>
      <c r="P594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59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595" spans="1:17" x14ac:dyDescent="0.2">
      <c r="A595" t="s">
        <v>950</v>
      </c>
      <c r="B595" t="s">
        <v>25</v>
      </c>
      <c r="C595" t="s">
        <v>32</v>
      </c>
      <c r="D595" s="6">
        <v>19</v>
      </c>
      <c r="E595" s="5">
        <v>24000</v>
      </c>
      <c r="F595" t="s">
        <v>857</v>
      </c>
      <c r="G595" s="7">
        <v>46106</v>
      </c>
      <c r="H595" s="5">
        <v>0</v>
      </c>
      <c r="I59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95" t="b">
        <f>((ISNUMBER(Table3[[#This Row],[Quantity]]) )* (Table3[[#This Row],[Quantity]]&gt;0))=1</f>
        <v>1</v>
      </c>
      <c r="K595" t="b">
        <f>((Table3[[#This Row],[Quantity]]&gt;=Table3[[#This Row],[Return Qty]])*(ISNUMBER(Table3[[#This Row],[Quantity]])))=1</f>
        <v>1</v>
      </c>
      <c r="L595" t="b">
        <f>ISNUMBER(Table3[[#This Row],[Unit Price]])</f>
        <v>1</v>
      </c>
      <c r="M595" t="b">
        <f>ISNUMBER(Table3[[#This Row],[Order Date]])</f>
        <v>1</v>
      </c>
      <c r="N595">
        <f>IFERROR(IF(Table3[[#This Row],[Quantity]]*Table3[[#This Row],[Unit Price]]&lt;0, "N/A", Table3[[#This Row],[Quantity]]*Table3[[#This Row],[Unit Price]]), "N/A")</f>
        <v>456000</v>
      </c>
      <c r="O595">
        <f>IFERROR(Table3[[#This Row],[Unit Price]]*Table3[[#This Row],[Return Qty]], "N/A")</f>
        <v>0</v>
      </c>
      <c r="P595">
        <f>IFERROR(IF((Table3[[#This Row],[Revenue before return]]-Table3[[#This Row],[Amount of order  returned]])&lt;0, "N/A", Table3[[#This Row],[Revenue before return]]-Table3[[#This Row],[Amount of order  returned]]), "N/A")</f>
        <v>456000</v>
      </c>
      <c r="Q59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96" spans="1:17" x14ac:dyDescent="0.2">
      <c r="A596" t="s">
        <v>951</v>
      </c>
      <c r="B596" t="s">
        <v>21</v>
      </c>
      <c r="C596" t="s">
        <v>45</v>
      </c>
      <c r="D596" s="6">
        <v>20</v>
      </c>
      <c r="E596" s="5">
        <v>20000</v>
      </c>
      <c r="F596" t="s">
        <v>740</v>
      </c>
      <c r="G596" s="7">
        <v>46090</v>
      </c>
      <c r="H596" s="5">
        <v>0</v>
      </c>
      <c r="I59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96" t="b">
        <f>((ISNUMBER(Table3[[#This Row],[Quantity]]) )* (Table3[[#This Row],[Quantity]]&gt;0))=1</f>
        <v>1</v>
      </c>
      <c r="K596" t="b">
        <f>((Table3[[#This Row],[Quantity]]&gt;=Table3[[#This Row],[Return Qty]])*(ISNUMBER(Table3[[#This Row],[Quantity]])))=1</f>
        <v>1</v>
      </c>
      <c r="L596" t="b">
        <f>ISNUMBER(Table3[[#This Row],[Unit Price]])</f>
        <v>1</v>
      </c>
      <c r="M596" t="b">
        <f>ISNUMBER(Table3[[#This Row],[Order Date]])</f>
        <v>1</v>
      </c>
      <c r="N596">
        <f>IFERROR(IF(Table3[[#This Row],[Quantity]]*Table3[[#This Row],[Unit Price]]&lt;0, "N/A", Table3[[#This Row],[Quantity]]*Table3[[#This Row],[Unit Price]]), "N/A")</f>
        <v>400000</v>
      </c>
      <c r="O596">
        <f>IFERROR(Table3[[#This Row],[Unit Price]]*Table3[[#This Row],[Return Qty]], "N/A")</f>
        <v>0</v>
      </c>
      <c r="P596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59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97" spans="1:17" x14ac:dyDescent="0.2">
      <c r="A597" t="s">
        <v>952</v>
      </c>
      <c r="B597" t="s">
        <v>21</v>
      </c>
      <c r="C597" t="s">
        <v>22</v>
      </c>
      <c r="D597" s="6">
        <v>24</v>
      </c>
      <c r="E597" s="5">
        <v>35000</v>
      </c>
      <c r="F597" t="s">
        <v>119</v>
      </c>
      <c r="G597" s="7">
        <v>46076</v>
      </c>
      <c r="H597" s="5">
        <v>0</v>
      </c>
      <c r="I59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97" t="b">
        <f>((ISNUMBER(Table3[[#This Row],[Quantity]]) )* (Table3[[#This Row],[Quantity]]&gt;0))=1</f>
        <v>1</v>
      </c>
      <c r="K597" t="b">
        <f>((Table3[[#This Row],[Quantity]]&gt;=Table3[[#This Row],[Return Qty]])*(ISNUMBER(Table3[[#This Row],[Quantity]])))=1</f>
        <v>1</v>
      </c>
      <c r="L597" t="b">
        <f>ISNUMBER(Table3[[#This Row],[Unit Price]])</f>
        <v>1</v>
      </c>
      <c r="M597" t="b">
        <f>ISNUMBER(Table3[[#This Row],[Order Date]])</f>
        <v>1</v>
      </c>
      <c r="N597">
        <f>IFERROR(IF(Table3[[#This Row],[Quantity]]*Table3[[#This Row],[Unit Price]]&lt;0, "N/A", Table3[[#This Row],[Quantity]]*Table3[[#This Row],[Unit Price]]), "N/A")</f>
        <v>840000</v>
      </c>
      <c r="O597">
        <f>IFERROR(Table3[[#This Row],[Unit Price]]*Table3[[#This Row],[Return Qty]], "N/A")</f>
        <v>0</v>
      </c>
      <c r="P597">
        <f>IFERROR(IF((Table3[[#This Row],[Revenue before return]]-Table3[[#This Row],[Amount of order  returned]])&lt;0, "N/A", Table3[[#This Row],[Revenue before return]]-Table3[[#This Row],[Amount of order  returned]]), "N/A")</f>
        <v>840000</v>
      </c>
      <c r="Q59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98" spans="1:17" x14ac:dyDescent="0.2">
      <c r="A598" t="s">
        <v>954</v>
      </c>
      <c r="B598" t="s">
        <v>9</v>
      </c>
      <c r="C598" t="s">
        <v>26</v>
      </c>
      <c r="D598" s="6">
        <v>9</v>
      </c>
      <c r="E598" s="5">
        <v>20000</v>
      </c>
      <c r="F598" t="s">
        <v>599</v>
      </c>
      <c r="G598" s="7">
        <v>46168</v>
      </c>
      <c r="H598" s="5">
        <v>4</v>
      </c>
      <c r="I59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98" t="b">
        <f>((ISNUMBER(Table3[[#This Row],[Quantity]]) )* (Table3[[#This Row],[Quantity]]&gt;0))=1</f>
        <v>1</v>
      </c>
      <c r="K598" t="b">
        <f>((Table3[[#This Row],[Quantity]]&gt;=Table3[[#This Row],[Return Qty]])*(ISNUMBER(Table3[[#This Row],[Quantity]])))=1</f>
        <v>1</v>
      </c>
      <c r="L598" t="b">
        <f>ISNUMBER(Table3[[#This Row],[Unit Price]])</f>
        <v>1</v>
      </c>
      <c r="M598" t="b">
        <f>ISNUMBER(Table3[[#This Row],[Order Date]])</f>
        <v>1</v>
      </c>
      <c r="N598">
        <f>IFERROR(IF(Table3[[#This Row],[Quantity]]*Table3[[#This Row],[Unit Price]]&lt;0, "N/A", Table3[[#This Row],[Quantity]]*Table3[[#This Row],[Unit Price]]), "N/A")</f>
        <v>180000</v>
      </c>
      <c r="O598">
        <f>IFERROR(Table3[[#This Row],[Unit Price]]*Table3[[#This Row],[Return Qty]], "N/A")</f>
        <v>80000</v>
      </c>
      <c r="P598">
        <f>IFERROR(IF((Table3[[#This Row],[Revenue before return]]-Table3[[#This Row],[Amount of order  returned]])&lt;0, "N/A", Table3[[#This Row],[Revenue before return]]-Table3[[#This Row],[Amount of order  returned]]), "N/A")</f>
        <v>100000</v>
      </c>
      <c r="Q59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599" spans="1:17" x14ac:dyDescent="0.2">
      <c r="A599" t="s">
        <v>955</v>
      </c>
      <c r="B599" t="s">
        <v>21</v>
      </c>
      <c r="C599" t="s">
        <v>18</v>
      </c>
      <c r="D599" s="6">
        <v>6</v>
      </c>
      <c r="E599" s="5">
        <v>50000</v>
      </c>
      <c r="F599" t="s">
        <v>820</v>
      </c>
      <c r="G599" s="7">
        <v>46161</v>
      </c>
      <c r="H599" s="5">
        <v>0</v>
      </c>
      <c r="I59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599" t="b">
        <f>((ISNUMBER(Table3[[#This Row],[Quantity]]) )* (Table3[[#This Row],[Quantity]]&gt;0))=1</f>
        <v>1</v>
      </c>
      <c r="K599" t="b">
        <f>((Table3[[#This Row],[Quantity]]&gt;=Table3[[#This Row],[Return Qty]])*(ISNUMBER(Table3[[#This Row],[Quantity]])))=1</f>
        <v>1</v>
      </c>
      <c r="L599" t="b">
        <f>ISNUMBER(Table3[[#This Row],[Unit Price]])</f>
        <v>1</v>
      </c>
      <c r="M599" t="b">
        <f>ISNUMBER(Table3[[#This Row],[Order Date]])</f>
        <v>1</v>
      </c>
      <c r="N599">
        <f>IFERROR(IF(Table3[[#This Row],[Quantity]]*Table3[[#This Row],[Unit Price]]&lt;0, "N/A", Table3[[#This Row],[Quantity]]*Table3[[#This Row],[Unit Price]]), "N/A")</f>
        <v>300000</v>
      </c>
      <c r="O599">
        <f>IFERROR(Table3[[#This Row],[Unit Price]]*Table3[[#This Row],[Return Qty]], "N/A")</f>
        <v>0</v>
      </c>
      <c r="P599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59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00" spans="1:17" x14ac:dyDescent="0.2">
      <c r="A600" t="s">
        <v>956</v>
      </c>
      <c r="B600" t="s">
        <v>25</v>
      </c>
      <c r="C600" t="s">
        <v>18</v>
      </c>
      <c r="D600" s="6">
        <v>6</v>
      </c>
      <c r="E600" s="5">
        <v>50000</v>
      </c>
      <c r="F600" t="s">
        <v>949</v>
      </c>
      <c r="G600" s="7">
        <v>46161</v>
      </c>
      <c r="H600" s="5">
        <v>5</v>
      </c>
      <c r="I60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00" t="b">
        <f>((ISNUMBER(Table3[[#This Row],[Quantity]]) )* (Table3[[#This Row],[Quantity]]&gt;0))=1</f>
        <v>1</v>
      </c>
      <c r="K600" t="b">
        <f>((Table3[[#This Row],[Quantity]]&gt;=Table3[[#This Row],[Return Qty]])*(ISNUMBER(Table3[[#This Row],[Quantity]])))=1</f>
        <v>1</v>
      </c>
      <c r="L600" t="b">
        <f>ISNUMBER(Table3[[#This Row],[Unit Price]])</f>
        <v>1</v>
      </c>
      <c r="M600" t="b">
        <f>ISNUMBER(Table3[[#This Row],[Order Date]])</f>
        <v>1</v>
      </c>
      <c r="N600">
        <f>IFERROR(IF(Table3[[#This Row],[Quantity]]*Table3[[#This Row],[Unit Price]]&lt;0, "N/A", Table3[[#This Row],[Quantity]]*Table3[[#This Row],[Unit Price]]), "N/A")</f>
        <v>300000</v>
      </c>
      <c r="O600">
        <f>IFERROR(Table3[[#This Row],[Unit Price]]*Table3[[#This Row],[Return Qty]], "N/A")</f>
        <v>250000</v>
      </c>
      <c r="P600">
        <f>IFERROR(IF((Table3[[#This Row],[Revenue before return]]-Table3[[#This Row],[Amount of order  returned]])&lt;0, "N/A", Table3[[#This Row],[Revenue before return]]-Table3[[#This Row],[Amount of order  returned]]), "N/A")</f>
        <v>50000</v>
      </c>
      <c r="Q60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01" spans="1:17" x14ac:dyDescent="0.2">
      <c r="A601" t="s">
        <v>957</v>
      </c>
      <c r="B601" t="s">
        <v>25</v>
      </c>
      <c r="C601" t="s">
        <v>26</v>
      </c>
      <c r="D601" s="6">
        <v>6</v>
      </c>
      <c r="E601" s="5">
        <v>20000</v>
      </c>
      <c r="F601" t="s">
        <v>333</v>
      </c>
      <c r="G601" s="7">
        <v>46090</v>
      </c>
      <c r="H601" s="5">
        <v>0</v>
      </c>
      <c r="I60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01" t="b">
        <f>((ISNUMBER(Table3[[#This Row],[Quantity]]) )* (Table3[[#This Row],[Quantity]]&gt;0))=1</f>
        <v>1</v>
      </c>
      <c r="K601" t="b">
        <f>((Table3[[#This Row],[Quantity]]&gt;=Table3[[#This Row],[Return Qty]])*(ISNUMBER(Table3[[#This Row],[Quantity]])))=1</f>
        <v>1</v>
      </c>
      <c r="L601" t="b">
        <f>ISNUMBER(Table3[[#This Row],[Unit Price]])</f>
        <v>1</v>
      </c>
      <c r="M601" t="b">
        <f>ISNUMBER(Table3[[#This Row],[Order Date]])</f>
        <v>1</v>
      </c>
      <c r="N601">
        <f>IFERROR(IF(Table3[[#This Row],[Quantity]]*Table3[[#This Row],[Unit Price]]&lt;0, "N/A", Table3[[#This Row],[Quantity]]*Table3[[#This Row],[Unit Price]]), "N/A")</f>
        <v>120000</v>
      </c>
      <c r="O601">
        <f>IFERROR(Table3[[#This Row],[Unit Price]]*Table3[[#This Row],[Return Qty]], "N/A")</f>
        <v>0</v>
      </c>
      <c r="P601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60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02" spans="1:17" x14ac:dyDescent="0.2">
      <c r="A602" t="s">
        <v>958</v>
      </c>
      <c r="B602" t="s">
        <v>9</v>
      </c>
      <c r="C602" t="s">
        <v>10</v>
      </c>
      <c r="D602" s="6">
        <v>8</v>
      </c>
      <c r="E602" s="5">
        <v>15000</v>
      </c>
      <c r="F602" t="s">
        <v>137</v>
      </c>
      <c r="G602" s="7">
        <v>46094</v>
      </c>
      <c r="H602" s="5">
        <v>0</v>
      </c>
      <c r="I60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02" t="b">
        <f>((ISNUMBER(Table3[[#This Row],[Quantity]]) )* (Table3[[#This Row],[Quantity]]&gt;0))=1</f>
        <v>1</v>
      </c>
      <c r="K602" t="b">
        <f>((Table3[[#This Row],[Quantity]]&gt;=Table3[[#This Row],[Return Qty]])*(ISNUMBER(Table3[[#This Row],[Quantity]])))=1</f>
        <v>1</v>
      </c>
      <c r="L602" t="b">
        <f>ISNUMBER(Table3[[#This Row],[Unit Price]])</f>
        <v>1</v>
      </c>
      <c r="M602" t="b">
        <f>ISNUMBER(Table3[[#This Row],[Order Date]])</f>
        <v>1</v>
      </c>
      <c r="N602">
        <f>IFERROR(IF(Table3[[#This Row],[Quantity]]*Table3[[#This Row],[Unit Price]]&lt;0, "N/A", Table3[[#This Row],[Quantity]]*Table3[[#This Row],[Unit Price]]), "N/A")</f>
        <v>120000</v>
      </c>
      <c r="O602">
        <f>IFERROR(Table3[[#This Row],[Unit Price]]*Table3[[#This Row],[Return Qty]], "N/A")</f>
        <v>0</v>
      </c>
      <c r="P602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60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03" spans="1:17" x14ac:dyDescent="0.2">
      <c r="A603" t="s">
        <v>959</v>
      </c>
      <c r="B603" t="s">
        <v>14</v>
      </c>
      <c r="C603" t="s">
        <v>22</v>
      </c>
      <c r="D603" s="6">
        <v>9</v>
      </c>
      <c r="E603" s="5">
        <v>35000</v>
      </c>
      <c r="F603" t="s">
        <v>640</v>
      </c>
      <c r="G603" s="7">
        <v>46069</v>
      </c>
      <c r="H603" s="5">
        <v>0</v>
      </c>
      <c r="I60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03" t="b">
        <f>((ISNUMBER(Table3[[#This Row],[Quantity]]) )* (Table3[[#This Row],[Quantity]]&gt;0))=1</f>
        <v>1</v>
      </c>
      <c r="K603" t="b">
        <f>((Table3[[#This Row],[Quantity]]&gt;=Table3[[#This Row],[Return Qty]])*(ISNUMBER(Table3[[#This Row],[Quantity]])))=1</f>
        <v>1</v>
      </c>
      <c r="L603" t="b">
        <f>ISNUMBER(Table3[[#This Row],[Unit Price]])</f>
        <v>1</v>
      </c>
      <c r="M603" t="b">
        <f>ISNUMBER(Table3[[#This Row],[Order Date]])</f>
        <v>1</v>
      </c>
      <c r="N603">
        <f>IFERROR(IF(Table3[[#This Row],[Quantity]]*Table3[[#This Row],[Unit Price]]&lt;0, "N/A", Table3[[#This Row],[Quantity]]*Table3[[#This Row],[Unit Price]]), "N/A")</f>
        <v>315000</v>
      </c>
      <c r="O603">
        <f>IFERROR(Table3[[#This Row],[Unit Price]]*Table3[[#This Row],[Return Qty]], "N/A")</f>
        <v>0</v>
      </c>
      <c r="P603">
        <f>IFERROR(IF((Table3[[#This Row],[Revenue before return]]-Table3[[#This Row],[Amount of order  returned]])&lt;0, "N/A", Table3[[#This Row],[Revenue before return]]-Table3[[#This Row],[Amount of order  returned]]), "N/A")</f>
        <v>315000</v>
      </c>
      <c r="Q60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04" spans="1:17" x14ac:dyDescent="0.2">
      <c r="A604" t="s">
        <v>960</v>
      </c>
      <c r="B604" t="s">
        <v>25</v>
      </c>
      <c r="C604" t="s">
        <v>22</v>
      </c>
      <c r="D604" s="6">
        <v>9</v>
      </c>
      <c r="E604" s="5">
        <v>35000</v>
      </c>
      <c r="F604" t="s">
        <v>101</v>
      </c>
      <c r="G604" s="7">
        <v>46036</v>
      </c>
      <c r="H604" s="5">
        <v>2</v>
      </c>
      <c r="I60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04" t="b">
        <f>((ISNUMBER(Table3[[#This Row],[Quantity]]) )* (Table3[[#This Row],[Quantity]]&gt;0))=1</f>
        <v>1</v>
      </c>
      <c r="K604" t="b">
        <f>((Table3[[#This Row],[Quantity]]&gt;=Table3[[#This Row],[Return Qty]])*(ISNUMBER(Table3[[#This Row],[Quantity]])))=1</f>
        <v>1</v>
      </c>
      <c r="L604" t="b">
        <f>ISNUMBER(Table3[[#This Row],[Unit Price]])</f>
        <v>1</v>
      </c>
      <c r="M604" t="b">
        <f>ISNUMBER(Table3[[#This Row],[Order Date]])</f>
        <v>1</v>
      </c>
      <c r="N604">
        <f>IFERROR(IF(Table3[[#This Row],[Quantity]]*Table3[[#This Row],[Unit Price]]&lt;0, "N/A", Table3[[#This Row],[Quantity]]*Table3[[#This Row],[Unit Price]]), "N/A")</f>
        <v>315000</v>
      </c>
      <c r="O604">
        <f>IFERROR(Table3[[#This Row],[Unit Price]]*Table3[[#This Row],[Return Qty]], "N/A")</f>
        <v>70000</v>
      </c>
      <c r="P604">
        <f>IFERROR(IF((Table3[[#This Row],[Revenue before return]]-Table3[[#This Row],[Amount of order  returned]])&lt;0, "N/A", Table3[[#This Row],[Revenue before return]]-Table3[[#This Row],[Amount of order  returned]]), "N/A")</f>
        <v>245000</v>
      </c>
      <c r="Q60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05" spans="1:17" x14ac:dyDescent="0.2">
      <c r="A605" t="s">
        <v>961</v>
      </c>
      <c r="B605" t="s">
        <v>9</v>
      </c>
      <c r="C605" t="s">
        <v>39</v>
      </c>
      <c r="D605" s="6">
        <v>17</v>
      </c>
      <c r="E605" s="5">
        <v>12000</v>
      </c>
      <c r="F605" t="s">
        <v>677</v>
      </c>
      <c r="G605" s="7">
        <v>46069</v>
      </c>
      <c r="H605" s="5">
        <v>0</v>
      </c>
      <c r="I60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05" t="b">
        <f>((ISNUMBER(Table3[[#This Row],[Quantity]]) )* (Table3[[#This Row],[Quantity]]&gt;0))=1</f>
        <v>1</v>
      </c>
      <c r="K605" t="b">
        <f>((Table3[[#This Row],[Quantity]]&gt;=Table3[[#This Row],[Return Qty]])*(ISNUMBER(Table3[[#This Row],[Quantity]])))=1</f>
        <v>1</v>
      </c>
      <c r="L605" t="b">
        <f>ISNUMBER(Table3[[#This Row],[Unit Price]])</f>
        <v>1</v>
      </c>
      <c r="M605" t="b">
        <f>ISNUMBER(Table3[[#This Row],[Order Date]])</f>
        <v>1</v>
      </c>
      <c r="N605">
        <f>IFERROR(IF(Table3[[#This Row],[Quantity]]*Table3[[#This Row],[Unit Price]]&lt;0, "N/A", Table3[[#This Row],[Quantity]]*Table3[[#This Row],[Unit Price]]), "N/A")</f>
        <v>204000</v>
      </c>
      <c r="O605">
        <f>IFERROR(Table3[[#This Row],[Unit Price]]*Table3[[#This Row],[Return Qty]], "N/A")</f>
        <v>0</v>
      </c>
      <c r="P605">
        <f>IFERROR(IF((Table3[[#This Row],[Revenue before return]]-Table3[[#This Row],[Amount of order  returned]])&lt;0, "N/A", Table3[[#This Row],[Revenue before return]]-Table3[[#This Row],[Amount of order  returned]]), "N/A")</f>
        <v>204000</v>
      </c>
      <c r="Q60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06" spans="1:17" x14ac:dyDescent="0.2">
      <c r="A606" t="s">
        <v>962</v>
      </c>
      <c r="B606" t="s">
        <v>14</v>
      </c>
      <c r="C606" t="s">
        <v>32</v>
      </c>
      <c r="D606" s="6">
        <v>9</v>
      </c>
      <c r="E606" s="5">
        <v>8000</v>
      </c>
      <c r="F606" t="s">
        <v>484</v>
      </c>
      <c r="G606" s="7">
        <v>46035</v>
      </c>
      <c r="H606" s="5">
        <v>0</v>
      </c>
      <c r="I60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06" t="b">
        <f>((ISNUMBER(Table3[[#This Row],[Quantity]]) )* (Table3[[#This Row],[Quantity]]&gt;0))=1</f>
        <v>1</v>
      </c>
      <c r="K606" t="b">
        <f>((Table3[[#This Row],[Quantity]]&gt;=Table3[[#This Row],[Return Qty]])*(ISNUMBER(Table3[[#This Row],[Quantity]])))=1</f>
        <v>1</v>
      </c>
      <c r="L606" t="b">
        <f>ISNUMBER(Table3[[#This Row],[Unit Price]])</f>
        <v>1</v>
      </c>
      <c r="M606" t="b">
        <f>ISNUMBER(Table3[[#This Row],[Order Date]])</f>
        <v>1</v>
      </c>
      <c r="N606">
        <f>IFERROR(IF(Table3[[#This Row],[Quantity]]*Table3[[#This Row],[Unit Price]]&lt;0, "N/A", Table3[[#This Row],[Quantity]]*Table3[[#This Row],[Unit Price]]), "N/A")</f>
        <v>72000</v>
      </c>
      <c r="O606">
        <f>IFERROR(Table3[[#This Row],[Unit Price]]*Table3[[#This Row],[Return Qty]], "N/A")</f>
        <v>0</v>
      </c>
      <c r="P606">
        <f>IFERROR(IF((Table3[[#This Row],[Revenue before return]]-Table3[[#This Row],[Amount of order  returned]])&lt;0, "N/A", Table3[[#This Row],[Revenue before return]]-Table3[[#This Row],[Amount of order  returned]]), "N/A")</f>
        <v>72000</v>
      </c>
      <c r="Q60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07" spans="1:17" x14ac:dyDescent="0.2">
      <c r="A607" t="s">
        <v>963</v>
      </c>
      <c r="B607" t="s">
        <v>9</v>
      </c>
      <c r="C607" t="s">
        <v>32</v>
      </c>
      <c r="D607" s="6">
        <v>5</v>
      </c>
      <c r="E607" s="5">
        <v>8000</v>
      </c>
      <c r="F607" t="s">
        <v>964</v>
      </c>
      <c r="G607" s="7">
        <v>46153</v>
      </c>
      <c r="H607" s="5">
        <v>0</v>
      </c>
      <c r="I60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07" t="b">
        <f>((ISNUMBER(Table3[[#This Row],[Quantity]]) )* (Table3[[#This Row],[Quantity]]&gt;0))=1</f>
        <v>1</v>
      </c>
      <c r="K607" t="b">
        <f>((Table3[[#This Row],[Quantity]]&gt;=Table3[[#This Row],[Return Qty]])*(ISNUMBER(Table3[[#This Row],[Quantity]])))=1</f>
        <v>1</v>
      </c>
      <c r="L607" t="b">
        <f>ISNUMBER(Table3[[#This Row],[Unit Price]])</f>
        <v>1</v>
      </c>
      <c r="M607" t="b">
        <f>ISNUMBER(Table3[[#This Row],[Order Date]])</f>
        <v>1</v>
      </c>
      <c r="N607">
        <f>IFERROR(IF(Table3[[#This Row],[Quantity]]*Table3[[#This Row],[Unit Price]]&lt;0, "N/A", Table3[[#This Row],[Quantity]]*Table3[[#This Row],[Unit Price]]), "N/A")</f>
        <v>40000</v>
      </c>
      <c r="O607">
        <f>IFERROR(Table3[[#This Row],[Unit Price]]*Table3[[#This Row],[Return Qty]], "N/A")</f>
        <v>0</v>
      </c>
      <c r="P607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60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08" spans="1:17" x14ac:dyDescent="0.2">
      <c r="A608" t="s">
        <v>965</v>
      </c>
      <c r="B608" t="s">
        <v>679</v>
      </c>
      <c r="C608" t="s">
        <v>26</v>
      </c>
      <c r="D608" s="6">
        <v>9</v>
      </c>
      <c r="E608" s="5">
        <v>20000</v>
      </c>
      <c r="F608" t="s">
        <v>595</v>
      </c>
      <c r="G608" s="7">
        <v>46141</v>
      </c>
      <c r="H608" s="5">
        <v>0</v>
      </c>
      <c r="I60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0</v>
      </c>
      <c r="J608" t="b">
        <f>((ISNUMBER(Table3[[#This Row],[Quantity]]) )* (Table3[[#This Row],[Quantity]]&gt;0))=1</f>
        <v>1</v>
      </c>
      <c r="K608" t="b">
        <f>((Table3[[#This Row],[Quantity]]&gt;=Table3[[#This Row],[Return Qty]])*(ISNUMBER(Table3[[#This Row],[Quantity]])))=1</f>
        <v>1</v>
      </c>
      <c r="L608" t="b">
        <f>ISNUMBER(Table3[[#This Row],[Unit Price]])</f>
        <v>1</v>
      </c>
      <c r="M608" t="b">
        <f>ISNUMBER(Table3[[#This Row],[Order Date]])</f>
        <v>1</v>
      </c>
      <c r="N608">
        <f>IFERROR(IF(Table3[[#This Row],[Quantity]]*Table3[[#This Row],[Unit Price]]&lt;0, "N/A", Table3[[#This Row],[Quantity]]*Table3[[#This Row],[Unit Price]]), "N/A")</f>
        <v>180000</v>
      </c>
      <c r="O608">
        <f>IFERROR(Table3[[#This Row],[Unit Price]]*Table3[[#This Row],[Return Qty]], "N/A")</f>
        <v>0</v>
      </c>
      <c r="P608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60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609" spans="1:17" x14ac:dyDescent="0.2">
      <c r="A609" t="s">
        <v>966</v>
      </c>
      <c r="B609" t="s">
        <v>136</v>
      </c>
      <c r="C609" t="s">
        <v>32</v>
      </c>
      <c r="D609" s="6">
        <v>25</v>
      </c>
      <c r="E609" s="5">
        <v>8000</v>
      </c>
      <c r="F609" t="s">
        <v>268</v>
      </c>
      <c r="G609" s="7">
        <v>46082</v>
      </c>
      <c r="H609" s="5">
        <v>0</v>
      </c>
      <c r="I60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09" t="b">
        <f>((ISNUMBER(Table3[[#This Row],[Quantity]]) )* (Table3[[#This Row],[Quantity]]&gt;0))=1</f>
        <v>1</v>
      </c>
      <c r="K609" t="b">
        <f>((Table3[[#This Row],[Quantity]]&gt;=Table3[[#This Row],[Return Qty]])*(ISNUMBER(Table3[[#This Row],[Quantity]])))=1</f>
        <v>1</v>
      </c>
      <c r="L609" t="b">
        <f>ISNUMBER(Table3[[#This Row],[Unit Price]])</f>
        <v>1</v>
      </c>
      <c r="M609" t="b">
        <f>ISNUMBER(Table3[[#This Row],[Order Date]])</f>
        <v>1</v>
      </c>
      <c r="N609">
        <f>IFERROR(IF(Table3[[#This Row],[Quantity]]*Table3[[#This Row],[Unit Price]]&lt;0, "N/A", Table3[[#This Row],[Quantity]]*Table3[[#This Row],[Unit Price]]), "N/A")</f>
        <v>200000</v>
      </c>
      <c r="O609">
        <f>IFERROR(Table3[[#This Row],[Unit Price]]*Table3[[#This Row],[Return Qty]], "N/A")</f>
        <v>0</v>
      </c>
      <c r="P609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60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10" spans="1:17" x14ac:dyDescent="0.2">
      <c r="A610" t="s">
        <v>967</v>
      </c>
      <c r="B610" t="s">
        <v>21</v>
      </c>
      <c r="C610" t="s">
        <v>70</v>
      </c>
      <c r="D610" s="6">
        <v>10</v>
      </c>
      <c r="E610" s="5">
        <v>28000</v>
      </c>
      <c r="F610" t="s">
        <v>193</v>
      </c>
      <c r="G610" s="7">
        <v>46156</v>
      </c>
      <c r="H610" s="5">
        <v>0</v>
      </c>
      <c r="I61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10" t="b">
        <f>((ISNUMBER(Table3[[#This Row],[Quantity]]) )* (Table3[[#This Row],[Quantity]]&gt;0))=1</f>
        <v>1</v>
      </c>
      <c r="K610" t="b">
        <f>((Table3[[#This Row],[Quantity]]&gt;=Table3[[#This Row],[Return Qty]])*(ISNUMBER(Table3[[#This Row],[Quantity]])))=1</f>
        <v>1</v>
      </c>
      <c r="L610" t="b">
        <f>ISNUMBER(Table3[[#This Row],[Unit Price]])</f>
        <v>1</v>
      </c>
      <c r="M610" t="b">
        <f>ISNUMBER(Table3[[#This Row],[Order Date]])</f>
        <v>1</v>
      </c>
      <c r="N610">
        <f>IFERROR(IF(Table3[[#This Row],[Quantity]]*Table3[[#This Row],[Unit Price]]&lt;0, "N/A", Table3[[#This Row],[Quantity]]*Table3[[#This Row],[Unit Price]]), "N/A")</f>
        <v>280000</v>
      </c>
      <c r="O610">
        <f>IFERROR(Table3[[#This Row],[Unit Price]]*Table3[[#This Row],[Return Qty]], "N/A")</f>
        <v>0</v>
      </c>
      <c r="P610">
        <f>IFERROR(IF((Table3[[#This Row],[Revenue before return]]-Table3[[#This Row],[Amount of order  returned]])&lt;0, "N/A", Table3[[#This Row],[Revenue before return]]-Table3[[#This Row],[Amount of order  returned]]), "N/A")</f>
        <v>280000</v>
      </c>
      <c r="Q61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11" spans="1:17" x14ac:dyDescent="0.2">
      <c r="A611" t="s">
        <v>968</v>
      </c>
      <c r="B611" t="s">
        <v>25</v>
      </c>
      <c r="C611" t="s">
        <v>45</v>
      </c>
      <c r="D611" s="6">
        <v>16</v>
      </c>
      <c r="E611" s="5">
        <v>20000</v>
      </c>
      <c r="F611" t="s">
        <v>274</v>
      </c>
      <c r="G611" s="7">
        <v>46201</v>
      </c>
      <c r="H611" s="5">
        <v>4</v>
      </c>
      <c r="I61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11" t="b">
        <f>((ISNUMBER(Table3[[#This Row],[Quantity]]) )* (Table3[[#This Row],[Quantity]]&gt;0))=1</f>
        <v>1</v>
      </c>
      <c r="K611" t="b">
        <f>((Table3[[#This Row],[Quantity]]&gt;=Table3[[#This Row],[Return Qty]])*(ISNUMBER(Table3[[#This Row],[Quantity]])))=1</f>
        <v>1</v>
      </c>
      <c r="L611" t="b">
        <f>ISNUMBER(Table3[[#This Row],[Unit Price]])</f>
        <v>1</v>
      </c>
      <c r="M611" t="b">
        <f>ISNUMBER(Table3[[#This Row],[Order Date]])</f>
        <v>1</v>
      </c>
      <c r="N611">
        <f>IFERROR(IF(Table3[[#This Row],[Quantity]]*Table3[[#This Row],[Unit Price]]&lt;0, "N/A", Table3[[#This Row],[Quantity]]*Table3[[#This Row],[Unit Price]]), "N/A")</f>
        <v>320000</v>
      </c>
      <c r="O611">
        <f>IFERROR(Table3[[#This Row],[Unit Price]]*Table3[[#This Row],[Return Qty]], "N/A")</f>
        <v>80000</v>
      </c>
      <c r="P611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61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12" spans="1:17" x14ac:dyDescent="0.2">
      <c r="A612" t="s">
        <v>969</v>
      </c>
      <c r="B612" t="s">
        <v>9</v>
      </c>
      <c r="C612" t="s">
        <v>70</v>
      </c>
      <c r="D612" s="6">
        <v>7</v>
      </c>
      <c r="E612" s="5">
        <v>28000</v>
      </c>
      <c r="F612" t="s">
        <v>891</v>
      </c>
      <c r="G612" s="7">
        <v>46075</v>
      </c>
      <c r="H612" s="5">
        <v>0</v>
      </c>
      <c r="I61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12" t="b">
        <f>((ISNUMBER(Table3[[#This Row],[Quantity]]) )* (Table3[[#This Row],[Quantity]]&gt;0))=1</f>
        <v>1</v>
      </c>
      <c r="K612" t="b">
        <f>((Table3[[#This Row],[Quantity]]&gt;=Table3[[#This Row],[Return Qty]])*(ISNUMBER(Table3[[#This Row],[Quantity]])))=1</f>
        <v>1</v>
      </c>
      <c r="L612" t="b">
        <f>ISNUMBER(Table3[[#This Row],[Unit Price]])</f>
        <v>1</v>
      </c>
      <c r="M612" t="b">
        <f>ISNUMBER(Table3[[#This Row],[Order Date]])</f>
        <v>1</v>
      </c>
      <c r="N612">
        <f>IFERROR(IF(Table3[[#This Row],[Quantity]]*Table3[[#This Row],[Unit Price]]&lt;0, "N/A", Table3[[#This Row],[Quantity]]*Table3[[#This Row],[Unit Price]]), "N/A")</f>
        <v>196000</v>
      </c>
      <c r="O612">
        <f>IFERROR(Table3[[#This Row],[Unit Price]]*Table3[[#This Row],[Return Qty]], "N/A")</f>
        <v>0</v>
      </c>
      <c r="P612">
        <f>IFERROR(IF((Table3[[#This Row],[Revenue before return]]-Table3[[#This Row],[Amount of order  returned]])&lt;0, "N/A", Table3[[#This Row],[Revenue before return]]-Table3[[#This Row],[Amount of order  returned]]), "N/A")</f>
        <v>196000</v>
      </c>
      <c r="Q61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13" spans="1:17" x14ac:dyDescent="0.2">
      <c r="A613" t="s">
        <v>970</v>
      </c>
      <c r="B613" t="s">
        <v>21</v>
      </c>
      <c r="C613" t="s">
        <v>32</v>
      </c>
      <c r="D613" s="6">
        <v>12</v>
      </c>
      <c r="E613" s="5">
        <v>8000</v>
      </c>
      <c r="F613" t="s">
        <v>616</v>
      </c>
      <c r="G613" s="7">
        <v>46044</v>
      </c>
      <c r="H613" s="5">
        <v>5</v>
      </c>
      <c r="I61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13" t="b">
        <f>((ISNUMBER(Table3[[#This Row],[Quantity]]) )* (Table3[[#This Row],[Quantity]]&gt;0))=1</f>
        <v>1</v>
      </c>
      <c r="K613" t="b">
        <f>((Table3[[#This Row],[Quantity]]&gt;=Table3[[#This Row],[Return Qty]])*(ISNUMBER(Table3[[#This Row],[Quantity]])))=1</f>
        <v>1</v>
      </c>
      <c r="L613" t="b">
        <f>ISNUMBER(Table3[[#This Row],[Unit Price]])</f>
        <v>1</v>
      </c>
      <c r="M613" t="b">
        <f>ISNUMBER(Table3[[#This Row],[Order Date]])</f>
        <v>1</v>
      </c>
      <c r="N613">
        <f>IFERROR(IF(Table3[[#This Row],[Quantity]]*Table3[[#This Row],[Unit Price]]&lt;0, "N/A", Table3[[#This Row],[Quantity]]*Table3[[#This Row],[Unit Price]]), "N/A")</f>
        <v>96000</v>
      </c>
      <c r="O613">
        <f>IFERROR(Table3[[#This Row],[Unit Price]]*Table3[[#This Row],[Return Qty]], "N/A")</f>
        <v>40000</v>
      </c>
      <c r="P613">
        <f>IFERROR(IF((Table3[[#This Row],[Revenue before return]]-Table3[[#This Row],[Amount of order  returned]])&lt;0, "N/A", Table3[[#This Row],[Revenue before return]]-Table3[[#This Row],[Amount of order  returned]]), "N/A")</f>
        <v>56000</v>
      </c>
      <c r="Q61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14" spans="1:17" x14ac:dyDescent="0.2">
      <c r="A614" t="s">
        <v>971</v>
      </c>
      <c r="B614" t="s">
        <v>21</v>
      </c>
      <c r="C614" t="s">
        <v>39</v>
      </c>
      <c r="D614" s="6">
        <v>6</v>
      </c>
      <c r="E614" s="5">
        <v>12000</v>
      </c>
      <c r="F614" t="s">
        <v>282</v>
      </c>
      <c r="G614" s="7">
        <v>46097</v>
      </c>
      <c r="H614" s="5">
        <v>0</v>
      </c>
      <c r="I61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14" t="b">
        <f>((ISNUMBER(Table3[[#This Row],[Quantity]]) )* (Table3[[#This Row],[Quantity]]&gt;0))=1</f>
        <v>1</v>
      </c>
      <c r="K614" t="b">
        <f>((Table3[[#This Row],[Quantity]]&gt;=Table3[[#This Row],[Return Qty]])*(ISNUMBER(Table3[[#This Row],[Quantity]])))=1</f>
        <v>1</v>
      </c>
      <c r="L614" t="b">
        <f>ISNUMBER(Table3[[#This Row],[Unit Price]])</f>
        <v>1</v>
      </c>
      <c r="M614" t="b">
        <f>ISNUMBER(Table3[[#This Row],[Order Date]])</f>
        <v>1</v>
      </c>
      <c r="N614">
        <f>IFERROR(IF(Table3[[#This Row],[Quantity]]*Table3[[#This Row],[Unit Price]]&lt;0, "N/A", Table3[[#This Row],[Quantity]]*Table3[[#This Row],[Unit Price]]), "N/A")</f>
        <v>72000</v>
      </c>
      <c r="O614">
        <f>IFERROR(Table3[[#This Row],[Unit Price]]*Table3[[#This Row],[Return Qty]], "N/A")</f>
        <v>0</v>
      </c>
      <c r="P614">
        <f>IFERROR(IF((Table3[[#This Row],[Revenue before return]]-Table3[[#This Row],[Amount of order  returned]])&lt;0, "N/A", Table3[[#This Row],[Revenue before return]]-Table3[[#This Row],[Amount of order  returned]]), "N/A")</f>
        <v>72000</v>
      </c>
      <c r="Q61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15" spans="1:17" x14ac:dyDescent="0.2">
      <c r="A615" t="s">
        <v>972</v>
      </c>
      <c r="B615" t="s">
        <v>21</v>
      </c>
      <c r="C615" t="s">
        <v>70</v>
      </c>
      <c r="D615" s="6">
        <v>4</v>
      </c>
      <c r="E615" s="5">
        <v>28000</v>
      </c>
      <c r="F615" t="s">
        <v>789</v>
      </c>
      <c r="G615" s="7">
        <v>46184</v>
      </c>
      <c r="H615" s="5">
        <v>0</v>
      </c>
      <c r="I61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15" t="b">
        <f>((ISNUMBER(Table3[[#This Row],[Quantity]]) )* (Table3[[#This Row],[Quantity]]&gt;0))=1</f>
        <v>1</v>
      </c>
      <c r="K615" t="b">
        <f>((Table3[[#This Row],[Quantity]]&gt;=Table3[[#This Row],[Return Qty]])*(ISNUMBER(Table3[[#This Row],[Quantity]])))=1</f>
        <v>1</v>
      </c>
      <c r="L615" t="b">
        <f>ISNUMBER(Table3[[#This Row],[Unit Price]])</f>
        <v>1</v>
      </c>
      <c r="M615" t="b">
        <f>ISNUMBER(Table3[[#This Row],[Order Date]])</f>
        <v>1</v>
      </c>
      <c r="N615">
        <f>IFERROR(IF(Table3[[#This Row],[Quantity]]*Table3[[#This Row],[Unit Price]]&lt;0, "N/A", Table3[[#This Row],[Quantity]]*Table3[[#This Row],[Unit Price]]), "N/A")</f>
        <v>112000</v>
      </c>
      <c r="O615">
        <f>IFERROR(Table3[[#This Row],[Unit Price]]*Table3[[#This Row],[Return Qty]], "N/A")</f>
        <v>0</v>
      </c>
      <c r="P615">
        <f>IFERROR(IF((Table3[[#This Row],[Revenue before return]]-Table3[[#This Row],[Amount of order  returned]])&lt;0, "N/A", Table3[[#This Row],[Revenue before return]]-Table3[[#This Row],[Amount of order  returned]]), "N/A")</f>
        <v>112000</v>
      </c>
      <c r="Q61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16" spans="1:17" x14ac:dyDescent="0.2">
      <c r="A616" t="s">
        <v>973</v>
      </c>
      <c r="B616" t="s">
        <v>14</v>
      </c>
      <c r="C616" t="s">
        <v>26</v>
      </c>
      <c r="D616" s="6">
        <v>24</v>
      </c>
      <c r="E616" s="5">
        <v>20000</v>
      </c>
      <c r="F616" t="s">
        <v>416</v>
      </c>
      <c r="G616" s="7">
        <v>46148</v>
      </c>
      <c r="H616" s="5">
        <v>4</v>
      </c>
      <c r="I61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16" t="b">
        <f>((ISNUMBER(Table3[[#This Row],[Quantity]]) )* (Table3[[#This Row],[Quantity]]&gt;0))=1</f>
        <v>1</v>
      </c>
      <c r="K616" t="b">
        <f>((Table3[[#This Row],[Quantity]]&gt;=Table3[[#This Row],[Return Qty]])*(ISNUMBER(Table3[[#This Row],[Quantity]])))=1</f>
        <v>1</v>
      </c>
      <c r="L616" t="b">
        <f>ISNUMBER(Table3[[#This Row],[Unit Price]])</f>
        <v>1</v>
      </c>
      <c r="M616" t="b">
        <f>ISNUMBER(Table3[[#This Row],[Order Date]])</f>
        <v>1</v>
      </c>
      <c r="N616">
        <f>IFERROR(IF(Table3[[#This Row],[Quantity]]*Table3[[#This Row],[Unit Price]]&lt;0, "N/A", Table3[[#This Row],[Quantity]]*Table3[[#This Row],[Unit Price]]), "N/A")</f>
        <v>480000</v>
      </c>
      <c r="O616">
        <f>IFERROR(Table3[[#This Row],[Unit Price]]*Table3[[#This Row],[Return Qty]], "N/A")</f>
        <v>80000</v>
      </c>
      <c r="P616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61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17" spans="1:17" x14ac:dyDescent="0.2">
      <c r="A617" t="s">
        <v>974</v>
      </c>
      <c r="B617" t="s">
        <v>21</v>
      </c>
      <c r="C617" t="s">
        <v>10</v>
      </c>
      <c r="D617" s="6">
        <v>9</v>
      </c>
      <c r="E617" s="5">
        <v>15000</v>
      </c>
      <c r="F617" t="s">
        <v>975</v>
      </c>
      <c r="G617" s="7">
        <v>46046</v>
      </c>
      <c r="H617" s="5">
        <v>1</v>
      </c>
      <c r="I61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17" t="b">
        <f>((ISNUMBER(Table3[[#This Row],[Quantity]]) )* (Table3[[#This Row],[Quantity]]&gt;0))=1</f>
        <v>1</v>
      </c>
      <c r="K617" t="b">
        <f>((Table3[[#This Row],[Quantity]]&gt;=Table3[[#This Row],[Return Qty]])*(ISNUMBER(Table3[[#This Row],[Quantity]])))=1</f>
        <v>1</v>
      </c>
      <c r="L617" t="b">
        <f>ISNUMBER(Table3[[#This Row],[Unit Price]])</f>
        <v>1</v>
      </c>
      <c r="M617" t="b">
        <f>ISNUMBER(Table3[[#This Row],[Order Date]])</f>
        <v>1</v>
      </c>
      <c r="N617">
        <f>IFERROR(IF(Table3[[#This Row],[Quantity]]*Table3[[#This Row],[Unit Price]]&lt;0, "N/A", Table3[[#This Row],[Quantity]]*Table3[[#This Row],[Unit Price]]), "N/A")</f>
        <v>135000</v>
      </c>
      <c r="O617">
        <f>IFERROR(Table3[[#This Row],[Unit Price]]*Table3[[#This Row],[Return Qty]], "N/A")</f>
        <v>15000</v>
      </c>
      <c r="P617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61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18" spans="1:17" x14ac:dyDescent="0.2">
      <c r="A618" t="s">
        <v>976</v>
      </c>
      <c r="B618" t="s">
        <v>25</v>
      </c>
      <c r="C618" t="s">
        <v>18</v>
      </c>
      <c r="D618" s="6">
        <v>2</v>
      </c>
      <c r="E618" s="5">
        <v>50000</v>
      </c>
      <c r="F618" t="s">
        <v>381</v>
      </c>
      <c r="G618" s="7">
        <v>46161</v>
      </c>
      <c r="H618" s="5">
        <v>1</v>
      </c>
      <c r="I61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18" t="b">
        <f>((ISNUMBER(Table3[[#This Row],[Quantity]]) )* (Table3[[#This Row],[Quantity]]&gt;0))=1</f>
        <v>1</v>
      </c>
      <c r="K618" t="b">
        <f>((Table3[[#This Row],[Quantity]]&gt;=Table3[[#This Row],[Return Qty]])*(ISNUMBER(Table3[[#This Row],[Quantity]])))=1</f>
        <v>1</v>
      </c>
      <c r="L618" t="b">
        <f>ISNUMBER(Table3[[#This Row],[Unit Price]])</f>
        <v>1</v>
      </c>
      <c r="M618" t="b">
        <f>ISNUMBER(Table3[[#This Row],[Order Date]])</f>
        <v>1</v>
      </c>
      <c r="N618">
        <f>IFERROR(IF(Table3[[#This Row],[Quantity]]*Table3[[#This Row],[Unit Price]]&lt;0, "N/A", Table3[[#This Row],[Quantity]]*Table3[[#This Row],[Unit Price]]), "N/A")</f>
        <v>100000</v>
      </c>
      <c r="O618">
        <f>IFERROR(Table3[[#This Row],[Unit Price]]*Table3[[#This Row],[Return Qty]], "N/A")</f>
        <v>50000</v>
      </c>
      <c r="P618">
        <f>IFERROR(IF((Table3[[#This Row],[Revenue before return]]-Table3[[#This Row],[Amount of order  returned]])&lt;0, "N/A", Table3[[#This Row],[Revenue before return]]-Table3[[#This Row],[Amount of order  returned]]), "N/A")</f>
        <v>50000</v>
      </c>
      <c r="Q61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19" spans="1:17" x14ac:dyDescent="0.2">
      <c r="A619" t="s">
        <v>977</v>
      </c>
      <c r="B619" t="s">
        <v>21</v>
      </c>
      <c r="C619" t="s">
        <v>45</v>
      </c>
      <c r="D619" s="6">
        <v>25</v>
      </c>
      <c r="E619" s="5" t="s">
        <v>11</v>
      </c>
      <c r="F619" t="s">
        <v>525</v>
      </c>
      <c r="G619" s="7">
        <v>46179</v>
      </c>
      <c r="H619" s="5">
        <v>0</v>
      </c>
      <c r="I61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19" t="b">
        <f>((ISNUMBER(Table3[[#This Row],[Quantity]]) )* (Table3[[#This Row],[Quantity]]&gt;0))=1</f>
        <v>1</v>
      </c>
      <c r="K619" t="b">
        <f>((Table3[[#This Row],[Quantity]]&gt;=Table3[[#This Row],[Return Qty]])*(ISNUMBER(Table3[[#This Row],[Quantity]])))=1</f>
        <v>1</v>
      </c>
      <c r="L619" t="b">
        <f>ISNUMBER(Table3[[#This Row],[Unit Price]])</f>
        <v>0</v>
      </c>
      <c r="M619" t="b">
        <f>ISNUMBER(Table3[[#This Row],[Order Date]])</f>
        <v>1</v>
      </c>
      <c r="N619" t="str">
        <f>IFERROR(IF(Table3[[#This Row],[Quantity]]*Table3[[#This Row],[Unit Price]]&lt;0, "N/A", Table3[[#This Row],[Quantity]]*Table3[[#This Row],[Unit Price]]), "N/A")</f>
        <v>N/A</v>
      </c>
      <c r="O619" t="str">
        <f>IFERROR(Table3[[#This Row],[Unit Price]]*Table3[[#This Row],[Return Qty]], "N/A")</f>
        <v>N/A</v>
      </c>
      <c r="P619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61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620" spans="1:17" x14ac:dyDescent="0.2">
      <c r="A620" t="s">
        <v>978</v>
      </c>
      <c r="B620" t="s">
        <v>9</v>
      </c>
      <c r="C620" t="s">
        <v>26</v>
      </c>
      <c r="D620" s="6">
        <v>8</v>
      </c>
      <c r="E620" s="5">
        <v>20000</v>
      </c>
      <c r="F620" t="s">
        <v>541</v>
      </c>
      <c r="G620" s="7">
        <v>46105</v>
      </c>
      <c r="H620" s="5">
        <v>0</v>
      </c>
      <c r="I62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20" t="b">
        <f>((ISNUMBER(Table3[[#This Row],[Quantity]]) )* (Table3[[#This Row],[Quantity]]&gt;0))=1</f>
        <v>1</v>
      </c>
      <c r="K620" t="b">
        <f>((Table3[[#This Row],[Quantity]]&gt;=Table3[[#This Row],[Return Qty]])*(ISNUMBER(Table3[[#This Row],[Quantity]])))=1</f>
        <v>1</v>
      </c>
      <c r="L620" t="b">
        <f>ISNUMBER(Table3[[#This Row],[Unit Price]])</f>
        <v>1</v>
      </c>
      <c r="M620" t="b">
        <f>ISNUMBER(Table3[[#This Row],[Order Date]])</f>
        <v>1</v>
      </c>
      <c r="N620">
        <f>IFERROR(IF(Table3[[#This Row],[Quantity]]*Table3[[#This Row],[Unit Price]]&lt;0, "N/A", Table3[[#This Row],[Quantity]]*Table3[[#This Row],[Unit Price]]), "N/A")</f>
        <v>160000</v>
      </c>
      <c r="O620">
        <f>IFERROR(Table3[[#This Row],[Unit Price]]*Table3[[#This Row],[Return Qty]], "N/A")</f>
        <v>0</v>
      </c>
      <c r="P620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62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21" spans="1:17" x14ac:dyDescent="0.2">
      <c r="A621" t="s">
        <v>979</v>
      </c>
      <c r="B621" t="s">
        <v>25</v>
      </c>
      <c r="C621" t="s">
        <v>39</v>
      </c>
      <c r="D621" s="6">
        <v>1</v>
      </c>
      <c r="E621" s="5">
        <v>12000</v>
      </c>
      <c r="F621" t="s">
        <v>11</v>
      </c>
      <c r="G621" s="7">
        <v>46177</v>
      </c>
      <c r="H621" s="5">
        <v>0</v>
      </c>
      <c r="I62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21" t="b">
        <f>((ISNUMBER(Table3[[#This Row],[Quantity]]) )* (Table3[[#This Row],[Quantity]]&gt;0))=1</f>
        <v>1</v>
      </c>
      <c r="K621" t="b">
        <f>((Table3[[#This Row],[Quantity]]&gt;=Table3[[#This Row],[Return Qty]])*(ISNUMBER(Table3[[#This Row],[Quantity]])))=1</f>
        <v>1</v>
      </c>
      <c r="L621" t="b">
        <f>ISNUMBER(Table3[[#This Row],[Unit Price]])</f>
        <v>1</v>
      </c>
      <c r="M621" t="b">
        <f>ISNUMBER(Table3[[#This Row],[Order Date]])</f>
        <v>1</v>
      </c>
      <c r="N621">
        <f>IFERROR(IF(Table3[[#This Row],[Quantity]]*Table3[[#This Row],[Unit Price]]&lt;0, "N/A", Table3[[#This Row],[Quantity]]*Table3[[#This Row],[Unit Price]]), "N/A")</f>
        <v>12000</v>
      </c>
      <c r="O621">
        <f>IFERROR(Table3[[#This Row],[Unit Price]]*Table3[[#This Row],[Return Qty]], "N/A")</f>
        <v>0</v>
      </c>
      <c r="P621">
        <f>IFERROR(IF((Table3[[#This Row],[Revenue before return]]-Table3[[#This Row],[Amount of order  returned]])&lt;0, "N/A", Table3[[#This Row],[Revenue before return]]-Table3[[#This Row],[Amount of order  returned]]), "N/A")</f>
        <v>12000</v>
      </c>
      <c r="Q62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22" spans="1:17" x14ac:dyDescent="0.2">
      <c r="A622" t="s">
        <v>980</v>
      </c>
      <c r="B622" t="s">
        <v>14</v>
      </c>
      <c r="C622" t="s">
        <v>10</v>
      </c>
      <c r="D622" s="6">
        <v>23</v>
      </c>
      <c r="E622" s="5">
        <v>15000</v>
      </c>
      <c r="F622" t="s">
        <v>443</v>
      </c>
      <c r="G622" s="7">
        <v>46040</v>
      </c>
      <c r="H622" s="5">
        <v>0</v>
      </c>
      <c r="I62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22" t="b">
        <f>((ISNUMBER(Table3[[#This Row],[Quantity]]) )* (Table3[[#This Row],[Quantity]]&gt;0))=1</f>
        <v>1</v>
      </c>
      <c r="K622" t="b">
        <f>((Table3[[#This Row],[Quantity]]&gt;=Table3[[#This Row],[Return Qty]])*(ISNUMBER(Table3[[#This Row],[Quantity]])))=1</f>
        <v>1</v>
      </c>
      <c r="L622" t="b">
        <f>ISNUMBER(Table3[[#This Row],[Unit Price]])</f>
        <v>1</v>
      </c>
      <c r="M622" t="b">
        <f>ISNUMBER(Table3[[#This Row],[Order Date]])</f>
        <v>1</v>
      </c>
      <c r="N622">
        <f>IFERROR(IF(Table3[[#This Row],[Quantity]]*Table3[[#This Row],[Unit Price]]&lt;0, "N/A", Table3[[#This Row],[Quantity]]*Table3[[#This Row],[Unit Price]]), "N/A")</f>
        <v>345000</v>
      </c>
      <c r="O622">
        <f>IFERROR(Table3[[#This Row],[Unit Price]]*Table3[[#This Row],[Return Qty]], "N/A")</f>
        <v>0</v>
      </c>
      <c r="P622">
        <f>IFERROR(IF((Table3[[#This Row],[Revenue before return]]-Table3[[#This Row],[Amount of order  returned]])&lt;0, "N/A", Table3[[#This Row],[Revenue before return]]-Table3[[#This Row],[Amount of order  returned]]), "N/A")</f>
        <v>345000</v>
      </c>
      <c r="Q62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23" spans="1:17" x14ac:dyDescent="0.2">
      <c r="A623" t="s">
        <v>981</v>
      </c>
      <c r="B623" t="s">
        <v>9</v>
      </c>
      <c r="C623" t="s">
        <v>70</v>
      </c>
      <c r="D623" s="6">
        <v>2</v>
      </c>
      <c r="E623" s="5">
        <v>28000</v>
      </c>
      <c r="F623" t="s">
        <v>352</v>
      </c>
      <c r="G623" s="7">
        <v>46179</v>
      </c>
      <c r="H623" s="5">
        <v>0</v>
      </c>
      <c r="I62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23" t="b">
        <f>((ISNUMBER(Table3[[#This Row],[Quantity]]) )* (Table3[[#This Row],[Quantity]]&gt;0))=1</f>
        <v>1</v>
      </c>
      <c r="K623" t="b">
        <f>((Table3[[#This Row],[Quantity]]&gt;=Table3[[#This Row],[Return Qty]])*(ISNUMBER(Table3[[#This Row],[Quantity]])))=1</f>
        <v>1</v>
      </c>
      <c r="L623" t="b">
        <f>ISNUMBER(Table3[[#This Row],[Unit Price]])</f>
        <v>1</v>
      </c>
      <c r="M623" t="b">
        <f>ISNUMBER(Table3[[#This Row],[Order Date]])</f>
        <v>1</v>
      </c>
      <c r="N623">
        <f>IFERROR(IF(Table3[[#This Row],[Quantity]]*Table3[[#This Row],[Unit Price]]&lt;0, "N/A", Table3[[#This Row],[Quantity]]*Table3[[#This Row],[Unit Price]]), "N/A")</f>
        <v>56000</v>
      </c>
      <c r="O623">
        <f>IFERROR(Table3[[#This Row],[Unit Price]]*Table3[[#This Row],[Return Qty]], "N/A")</f>
        <v>0</v>
      </c>
      <c r="P623">
        <f>IFERROR(IF((Table3[[#This Row],[Revenue before return]]-Table3[[#This Row],[Amount of order  returned]])&lt;0, "N/A", Table3[[#This Row],[Revenue before return]]-Table3[[#This Row],[Amount of order  returned]]), "N/A")</f>
        <v>56000</v>
      </c>
      <c r="Q62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24" spans="1:17" x14ac:dyDescent="0.2">
      <c r="A624" t="s">
        <v>982</v>
      </c>
      <c r="B624" t="s">
        <v>21</v>
      </c>
      <c r="C624" t="s">
        <v>26</v>
      </c>
      <c r="D624" s="6">
        <v>15</v>
      </c>
      <c r="E624" s="5">
        <v>20000</v>
      </c>
      <c r="F624" t="s">
        <v>983</v>
      </c>
      <c r="G624" s="7">
        <v>46157</v>
      </c>
      <c r="H624" s="5">
        <v>0</v>
      </c>
      <c r="I62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24" t="b">
        <f>((ISNUMBER(Table3[[#This Row],[Quantity]]) )* (Table3[[#This Row],[Quantity]]&gt;0))=1</f>
        <v>1</v>
      </c>
      <c r="K624" t="b">
        <f>((Table3[[#This Row],[Quantity]]&gt;=Table3[[#This Row],[Return Qty]])*(ISNUMBER(Table3[[#This Row],[Quantity]])))=1</f>
        <v>1</v>
      </c>
      <c r="L624" t="b">
        <f>ISNUMBER(Table3[[#This Row],[Unit Price]])</f>
        <v>1</v>
      </c>
      <c r="M624" t="b">
        <f>ISNUMBER(Table3[[#This Row],[Order Date]])</f>
        <v>1</v>
      </c>
      <c r="N624">
        <f>IFERROR(IF(Table3[[#This Row],[Quantity]]*Table3[[#This Row],[Unit Price]]&lt;0, "N/A", Table3[[#This Row],[Quantity]]*Table3[[#This Row],[Unit Price]]), "N/A")</f>
        <v>300000</v>
      </c>
      <c r="O624">
        <f>IFERROR(Table3[[#This Row],[Unit Price]]*Table3[[#This Row],[Return Qty]], "N/A")</f>
        <v>0</v>
      </c>
      <c r="P624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62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25" spans="1:17" x14ac:dyDescent="0.2">
      <c r="A625" t="s">
        <v>984</v>
      </c>
      <c r="B625" t="s">
        <v>25</v>
      </c>
      <c r="C625" t="s">
        <v>18</v>
      </c>
      <c r="D625" s="6">
        <v>14</v>
      </c>
      <c r="E625" s="5">
        <v>50000</v>
      </c>
      <c r="F625" t="s">
        <v>113</v>
      </c>
      <c r="G625" s="7">
        <v>46134</v>
      </c>
      <c r="H625" s="5">
        <v>0</v>
      </c>
      <c r="I62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25" t="b">
        <f>((ISNUMBER(Table3[[#This Row],[Quantity]]) )* (Table3[[#This Row],[Quantity]]&gt;0))=1</f>
        <v>1</v>
      </c>
      <c r="K625" t="b">
        <f>((Table3[[#This Row],[Quantity]]&gt;=Table3[[#This Row],[Return Qty]])*(ISNUMBER(Table3[[#This Row],[Quantity]])))=1</f>
        <v>1</v>
      </c>
      <c r="L625" t="b">
        <f>ISNUMBER(Table3[[#This Row],[Unit Price]])</f>
        <v>1</v>
      </c>
      <c r="M625" t="b">
        <f>ISNUMBER(Table3[[#This Row],[Order Date]])</f>
        <v>1</v>
      </c>
      <c r="N625">
        <f>IFERROR(IF(Table3[[#This Row],[Quantity]]*Table3[[#This Row],[Unit Price]]&lt;0, "N/A", Table3[[#This Row],[Quantity]]*Table3[[#This Row],[Unit Price]]), "N/A")</f>
        <v>700000</v>
      </c>
      <c r="O625">
        <f>IFERROR(Table3[[#This Row],[Unit Price]]*Table3[[#This Row],[Return Qty]], "N/A")</f>
        <v>0</v>
      </c>
      <c r="P625">
        <f>IFERROR(IF((Table3[[#This Row],[Revenue before return]]-Table3[[#This Row],[Amount of order  returned]])&lt;0, "N/A", Table3[[#This Row],[Revenue before return]]-Table3[[#This Row],[Amount of order  returned]]), "N/A")</f>
        <v>700000</v>
      </c>
      <c r="Q62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26" spans="1:17" x14ac:dyDescent="0.2">
      <c r="A626" t="s">
        <v>985</v>
      </c>
      <c r="B626" t="s">
        <v>14</v>
      </c>
      <c r="C626" t="s">
        <v>39</v>
      </c>
      <c r="D626" s="6">
        <v>18</v>
      </c>
      <c r="E626" s="5">
        <v>12000</v>
      </c>
      <c r="F626" t="s">
        <v>78</v>
      </c>
      <c r="G626" s="7">
        <v>46141</v>
      </c>
      <c r="H626" s="5">
        <v>0</v>
      </c>
      <c r="I62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26" t="b">
        <f>((ISNUMBER(Table3[[#This Row],[Quantity]]) )* (Table3[[#This Row],[Quantity]]&gt;0))=1</f>
        <v>1</v>
      </c>
      <c r="K626" t="b">
        <f>((Table3[[#This Row],[Quantity]]&gt;=Table3[[#This Row],[Return Qty]])*(ISNUMBER(Table3[[#This Row],[Quantity]])))=1</f>
        <v>1</v>
      </c>
      <c r="L626" t="b">
        <f>ISNUMBER(Table3[[#This Row],[Unit Price]])</f>
        <v>1</v>
      </c>
      <c r="M626" t="b">
        <f>ISNUMBER(Table3[[#This Row],[Order Date]])</f>
        <v>1</v>
      </c>
      <c r="N626">
        <f>IFERROR(IF(Table3[[#This Row],[Quantity]]*Table3[[#This Row],[Unit Price]]&lt;0, "N/A", Table3[[#This Row],[Quantity]]*Table3[[#This Row],[Unit Price]]), "N/A")</f>
        <v>216000</v>
      </c>
      <c r="O626">
        <f>IFERROR(Table3[[#This Row],[Unit Price]]*Table3[[#This Row],[Return Qty]], "N/A")</f>
        <v>0</v>
      </c>
      <c r="P626">
        <f>IFERROR(IF((Table3[[#This Row],[Revenue before return]]-Table3[[#This Row],[Amount of order  returned]])&lt;0, "N/A", Table3[[#This Row],[Revenue before return]]-Table3[[#This Row],[Amount of order  returned]]), "N/A")</f>
        <v>216000</v>
      </c>
      <c r="Q62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27" spans="1:17" x14ac:dyDescent="0.2">
      <c r="A627" t="s">
        <v>986</v>
      </c>
      <c r="B627" t="s">
        <v>14</v>
      </c>
      <c r="C627" t="s">
        <v>32</v>
      </c>
      <c r="D627" s="6">
        <v>24</v>
      </c>
      <c r="E627" s="5">
        <v>8000</v>
      </c>
      <c r="F627" t="s">
        <v>374</v>
      </c>
      <c r="G627" s="7">
        <v>46031</v>
      </c>
      <c r="H627" s="5">
        <v>1</v>
      </c>
      <c r="I62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27" t="b">
        <f>((ISNUMBER(Table3[[#This Row],[Quantity]]) )* (Table3[[#This Row],[Quantity]]&gt;0))=1</f>
        <v>1</v>
      </c>
      <c r="K627" t="b">
        <f>((Table3[[#This Row],[Quantity]]&gt;=Table3[[#This Row],[Return Qty]])*(ISNUMBER(Table3[[#This Row],[Quantity]])))=1</f>
        <v>1</v>
      </c>
      <c r="L627" t="b">
        <f>ISNUMBER(Table3[[#This Row],[Unit Price]])</f>
        <v>1</v>
      </c>
      <c r="M627" t="b">
        <f>ISNUMBER(Table3[[#This Row],[Order Date]])</f>
        <v>1</v>
      </c>
      <c r="N627">
        <f>IFERROR(IF(Table3[[#This Row],[Quantity]]*Table3[[#This Row],[Unit Price]]&lt;0, "N/A", Table3[[#This Row],[Quantity]]*Table3[[#This Row],[Unit Price]]), "N/A")</f>
        <v>192000</v>
      </c>
      <c r="O627">
        <f>IFERROR(Table3[[#This Row],[Unit Price]]*Table3[[#This Row],[Return Qty]], "N/A")</f>
        <v>8000</v>
      </c>
      <c r="P627">
        <f>IFERROR(IF((Table3[[#This Row],[Revenue before return]]-Table3[[#This Row],[Amount of order  returned]])&lt;0, "N/A", Table3[[#This Row],[Revenue before return]]-Table3[[#This Row],[Amount of order  returned]]), "N/A")</f>
        <v>184000</v>
      </c>
      <c r="Q62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28" spans="1:17" x14ac:dyDescent="0.2">
      <c r="A628" t="s">
        <v>987</v>
      </c>
      <c r="B628" t="s">
        <v>25</v>
      </c>
      <c r="C628" t="s">
        <v>45</v>
      </c>
      <c r="D628" s="6">
        <v>24</v>
      </c>
      <c r="E628" s="5">
        <v>20000</v>
      </c>
      <c r="F628" t="s">
        <v>11</v>
      </c>
      <c r="G628" s="7">
        <v>46076</v>
      </c>
      <c r="H628" s="5">
        <v>0</v>
      </c>
      <c r="I62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28" t="b">
        <f>((ISNUMBER(Table3[[#This Row],[Quantity]]) )* (Table3[[#This Row],[Quantity]]&gt;0))=1</f>
        <v>1</v>
      </c>
      <c r="K628" t="b">
        <f>((Table3[[#This Row],[Quantity]]&gt;=Table3[[#This Row],[Return Qty]])*(ISNUMBER(Table3[[#This Row],[Quantity]])))=1</f>
        <v>1</v>
      </c>
      <c r="L628" t="b">
        <f>ISNUMBER(Table3[[#This Row],[Unit Price]])</f>
        <v>1</v>
      </c>
      <c r="M628" t="b">
        <f>ISNUMBER(Table3[[#This Row],[Order Date]])</f>
        <v>1</v>
      </c>
      <c r="N628">
        <f>IFERROR(IF(Table3[[#This Row],[Quantity]]*Table3[[#This Row],[Unit Price]]&lt;0, "N/A", Table3[[#This Row],[Quantity]]*Table3[[#This Row],[Unit Price]]), "N/A")</f>
        <v>480000</v>
      </c>
      <c r="O628">
        <f>IFERROR(Table3[[#This Row],[Unit Price]]*Table3[[#This Row],[Return Qty]], "N/A")</f>
        <v>0</v>
      </c>
      <c r="P628">
        <f>IFERROR(IF((Table3[[#This Row],[Revenue before return]]-Table3[[#This Row],[Amount of order  returned]])&lt;0, "N/A", Table3[[#This Row],[Revenue before return]]-Table3[[#This Row],[Amount of order  returned]]), "N/A")</f>
        <v>480000</v>
      </c>
      <c r="Q62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29" spans="1:17" x14ac:dyDescent="0.2">
      <c r="A629" t="s">
        <v>988</v>
      </c>
      <c r="B629" t="s">
        <v>14</v>
      </c>
      <c r="C629" t="s">
        <v>70</v>
      </c>
      <c r="D629" s="6" t="s">
        <v>11</v>
      </c>
      <c r="E629" s="5">
        <v>28000</v>
      </c>
      <c r="F629" t="s">
        <v>173</v>
      </c>
      <c r="G629" s="7">
        <v>46158</v>
      </c>
      <c r="H629" s="5">
        <v>0</v>
      </c>
      <c r="I62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29" t="b">
        <f>((ISNUMBER(Table3[[#This Row],[Quantity]]) )* (Table3[[#This Row],[Quantity]]&gt;0))=1</f>
        <v>0</v>
      </c>
      <c r="K629" t="b">
        <f>((Table3[[#This Row],[Quantity]]&gt;=Table3[[#This Row],[Return Qty]])*(ISNUMBER(Table3[[#This Row],[Quantity]])))=1</f>
        <v>0</v>
      </c>
      <c r="L629" t="b">
        <f>ISNUMBER(Table3[[#This Row],[Unit Price]])</f>
        <v>1</v>
      </c>
      <c r="M629" t="b">
        <f>ISNUMBER(Table3[[#This Row],[Order Date]])</f>
        <v>1</v>
      </c>
      <c r="N629" t="str">
        <f>IFERROR(IF(Table3[[#This Row],[Quantity]]*Table3[[#This Row],[Unit Price]]&lt;0, "N/A", Table3[[#This Row],[Quantity]]*Table3[[#This Row],[Unit Price]]), "N/A")</f>
        <v>N/A</v>
      </c>
      <c r="O629">
        <f>IFERROR(Table3[[#This Row],[Unit Price]]*Table3[[#This Row],[Return Qty]], "N/A")</f>
        <v>0</v>
      </c>
      <c r="P629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62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630" spans="1:17" x14ac:dyDescent="0.2">
      <c r="A630" t="s">
        <v>989</v>
      </c>
      <c r="B630" t="s">
        <v>990</v>
      </c>
      <c r="C630" t="s">
        <v>45</v>
      </c>
      <c r="D630" s="6">
        <v>1</v>
      </c>
      <c r="E630" s="5">
        <v>20000</v>
      </c>
      <c r="F630" t="s">
        <v>372</v>
      </c>
      <c r="G630" s="7">
        <v>46172</v>
      </c>
      <c r="H630" s="5">
        <v>0</v>
      </c>
      <c r="I63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30" t="b">
        <f>((ISNUMBER(Table3[[#This Row],[Quantity]]) )* (Table3[[#This Row],[Quantity]]&gt;0))=1</f>
        <v>1</v>
      </c>
      <c r="K630" t="b">
        <f>((Table3[[#This Row],[Quantity]]&gt;=Table3[[#This Row],[Return Qty]])*(ISNUMBER(Table3[[#This Row],[Quantity]])))=1</f>
        <v>1</v>
      </c>
      <c r="L630" t="b">
        <f>ISNUMBER(Table3[[#This Row],[Unit Price]])</f>
        <v>1</v>
      </c>
      <c r="M630" t="b">
        <f>ISNUMBER(Table3[[#This Row],[Order Date]])</f>
        <v>1</v>
      </c>
      <c r="N630">
        <f>IFERROR(IF(Table3[[#This Row],[Quantity]]*Table3[[#This Row],[Unit Price]]&lt;0, "N/A", Table3[[#This Row],[Quantity]]*Table3[[#This Row],[Unit Price]]), "N/A")</f>
        <v>20000</v>
      </c>
      <c r="O630">
        <f>IFERROR(Table3[[#This Row],[Unit Price]]*Table3[[#This Row],[Return Qty]], "N/A")</f>
        <v>0</v>
      </c>
      <c r="P630">
        <f>IFERROR(IF((Table3[[#This Row],[Revenue before return]]-Table3[[#This Row],[Amount of order  returned]])&lt;0, "N/A", Table3[[#This Row],[Revenue before return]]-Table3[[#This Row],[Amount of order  returned]]), "N/A")</f>
        <v>20000</v>
      </c>
      <c r="Q63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31" spans="1:17" x14ac:dyDescent="0.2">
      <c r="A631" t="s">
        <v>991</v>
      </c>
      <c r="B631" t="s">
        <v>25</v>
      </c>
      <c r="C631" t="s">
        <v>70</v>
      </c>
      <c r="D631" s="6">
        <v>13</v>
      </c>
      <c r="E631" s="5">
        <v>28000</v>
      </c>
      <c r="F631" t="s">
        <v>942</v>
      </c>
      <c r="G631" s="7">
        <v>46193</v>
      </c>
      <c r="H631" s="5">
        <v>2</v>
      </c>
      <c r="I63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31" t="b">
        <f>((ISNUMBER(Table3[[#This Row],[Quantity]]) )* (Table3[[#This Row],[Quantity]]&gt;0))=1</f>
        <v>1</v>
      </c>
      <c r="K631" t="b">
        <f>((Table3[[#This Row],[Quantity]]&gt;=Table3[[#This Row],[Return Qty]])*(ISNUMBER(Table3[[#This Row],[Quantity]])))=1</f>
        <v>1</v>
      </c>
      <c r="L631" t="b">
        <f>ISNUMBER(Table3[[#This Row],[Unit Price]])</f>
        <v>1</v>
      </c>
      <c r="M631" t="b">
        <f>ISNUMBER(Table3[[#This Row],[Order Date]])</f>
        <v>1</v>
      </c>
      <c r="N631">
        <f>IFERROR(IF(Table3[[#This Row],[Quantity]]*Table3[[#This Row],[Unit Price]]&lt;0, "N/A", Table3[[#This Row],[Quantity]]*Table3[[#This Row],[Unit Price]]), "N/A")</f>
        <v>364000</v>
      </c>
      <c r="O631">
        <f>IFERROR(Table3[[#This Row],[Unit Price]]*Table3[[#This Row],[Return Qty]], "N/A")</f>
        <v>56000</v>
      </c>
      <c r="P631">
        <f>IFERROR(IF((Table3[[#This Row],[Revenue before return]]-Table3[[#This Row],[Amount of order  returned]])&lt;0, "N/A", Table3[[#This Row],[Revenue before return]]-Table3[[#This Row],[Amount of order  returned]]), "N/A")</f>
        <v>308000</v>
      </c>
      <c r="Q63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32" spans="1:17" x14ac:dyDescent="0.2">
      <c r="A632" t="s">
        <v>992</v>
      </c>
      <c r="B632" t="s">
        <v>25</v>
      </c>
      <c r="C632" t="s">
        <v>18</v>
      </c>
      <c r="D632" s="6">
        <v>19</v>
      </c>
      <c r="E632" s="5">
        <v>50000</v>
      </c>
      <c r="F632" t="s">
        <v>541</v>
      </c>
      <c r="G632" s="7">
        <v>46128</v>
      </c>
      <c r="H632" s="5">
        <v>0</v>
      </c>
      <c r="I63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32" t="b">
        <f>((ISNUMBER(Table3[[#This Row],[Quantity]]) )* (Table3[[#This Row],[Quantity]]&gt;0))=1</f>
        <v>1</v>
      </c>
      <c r="K632" t="b">
        <f>((Table3[[#This Row],[Quantity]]&gt;=Table3[[#This Row],[Return Qty]])*(ISNUMBER(Table3[[#This Row],[Quantity]])))=1</f>
        <v>1</v>
      </c>
      <c r="L632" t="b">
        <f>ISNUMBER(Table3[[#This Row],[Unit Price]])</f>
        <v>1</v>
      </c>
      <c r="M632" t="b">
        <f>ISNUMBER(Table3[[#This Row],[Order Date]])</f>
        <v>1</v>
      </c>
      <c r="N632">
        <f>IFERROR(IF(Table3[[#This Row],[Quantity]]*Table3[[#This Row],[Unit Price]]&lt;0, "N/A", Table3[[#This Row],[Quantity]]*Table3[[#This Row],[Unit Price]]), "N/A")</f>
        <v>950000</v>
      </c>
      <c r="O632">
        <f>IFERROR(Table3[[#This Row],[Unit Price]]*Table3[[#This Row],[Return Qty]], "N/A")</f>
        <v>0</v>
      </c>
      <c r="P632">
        <f>IFERROR(IF((Table3[[#This Row],[Revenue before return]]-Table3[[#This Row],[Amount of order  returned]])&lt;0, "N/A", Table3[[#This Row],[Revenue before return]]-Table3[[#This Row],[Amount of order  returned]]), "N/A")</f>
        <v>950000</v>
      </c>
      <c r="Q63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33" spans="1:17" x14ac:dyDescent="0.2">
      <c r="A633" t="s">
        <v>993</v>
      </c>
      <c r="B633" t="s">
        <v>9</v>
      </c>
      <c r="C633" t="s">
        <v>22</v>
      </c>
      <c r="D633" s="6">
        <v>18</v>
      </c>
      <c r="E633" s="5">
        <v>35000</v>
      </c>
      <c r="F633" t="s">
        <v>203</v>
      </c>
      <c r="G633" s="7">
        <v>46082</v>
      </c>
      <c r="H633" s="5">
        <v>0</v>
      </c>
      <c r="I63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33" t="b">
        <f>((ISNUMBER(Table3[[#This Row],[Quantity]]) )* (Table3[[#This Row],[Quantity]]&gt;0))=1</f>
        <v>1</v>
      </c>
      <c r="K633" t="b">
        <f>((Table3[[#This Row],[Quantity]]&gt;=Table3[[#This Row],[Return Qty]])*(ISNUMBER(Table3[[#This Row],[Quantity]])))=1</f>
        <v>1</v>
      </c>
      <c r="L633" t="b">
        <f>ISNUMBER(Table3[[#This Row],[Unit Price]])</f>
        <v>1</v>
      </c>
      <c r="M633" t="b">
        <f>ISNUMBER(Table3[[#This Row],[Order Date]])</f>
        <v>1</v>
      </c>
      <c r="N633">
        <f>IFERROR(IF(Table3[[#This Row],[Quantity]]*Table3[[#This Row],[Unit Price]]&lt;0, "N/A", Table3[[#This Row],[Quantity]]*Table3[[#This Row],[Unit Price]]), "N/A")</f>
        <v>630000</v>
      </c>
      <c r="O633">
        <f>IFERROR(Table3[[#This Row],[Unit Price]]*Table3[[#This Row],[Return Qty]], "N/A")</f>
        <v>0</v>
      </c>
      <c r="P633">
        <f>IFERROR(IF((Table3[[#This Row],[Revenue before return]]-Table3[[#This Row],[Amount of order  returned]])&lt;0, "N/A", Table3[[#This Row],[Revenue before return]]-Table3[[#This Row],[Amount of order  returned]]), "N/A")</f>
        <v>630000</v>
      </c>
      <c r="Q63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34" spans="1:17" x14ac:dyDescent="0.2">
      <c r="A634" t="s">
        <v>994</v>
      </c>
      <c r="B634" t="s">
        <v>9</v>
      </c>
      <c r="C634" t="s">
        <v>70</v>
      </c>
      <c r="D634" s="6">
        <v>3</v>
      </c>
      <c r="E634" s="5">
        <v>28000</v>
      </c>
      <c r="F634" t="s">
        <v>898</v>
      </c>
      <c r="G634" s="7">
        <v>46072</v>
      </c>
      <c r="H634" s="5">
        <v>0</v>
      </c>
      <c r="I63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34" t="b">
        <f>((ISNUMBER(Table3[[#This Row],[Quantity]]) )* (Table3[[#This Row],[Quantity]]&gt;0))=1</f>
        <v>1</v>
      </c>
      <c r="K634" t="b">
        <f>((Table3[[#This Row],[Quantity]]&gt;=Table3[[#This Row],[Return Qty]])*(ISNUMBER(Table3[[#This Row],[Quantity]])))=1</f>
        <v>1</v>
      </c>
      <c r="L634" t="b">
        <f>ISNUMBER(Table3[[#This Row],[Unit Price]])</f>
        <v>1</v>
      </c>
      <c r="M634" t="b">
        <f>ISNUMBER(Table3[[#This Row],[Order Date]])</f>
        <v>1</v>
      </c>
      <c r="N634">
        <f>IFERROR(IF(Table3[[#This Row],[Quantity]]*Table3[[#This Row],[Unit Price]]&lt;0, "N/A", Table3[[#This Row],[Quantity]]*Table3[[#This Row],[Unit Price]]), "N/A")</f>
        <v>84000</v>
      </c>
      <c r="O634">
        <f>IFERROR(Table3[[#This Row],[Unit Price]]*Table3[[#This Row],[Return Qty]], "N/A")</f>
        <v>0</v>
      </c>
      <c r="P634">
        <f>IFERROR(IF((Table3[[#This Row],[Revenue before return]]-Table3[[#This Row],[Amount of order  returned]])&lt;0, "N/A", Table3[[#This Row],[Revenue before return]]-Table3[[#This Row],[Amount of order  returned]]), "N/A")</f>
        <v>84000</v>
      </c>
      <c r="Q63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35" spans="1:17" x14ac:dyDescent="0.2">
      <c r="A635" t="s">
        <v>995</v>
      </c>
      <c r="B635" t="s">
        <v>14</v>
      </c>
      <c r="C635" t="s">
        <v>45</v>
      </c>
      <c r="D635" s="6">
        <v>1</v>
      </c>
      <c r="E635" s="5">
        <v>20000</v>
      </c>
      <c r="F635" t="s">
        <v>214</v>
      </c>
      <c r="G635" s="7">
        <v>46202</v>
      </c>
      <c r="H635" s="5">
        <v>0</v>
      </c>
      <c r="I63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35" t="b">
        <f>((ISNUMBER(Table3[[#This Row],[Quantity]]) )* (Table3[[#This Row],[Quantity]]&gt;0))=1</f>
        <v>1</v>
      </c>
      <c r="K635" t="b">
        <f>((Table3[[#This Row],[Quantity]]&gt;=Table3[[#This Row],[Return Qty]])*(ISNUMBER(Table3[[#This Row],[Quantity]])))=1</f>
        <v>1</v>
      </c>
      <c r="L635" t="b">
        <f>ISNUMBER(Table3[[#This Row],[Unit Price]])</f>
        <v>1</v>
      </c>
      <c r="M635" t="b">
        <f>ISNUMBER(Table3[[#This Row],[Order Date]])</f>
        <v>1</v>
      </c>
      <c r="N635">
        <f>IFERROR(IF(Table3[[#This Row],[Quantity]]*Table3[[#This Row],[Unit Price]]&lt;0, "N/A", Table3[[#This Row],[Quantity]]*Table3[[#This Row],[Unit Price]]), "N/A")</f>
        <v>20000</v>
      </c>
      <c r="O635">
        <f>IFERROR(Table3[[#This Row],[Unit Price]]*Table3[[#This Row],[Return Qty]], "N/A")</f>
        <v>0</v>
      </c>
      <c r="P635">
        <f>IFERROR(IF((Table3[[#This Row],[Revenue before return]]-Table3[[#This Row],[Amount of order  returned]])&lt;0, "N/A", Table3[[#This Row],[Revenue before return]]-Table3[[#This Row],[Amount of order  returned]]), "N/A")</f>
        <v>20000</v>
      </c>
      <c r="Q63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36" spans="1:17" x14ac:dyDescent="0.2">
      <c r="A636" t="s">
        <v>996</v>
      </c>
      <c r="B636" t="s">
        <v>9</v>
      </c>
      <c r="C636" t="s">
        <v>39</v>
      </c>
      <c r="D636" s="6">
        <v>3</v>
      </c>
      <c r="E636" s="5">
        <v>12000</v>
      </c>
      <c r="F636" t="s">
        <v>997</v>
      </c>
      <c r="G636" s="7">
        <v>46032</v>
      </c>
      <c r="H636" s="5">
        <v>0</v>
      </c>
      <c r="I63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36" t="b">
        <f>((ISNUMBER(Table3[[#This Row],[Quantity]]) )* (Table3[[#This Row],[Quantity]]&gt;0))=1</f>
        <v>1</v>
      </c>
      <c r="K636" t="b">
        <f>((Table3[[#This Row],[Quantity]]&gt;=Table3[[#This Row],[Return Qty]])*(ISNUMBER(Table3[[#This Row],[Quantity]])))=1</f>
        <v>1</v>
      </c>
      <c r="L636" t="b">
        <f>ISNUMBER(Table3[[#This Row],[Unit Price]])</f>
        <v>1</v>
      </c>
      <c r="M636" t="b">
        <f>ISNUMBER(Table3[[#This Row],[Order Date]])</f>
        <v>1</v>
      </c>
      <c r="N636">
        <f>IFERROR(IF(Table3[[#This Row],[Quantity]]*Table3[[#This Row],[Unit Price]]&lt;0, "N/A", Table3[[#This Row],[Quantity]]*Table3[[#This Row],[Unit Price]]), "N/A")</f>
        <v>36000</v>
      </c>
      <c r="O636">
        <f>IFERROR(Table3[[#This Row],[Unit Price]]*Table3[[#This Row],[Return Qty]], "N/A")</f>
        <v>0</v>
      </c>
      <c r="P636">
        <f>IFERROR(IF((Table3[[#This Row],[Revenue before return]]-Table3[[#This Row],[Amount of order  returned]])&lt;0, "N/A", Table3[[#This Row],[Revenue before return]]-Table3[[#This Row],[Amount of order  returned]]), "N/A")</f>
        <v>36000</v>
      </c>
      <c r="Q63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37" spans="1:17" x14ac:dyDescent="0.2">
      <c r="A637" t="s">
        <v>999</v>
      </c>
      <c r="B637" t="s">
        <v>14</v>
      </c>
      <c r="C637" t="s">
        <v>10</v>
      </c>
      <c r="D637" s="6">
        <v>25</v>
      </c>
      <c r="E637" s="5">
        <v>15000</v>
      </c>
      <c r="F637" t="s">
        <v>626</v>
      </c>
      <c r="G637" s="7">
        <v>46093</v>
      </c>
      <c r="H637" s="5">
        <v>0</v>
      </c>
      <c r="I63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37" t="b">
        <f>((ISNUMBER(Table3[[#This Row],[Quantity]]) )* (Table3[[#This Row],[Quantity]]&gt;0))=1</f>
        <v>1</v>
      </c>
      <c r="K637" t="b">
        <f>((Table3[[#This Row],[Quantity]]&gt;=Table3[[#This Row],[Return Qty]])*(ISNUMBER(Table3[[#This Row],[Quantity]])))=1</f>
        <v>1</v>
      </c>
      <c r="L637" t="b">
        <f>ISNUMBER(Table3[[#This Row],[Unit Price]])</f>
        <v>1</v>
      </c>
      <c r="M637" t="b">
        <f>ISNUMBER(Table3[[#This Row],[Order Date]])</f>
        <v>1</v>
      </c>
      <c r="N637">
        <f>IFERROR(IF(Table3[[#This Row],[Quantity]]*Table3[[#This Row],[Unit Price]]&lt;0, "N/A", Table3[[#This Row],[Quantity]]*Table3[[#This Row],[Unit Price]]), "N/A")</f>
        <v>375000</v>
      </c>
      <c r="O637">
        <f>IFERROR(Table3[[#This Row],[Unit Price]]*Table3[[#This Row],[Return Qty]], "N/A")</f>
        <v>0</v>
      </c>
      <c r="P637">
        <f>IFERROR(IF((Table3[[#This Row],[Revenue before return]]-Table3[[#This Row],[Amount of order  returned]])&lt;0, "N/A", Table3[[#This Row],[Revenue before return]]-Table3[[#This Row],[Amount of order  returned]]), "N/A")</f>
        <v>375000</v>
      </c>
      <c r="Q63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38" spans="1:17" x14ac:dyDescent="0.2">
      <c r="A638" t="s">
        <v>1000</v>
      </c>
      <c r="B638" t="s">
        <v>21</v>
      </c>
      <c r="C638" t="s">
        <v>32</v>
      </c>
      <c r="D638" s="6">
        <v>19</v>
      </c>
      <c r="E638" s="5">
        <v>8000</v>
      </c>
      <c r="F638" t="s">
        <v>171</v>
      </c>
      <c r="G638" s="7">
        <v>46066</v>
      </c>
      <c r="H638" s="5">
        <v>0</v>
      </c>
      <c r="I63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38" t="b">
        <f>((ISNUMBER(Table3[[#This Row],[Quantity]]) )* (Table3[[#This Row],[Quantity]]&gt;0))=1</f>
        <v>1</v>
      </c>
      <c r="K638" t="b">
        <f>((Table3[[#This Row],[Quantity]]&gt;=Table3[[#This Row],[Return Qty]])*(ISNUMBER(Table3[[#This Row],[Quantity]])))=1</f>
        <v>1</v>
      </c>
      <c r="L638" t="b">
        <f>ISNUMBER(Table3[[#This Row],[Unit Price]])</f>
        <v>1</v>
      </c>
      <c r="M638" t="b">
        <f>ISNUMBER(Table3[[#This Row],[Order Date]])</f>
        <v>1</v>
      </c>
      <c r="N638">
        <f>IFERROR(IF(Table3[[#This Row],[Quantity]]*Table3[[#This Row],[Unit Price]]&lt;0, "N/A", Table3[[#This Row],[Quantity]]*Table3[[#This Row],[Unit Price]]), "N/A")</f>
        <v>152000</v>
      </c>
      <c r="O638">
        <f>IFERROR(Table3[[#This Row],[Unit Price]]*Table3[[#This Row],[Return Qty]], "N/A")</f>
        <v>0</v>
      </c>
      <c r="P638">
        <f>IFERROR(IF((Table3[[#This Row],[Revenue before return]]-Table3[[#This Row],[Amount of order  returned]])&lt;0, "N/A", Table3[[#This Row],[Revenue before return]]-Table3[[#This Row],[Amount of order  returned]]), "N/A")</f>
        <v>152000</v>
      </c>
      <c r="Q63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39" spans="1:17" x14ac:dyDescent="0.2">
      <c r="A639" t="s">
        <v>1001</v>
      </c>
      <c r="B639" t="s">
        <v>9</v>
      </c>
      <c r="C639" t="s">
        <v>10</v>
      </c>
      <c r="D639" s="6">
        <v>4</v>
      </c>
      <c r="E639" s="5">
        <v>15000</v>
      </c>
      <c r="F639" t="s">
        <v>646</v>
      </c>
      <c r="G639" s="7">
        <v>46114</v>
      </c>
      <c r="H639" s="5">
        <v>0</v>
      </c>
      <c r="I63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39" t="b">
        <f>((ISNUMBER(Table3[[#This Row],[Quantity]]) )* (Table3[[#This Row],[Quantity]]&gt;0))=1</f>
        <v>1</v>
      </c>
      <c r="K639" t="b">
        <f>((Table3[[#This Row],[Quantity]]&gt;=Table3[[#This Row],[Return Qty]])*(ISNUMBER(Table3[[#This Row],[Quantity]])))=1</f>
        <v>1</v>
      </c>
      <c r="L639" t="b">
        <f>ISNUMBER(Table3[[#This Row],[Unit Price]])</f>
        <v>1</v>
      </c>
      <c r="M639" t="b">
        <f>ISNUMBER(Table3[[#This Row],[Order Date]])</f>
        <v>1</v>
      </c>
      <c r="N639">
        <f>IFERROR(IF(Table3[[#This Row],[Quantity]]*Table3[[#This Row],[Unit Price]]&lt;0, "N/A", Table3[[#This Row],[Quantity]]*Table3[[#This Row],[Unit Price]]), "N/A")</f>
        <v>60000</v>
      </c>
      <c r="O639">
        <f>IFERROR(Table3[[#This Row],[Unit Price]]*Table3[[#This Row],[Return Qty]], "N/A")</f>
        <v>0</v>
      </c>
      <c r="P639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63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40" spans="1:17" x14ac:dyDescent="0.2">
      <c r="A640" t="s">
        <v>1002</v>
      </c>
      <c r="B640" t="s">
        <v>21</v>
      </c>
      <c r="C640" t="s">
        <v>32</v>
      </c>
      <c r="D640" s="6">
        <v>8</v>
      </c>
      <c r="E640" s="5">
        <v>8000</v>
      </c>
      <c r="F640" t="s">
        <v>63</v>
      </c>
      <c r="G640" s="7">
        <v>46189</v>
      </c>
      <c r="H640" s="5">
        <v>0</v>
      </c>
      <c r="I64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40" t="b">
        <f>((ISNUMBER(Table3[[#This Row],[Quantity]]) )* (Table3[[#This Row],[Quantity]]&gt;0))=1</f>
        <v>1</v>
      </c>
      <c r="K640" t="b">
        <f>((Table3[[#This Row],[Quantity]]&gt;=Table3[[#This Row],[Return Qty]])*(ISNUMBER(Table3[[#This Row],[Quantity]])))=1</f>
        <v>1</v>
      </c>
      <c r="L640" t="b">
        <f>ISNUMBER(Table3[[#This Row],[Unit Price]])</f>
        <v>1</v>
      </c>
      <c r="M640" t="b">
        <f>ISNUMBER(Table3[[#This Row],[Order Date]])</f>
        <v>1</v>
      </c>
      <c r="N640">
        <f>IFERROR(IF(Table3[[#This Row],[Quantity]]*Table3[[#This Row],[Unit Price]]&lt;0, "N/A", Table3[[#This Row],[Quantity]]*Table3[[#This Row],[Unit Price]]), "N/A")</f>
        <v>64000</v>
      </c>
      <c r="O640">
        <f>IFERROR(Table3[[#This Row],[Unit Price]]*Table3[[#This Row],[Return Qty]], "N/A")</f>
        <v>0</v>
      </c>
      <c r="P640">
        <f>IFERROR(IF((Table3[[#This Row],[Revenue before return]]-Table3[[#This Row],[Amount of order  returned]])&lt;0, "N/A", Table3[[#This Row],[Revenue before return]]-Table3[[#This Row],[Amount of order  returned]]), "N/A")</f>
        <v>64000</v>
      </c>
      <c r="Q64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41" spans="1:17" x14ac:dyDescent="0.2">
      <c r="A641" t="s">
        <v>1004</v>
      </c>
      <c r="B641" t="s">
        <v>25</v>
      </c>
      <c r="C641" t="s">
        <v>32</v>
      </c>
      <c r="D641" s="6">
        <v>18</v>
      </c>
      <c r="E641" s="5">
        <v>8000</v>
      </c>
      <c r="F641" t="s">
        <v>146</v>
      </c>
      <c r="G641" s="7">
        <v>46188</v>
      </c>
      <c r="H641" s="5">
        <v>0</v>
      </c>
      <c r="I64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41" t="b">
        <f>((ISNUMBER(Table3[[#This Row],[Quantity]]) )* (Table3[[#This Row],[Quantity]]&gt;0))=1</f>
        <v>1</v>
      </c>
      <c r="K641" t="b">
        <f>((Table3[[#This Row],[Quantity]]&gt;=Table3[[#This Row],[Return Qty]])*(ISNUMBER(Table3[[#This Row],[Quantity]])))=1</f>
        <v>1</v>
      </c>
      <c r="L641" t="b">
        <f>ISNUMBER(Table3[[#This Row],[Unit Price]])</f>
        <v>1</v>
      </c>
      <c r="M641" t="b">
        <f>ISNUMBER(Table3[[#This Row],[Order Date]])</f>
        <v>1</v>
      </c>
      <c r="N641">
        <f>IFERROR(IF(Table3[[#This Row],[Quantity]]*Table3[[#This Row],[Unit Price]]&lt;0, "N/A", Table3[[#This Row],[Quantity]]*Table3[[#This Row],[Unit Price]]), "N/A")</f>
        <v>144000</v>
      </c>
      <c r="O641">
        <f>IFERROR(Table3[[#This Row],[Unit Price]]*Table3[[#This Row],[Return Qty]], "N/A")</f>
        <v>0</v>
      </c>
      <c r="P641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64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42" spans="1:17" x14ac:dyDescent="0.2">
      <c r="A642" t="s">
        <v>1005</v>
      </c>
      <c r="B642" t="s">
        <v>9</v>
      </c>
      <c r="C642" t="s">
        <v>22</v>
      </c>
      <c r="D642" s="6">
        <v>6</v>
      </c>
      <c r="E642" s="5">
        <v>35000</v>
      </c>
      <c r="F642" t="s">
        <v>530</v>
      </c>
      <c r="G642" s="7">
        <v>46162</v>
      </c>
      <c r="H642" s="5">
        <v>0</v>
      </c>
      <c r="I64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42" t="b">
        <f>((ISNUMBER(Table3[[#This Row],[Quantity]]) )* (Table3[[#This Row],[Quantity]]&gt;0))=1</f>
        <v>1</v>
      </c>
      <c r="K642" t="b">
        <f>((Table3[[#This Row],[Quantity]]&gt;=Table3[[#This Row],[Return Qty]])*(ISNUMBER(Table3[[#This Row],[Quantity]])))=1</f>
        <v>1</v>
      </c>
      <c r="L642" t="b">
        <f>ISNUMBER(Table3[[#This Row],[Unit Price]])</f>
        <v>1</v>
      </c>
      <c r="M642" t="b">
        <f>ISNUMBER(Table3[[#This Row],[Order Date]])</f>
        <v>1</v>
      </c>
      <c r="N642">
        <f>IFERROR(IF(Table3[[#This Row],[Quantity]]*Table3[[#This Row],[Unit Price]]&lt;0, "N/A", Table3[[#This Row],[Quantity]]*Table3[[#This Row],[Unit Price]]), "N/A")</f>
        <v>210000</v>
      </c>
      <c r="O642">
        <f>IFERROR(Table3[[#This Row],[Unit Price]]*Table3[[#This Row],[Return Qty]], "N/A")</f>
        <v>0</v>
      </c>
      <c r="P642">
        <f>IFERROR(IF((Table3[[#This Row],[Revenue before return]]-Table3[[#This Row],[Amount of order  returned]])&lt;0, "N/A", Table3[[#This Row],[Revenue before return]]-Table3[[#This Row],[Amount of order  returned]]), "N/A")</f>
        <v>210000</v>
      </c>
      <c r="Q64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43" spans="1:17" x14ac:dyDescent="0.2">
      <c r="A643" t="s">
        <v>1006</v>
      </c>
      <c r="B643" t="s">
        <v>14</v>
      </c>
      <c r="C643" t="s">
        <v>22</v>
      </c>
      <c r="D643" s="6">
        <v>14</v>
      </c>
      <c r="E643" s="5">
        <v>35000</v>
      </c>
      <c r="F643" t="s">
        <v>861</v>
      </c>
      <c r="G643" s="7">
        <v>46115</v>
      </c>
      <c r="H643" s="5">
        <v>0</v>
      </c>
      <c r="I64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43" t="b">
        <f>((ISNUMBER(Table3[[#This Row],[Quantity]]) )* (Table3[[#This Row],[Quantity]]&gt;0))=1</f>
        <v>1</v>
      </c>
      <c r="K643" t="b">
        <f>((Table3[[#This Row],[Quantity]]&gt;=Table3[[#This Row],[Return Qty]])*(ISNUMBER(Table3[[#This Row],[Quantity]])))=1</f>
        <v>1</v>
      </c>
      <c r="L643" t="b">
        <f>ISNUMBER(Table3[[#This Row],[Unit Price]])</f>
        <v>1</v>
      </c>
      <c r="M643" t="b">
        <f>ISNUMBER(Table3[[#This Row],[Order Date]])</f>
        <v>1</v>
      </c>
      <c r="N643">
        <f>IFERROR(IF(Table3[[#This Row],[Quantity]]*Table3[[#This Row],[Unit Price]]&lt;0, "N/A", Table3[[#This Row],[Quantity]]*Table3[[#This Row],[Unit Price]]), "N/A")</f>
        <v>490000</v>
      </c>
      <c r="O643">
        <f>IFERROR(Table3[[#This Row],[Unit Price]]*Table3[[#This Row],[Return Qty]], "N/A")</f>
        <v>0</v>
      </c>
      <c r="P643">
        <f>IFERROR(IF((Table3[[#This Row],[Revenue before return]]-Table3[[#This Row],[Amount of order  returned]])&lt;0, "N/A", Table3[[#This Row],[Revenue before return]]-Table3[[#This Row],[Amount of order  returned]]), "N/A")</f>
        <v>490000</v>
      </c>
      <c r="Q64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44" spans="1:17" x14ac:dyDescent="0.2">
      <c r="A644" t="s">
        <v>1007</v>
      </c>
      <c r="B644" t="s">
        <v>21</v>
      </c>
      <c r="C644" t="s">
        <v>26</v>
      </c>
      <c r="D644" s="6">
        <v>12</v>
      </c>
      <c r="E644" s="5">
        <v>20000</v>
      </c>
      <c r="F644" t="s">
        <v>374</v>
      </c>
      <c r="G644" s="7">
        <v>46090</v>
      </c>
      <c r="H644" s="5">
        <v>0</v>
      </c>
      <c r="I64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44" t="b">
        <f>((ISNUMBER(Table3[[#This Row],[Quantity]]) )* (Table3[[#This Row],[Quantity]]&gt;0))=1</f>
        <v>1</v>
      </c>
      <c r="K644" t="b">
        <f>((Table3[[#This Row],[Quantity]]&gt;=Table3[[#This Row],[Return Qty]])*(ISNUMBER(Table3[[#This Row],[Quantity]])))=1</f>
        <v>1</v>
      </c>
      <c r="L644" t="b">
        <f>ISNUMBER(Table3[[#This Row],[Unit Price]])</f>
        <v>1</v>
      </c>
      <c r="M644" t="b">
        <f>ISNUMBER(Table3[[#This Row],[Order Date]])</f>
        <v>1</v>
      </c>
      <c r="N644">
        <f>IFERROR(IF(Table3[[#This Row],[Quantity]]*Table3[[#This Row],[Unit Price]]&lt;0, "N/A", Table3[[#This Row],[Quantity]]*Table3[[#This Row],[Unit Price]]), "N/A")</f>
        <v>240000</v>
      </c>
      <c r="O644">
        <f>IFERROR(Table3[[#This Row],[Unit Price]]*Table3[[#This Row],[Return Qty]], "N/A")</f>
        <v>0</v>
      </c>
      <c r="P644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64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45" spans="1:17" x14ac:dyDescent="0.2">
      <c r="A645" t="s">
        <v>1008</v>
      </c>
      <c r="B645" t="s">
        <v>9</v>
      </c>
      <c r="C645" t="s">
        <v>10</v>
      </c>
      <c r="D645" s="6">
        <v>20</v>
      </c>
      <c r="E645" s="5">
        <v>15000</v>
      </c>
      <c r="F645" t="s">
        <v>400</v>
      </c>
      <c r="G645" s="7">
        <v>46126</v>
      </c>
      <c r="H645" s="5">
        <v>24</v>
      </c>
      <c r="I64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45" t="b">
        <f>((ISNUMBER(Table3[[#This Row],[Quantity]]) )* (Table3[[#This Row],[Quantity]]&gt;0))=1</f>
        <v>1</v>
      </c>
      <c r="K645" t="b">
        <f>((Table3[[#This Row],[Quantity]]&gt;=Table3[[#This Row],[Return Qty]])*(ISNUMBER(Table3[[#This Row],[Quantity]])))=1</f>
        <v>0</v>
      </c>
      <c r="L645" t="b">
        <f>ISNUMBER(Table3[[#This Row],[Unit Price]])</f>
        <v>1</v>
      </c>
      <c r="M645" t="b">
        <f>ISNUMBER(Table3[[#This Row],[Order Date]])</f>
        <v>1</v>
      </c>
      <c r="N645">
        <f>IFERROR(IF(Table3[[#This Row],[Quantity]]*Table3[[#This Row],[Unit Price]]&lt;0, "N/A", Table3[[#This Row],[Quantity]]*Table3[[#This Row],[Unit Price]]), "N/A")</f>
        <v>300000</v>
      </c>
      <c r="O645">
        <f>IFERROR(Table3[[#This Row],[Unit Price]]*Table3[[#This Row],[Return Qty]], "N/A")</f>
        <v>360000</v>
      </c>
      <c r="P645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64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646" spans="1:17" x14ac:dyDescent="0.2">
      <c r="A646" t="s">
        <v>1009</v>
      </c>
      <c r="B646" t="s">
        <v>21</v>
      </c>
      <c r="C646" t="s">
        <v>39</v>
      </c>
      <c r="D646" s="6">
        <v>1</v>
      </c>
      <c r="E646" s="5">
        <v>12000</v>
      </c>
      <c r="F646" t="s">
        <v>656</v>
      </c>
      <c r="G646" s="7">
        <v>46120</v>
      </c>
      <c r="H646" s="5">
        <v>0</v>
      </c>
      <c r="I64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46" t="b">
        <f>((ISNUMBER(Table3[[#This Row],[Quantity]]) )* (Table3[[#This Row],[Quantity]]&gt;0))=1</f>
        <v>1</v>
      </c>
      <c r="K646" t="b">
        <f>((Table3[[#This Row],[Quantity]]&gt;=Table3[[#This Row],[Return Qty]])*(ISNUMBER(Table3[[#This Row],[Quantity]])))=1</f>
        <v>1</v>
      </c>
      <c r="L646" t="b">
        <f>ISNUMBER(Table3[[#This Row],[Unit Price]])</f>
        <v>1</v>
      </c>
      <c r="M646" t="b">
        <f>ISNUMBER(Table3[[#This Row],[Order Date]])</f>
        <v>1</v>
      </c>
      <c r="N646">
        <f>IFERROR(IF(Table3[[#This Row],[Quantity]]*Table3[[#This Row],[Unit Price]]&lt;0, "N/A", Table3[[#This Row],[Quantity]]*Table3[[#This Row],[Unit Price]]), "N/A")</f>
        <v>12000</v>
      </c>
      <c r="O646">
        <f>IFERROR(Table3[[#This Row],[Unit Price]]*Table3[[#This Row],[Return Qty]], "N/A")</f>
        <v>0</v>
      </c>
      <c r="P646">
        <f>IFERROR(IF((Table3[[#This Row],[Revenue before return]]-Table3[[#This Row],[Amount of order  returned]])&lt;0, "N/A", Table3[[#This Row],[Revenue before return]]-Table3[[#This Row],[Amount of order  returned]]), "N/A")</f>
        <v>12000</v>
      </c>
      <c r="Q64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47" spans="1:17" x14ac:dyDescent="0.2">
      <c r="A647" t="s">
        <v>1010</v>
      </c>
      <c r="B647" t="s">
        <v>21</v>
      </c>
      <c r="C647" t="s">
        <v>10</v>
      </c>
      <c r="D647" s="6">
        <v>24</v>
      </c>
      <c r="E647" s="5">
        <v>15000</v>
      </c>
      <c r="F647" t="s">
        <v>516</v>
      </c>
      <c r="G647" s="7">
        <v>46074</v>
      </c>
      <c r="H647" s="5">
        <v>0</v>
      </c>
      <c r="I64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47" t="b">
        <f>((ISNUMBER(Table3[[#This Row],[Quantity]]) )* (Table3[[#This Row],[Quantity]]&gt;0))=1</f>
        <v>1</v>
      </c>
      <c r="K647" t="b">
        <f>((Table3[[#This Row],[Quantity]]&gt;=Table3[[#This Row],[Return Qty]])*(ISNUMBER(Table3[[#This Row],[Quantity]])))=1</f>
        <v>1</v>
      </c>
      <c r="L647" t="b">
        <f>ISNUMBER(Table3[[#This Row],[Unit Price]])</f>
        <v>1</v>
      </c>
      <c r="M647" t="b">
        <f>ISNUMBER(Table3[[#This Row],[Order Date]])</f>
        <v>1</v>
      </c>
      <c r="N647">
        <f>IFERROR(IF(Table3[[#This Row],[Quantity]]*Table3[[#This Row],[Unit Price]]&lt;0, "N/A", Table3[[#This Row],[Quantity]]*Table3[[#This Row],[Unit Price]]), "N/A")</f>
        <v>360000</v>
      </c>
      <c r="O647">
        <f>IFERROR(Table3[[#This Row],[Unit Price]]*Table3[[#This Row],[Return Qty]], "N/A")</f>
        <v>0</v>
      </c>
      <c r="P647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64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48" spans="1:17" x14ac:dyDescent="0.2">
      <c r="A648" t="s">
        <v>1011</v>
      </c>
      <c r="B648" t="s">
        <v>9</v>
      </c>
      <c r="C648" t="s">
        <v>32</v>
      </c>
      <c r="D648" s="6">
        <v>3</v>
      </c>
      <c r="E648" s="5">
        <v>8000</v>
      </c>
      <c r="F648" t="s">
        <v>137</v>
      </c>
      <c r="G648" s="7">
        <v>46109</v>
      </c>
      <c r="H648" s="5">
        <v>0</v>
      </c>
      <c r="I64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48" t="b">
        <f>((ISNUMBER(Table3[[#This Row],[Quantity]]) )* (Table3[[#This Row],[Quantity]]&gt;0))=1</f>
        <v>1</v>
      </c>
      <c r="K648" t="b">
        <f>((Table3[[#This Row],[Quantity]]&gt;=Table3[[#This Row],[Return Qty]])*(ISNUMBER(Table3[[#This Row],[Quantity]])))=1</f>
        <v>1</v>
      </c>
      <c r="L648" t="b">
        <f>ISNUMBER(Table3[[#This Row],[Unit Price]])</f>
        <v>1</v>
      </c>
      <c r="M648" t="b">
        <f>ISNUMBER(Table3[[#This Row],[Order Date]])</f>
        <v>1</v>
      </c>
      <c r="N648">
        <f>IFERROR(IF(Table3[[#This Row],[Quantity]]*Table3[[#This Row],[Unit Price]]&lt;0, "N/A", Table3[[#This Row],[Quantity]]*Table3[[#This Row],[Unit Price]]), "N/A")</f>
        <v>24000</v>
      </c>
      <c r="O648">
        <f>IFERROR(Table3[[#This Row],[Unit Price]]*Table3[[#This Row],[Return Qty]], "N/A")</f>
        <v>0</v>
      </c>
      <c r="P648">
        <f>IFERROR(IF((Table3[[#This Row],[Revenue before return]]-Table3[[#This Row],[Amount of order  returned]])&lt;0, "N/A", Table3[[#This Row],[Revenue before return]]-Table3[[#This Row],[Amount of order  returned]]), "N/A")</f>
        <v>24000</v>
      </c>
      <c r="Q64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49" spans="1:17" x14ac:dyDescent="0.2">
      <c r="A649" t="s">
        <v>1013</v>
      </c>
      <c r="B649" t="s">
        <v>14</v>
      </c>
      <c r="C649" t="s">
        <v>26</v>
      </c>
      <c r="D649" s="6">
        <v>2</v>
      </c>
      <c r="E649" s="5">
        <v>20000</v>
      </c>
      <c r="F649" t="s">
        <v>507</v>
      </c>
      <c r="G649" s="7">
        <v>46084</v>
      </c>
      <c r="H649" s="5">
        <v>0</v>
      </c>
      <c r="I64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49" t="b">
        <f>((ISNUMBER(Table3[[#This Row],[Quantity]]) )* (Table3[[#This Row],[Quantity]]&gt;0))=1</f>
        <v>1</v>
      </c>
      <c r="K649" t="b">
        <f>((Table3[[#This Row],[Quantity]]&gt;=Table3[[#This Row],[Return Qty]])*(ISNUMBER(Table3[[#This Row],[Quantity]])))=1</f>
        <v>1</v>
      </c>
      <c r="L649" t="b">
        <f>ISNUMBER(Table3[[#This Row],[Unit Price]])</f>
        <v>1</v>
      </c>
      <c r="M649" t="b">
        <f>ISNUMBER(Table3[[#This Row],[Order Date]])</f>
        <v>1</v>
      </c>
      <c r="N649">
        <f>IFERROR(IF(Table3[[#This Row],[Quantity]]*Table3[[#This Row],[Unit Price]]&lt;0, "N/A", Table3[[#This Row],[Quantity]]*Table3[[#This Row],[Unit Price]]), "N/A")</f>
        <v>40000</v>
      </c>
      <c r="O649">
        <f>IFERROR(Table3[[#This Row],[Unit Price]]*Table3[[#This Row],[Return Qty]], "N/A")</f>
        <v>0</v>
      </c>
      <c r="P649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64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50" spans="1:17" x14ac:dyDescent="0.2">
      <c r="A650" t="s">
        <v>1014</v>
      </c>
      <c r="B650" t="s">
        <v>9</v>
      </c>
      <c r="C650" t="s">
        <v>70</v>
      </c>
      <c r="D650" s="6">
        <v>15</v>
      </c>
      <c r="E650" s="5">
        <v>28000</v>
      </c>
      <c r="F650" t="s">
        <v>146</v>
      </c>
      <c r="G650" s="7">
        <v>46197</v>
      </c>
      <c r="H650" s="5">
        <v>0</v>
      </c>
      <c r="I65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50" t="b">
        <f>((ISNUMBER(Table3[[#This Row],[Quantity]]) )* (Table3[[#This Row],[Quantity]]&gt;0))=1</f>
        <v>1</v>
      </c>
      <c r="K650" t="b">
        <f>((Table3[[#This Row],[Quantity]]&gt;=Table3[[#This Row],[Return Qty]])*(ISNUMBER(Table3[[#This Row],[Quantity]])))=1</f>
        <v>1</v>
      </c>
      <c r="L650" t="b">
        <f>ISNUMBER(Table3[[#This Row],[Unit Price]])</f>
        <v>1</v>
      </c>
      <c r="M650" t="b">
        <f>ISNUMBER(Table3[[#This Row],[Order Date]])</f>
        <v>1</v>
      </c>
      <c r="N650">
        <f>IFERROR(IF(Table3[[#This Row],[Quantity]]*Table3[[#This Row],[Unit Price]]&lt;0, "N/A", Table3[[#This Row],[Quantity]]*Table3[[#This Row],[Unit Price]]), "N/A")</f>
        <v>420000</v>
      </c>
      <c r="O650">
        <f>IFERROR(Table3[[#This Row],[Unit Price]]*Table3[[#This Row],[Return Qty]], "N/A")</f>
        <v>0</v>
      </c>
      <c r="P650">
        <f>IFERROR(IF((Table3[[#This Row],[Revenue before return]]-Table3[[#This Row],[Amount of order  returned]])&lt;0, "N/A", Table3[[#This Row],[Revenue before return]]-Table3[[#This Row],[Amount of order  returned]]), "N/A")</f>
        <v>420000</v>
      </c>
      <c r="Q65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51" spans="1:17" x14ac:dyDescent="0.2">
      <c r="A651" t="s">
        <v>1015</v>
      </c>
      <c r="B651" t="s">
        <v>25</v>
      </c>
      <c r="C651" t="s">
        <v>18</v>
      </c>
      <c r="D651" s="6">
        <v>14</v>
      </c>
      <c r="E651" s="5">
        <v>50000</v>
      </c>
      <c r="F651" t="s">
        <v>241</v>
      </c>
      <c r="G651" s="7">
        <v>46175</v>
      </c>
      <c r="H651" s="5">
        <v>3</v>
      </c>
      <c r="I65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51" t="b">
        <f>((ISNUMBER(Table3[[#This Row],[Quantity]]) )* (Table3[[#This Row],[Quantity]]&gt;0))=1</f>
        <v>1</v>
      </c>
      <c r="K651" t="b">
        <f>((Table3[[#This Row],[Quantity]]&gt;=Table3[[#This Row],[Return Qty]])*(ISNUMBER(Table3[[#This Row],[Quantity]])))=1</f>
        <v>1</v>
      </c>
      <c r="L651" t="b">
        <f>ISNUMBER(Table3[[#This Row],[Unit Price]])</f>
        <v>1</v>
      </c>
      <c r="M651" t="b">
        <f>ISNUMBER(Table3[[#This Row],[Order Date]])</f>
        <v>1</v>
      </c>
      <c r="N651">
        <f>IFERROR(IF(Table3[[#This Row],[Quantity]]*Table3[[#This Row],[Unit Price]]&lt;0, "N/A", Table3[[#This Row],[Quantity]]*Table3[[#This Row],[Unit Price]]), "N/A")</f>
        <v>700000</v>
      </c>
      <c r="O651">
        <f>IFERROR(Table3[[#This Row],[Unit Price]]*Table3[[#This Row],[Return Qty]], "N/A")</f>
        <v>150000</v>
      </c>
      <c r="P651">
        <f>IFERROR(IF((Table3[[#This Row],[Revenue before return]]-Table3[[#This Row],[Amount of order  returned]])&lt;0, "N/A", Table3[[#This Row],[Revenue before return]]-Table3[[#This Row],[Amount of order  returned]]), "N/A")</f>
        <v>550000</v>
      </c>
      <c r="Q65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52" spans="1:17" x14ac:dyDescent="0.2">
      <c r="A652" t="s">
        <v>1016</v>
      </c>
      <c r="B652" t="s">
        <v>21</v>
      </c>
      <c r="C652" t="s">
        <v>18</v>
      </c>
      <c r="D652" s="6">
        <v>9</v>
      </c>
      <c r="E652" s="5">
        <v>75000</v>
      </c>
      <c r="F652" t="s">
        <v>92</v>
      </c>
      <c r="G652" s="7">
        <v>46077</v>
      </c>
      <c r="H652" s="5">
        <v>0</v>
      </c>
      <c r="I65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52" t="b">
        <f>((ISNUMBER(Table3[[#This Row],[Quantity]]) )* (Table3[[#This Row],[Quantity]]&gt;0))=1</f>
        <v>1</v>
      </c>
      <c r="K652" t="b">
        <f>((Table3[[#This Row],[Quantity]]&gt;=Table3[[#This Row],[Return Qty]])*(ISNUMBER(Table3[[#This Row],[Quantity]])))=1</f>
        <v>1</v>
      </c>
      <c r="L652" t="b">
        <f>ISNUMBER(Table3[[#This Row],[Unit Price]])</f>
        <v>1</v>
      </c>
      <c r="M652" t="b">
        <f>ISNUMBER(Table3[[#This Row],[Order Date]])</f>
        <v>1</v>
      </c>
      <c r="N652">
        <f>IFERROR(IF(Table3[[#This Row],[Quantity]]*Table3[[#This Row],[Unit Price]]&lt;0, "N/A", Table3[[#This Row],[Quantity]]*Table3[[#This Row],[Unit Price]]), "N/A")</f>
        <v>675000</v>
      </c>
      <c r="O652">
        <f>IFERROR(Table3[[#This Row],[Unit Price]]*Table3[[#This Row],[Return Qty]], "N/A")</f>
        <v>0</v>
      </c>
      <c r="P652">
        <f>IFERROR(IF((Table3[[#This Row],[Revenue before return]]-Table3[[#This Row],[Amount of order  returned]])&lt;0, "N/A", Table3[[#This Row],[Revenue before return]]-Table3[[#This Row],[Amount of order  returned]]), "N/A")</f>
        <v>675000</v>
      </c>
      <c r="Q65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53" spans="1:17" x14ac:dyDescent="0.2">
      <c r="A653" t="s">
        <v>1017</v>
      </c>
      <c r="B653" t="s">
        <v>9</v>
      </c>
      <c r="C653" t="s">
        <v>10</v>
      </c>
      <c r="D653" s="6">
        <v>-5</v>
      </c>
      <c r="E653" s="5">
        <v>15000</v>
      </c>
      <c r="F653" t="s">
        <v>784</v>
      </c>
      <c r="G653" s="7">
        <v>46108</v>
      </c>
      <c r="H653" s="5">
        <v>0</v>
      </c>
      <c r="I65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53" t="b">
        <f>((ISNUMBER(Table3[[#This Row],[Quantity]]) )* (Table3[[#This Row],[Quantity]]&gt;0))=1</f>
        <v>0</v>
      </c>
      <c r="K653" t="b">
        <f>((Table3[[#This Row],[Quantity]]&gt;=Table3[[#This Row],[Return Qty]])*(ISNUMBER(Table3[[#This Row],[Quantity]])))=1</f>
        <v>0</v>
      </c>
      <c r="L653" t="b">
        <f>ISNUMBER(Table3[[#This Row],[Unit Price]])</f>
        <v>1</v>
      </c>
      <c r="M653" t="b">
        <f>ISNUMBER(Table3[[#This Row],[Order Date]])</f>
        <v>1</v>
      </c>
      <c r="N653" t="str">
        <f>IFERROR(IF(Table3[[#This Row],[Quantity]]*Table3[[#This Row],[Unit Price]]&lt;0, "N/A", Table3[[#This Row],[Quantity]]*Table3[[#This Row],[Unit Price]]), "N/A")</f>
        <v>N/A</v>
      </c>
      <c r="O653">
        <f>IFERROR(Table3[[#This Row],[Unit Price]]*Table3[[#This Row],[Return Qty]], "N/A")</f>
        <v>0</v>
      </c>
      <c r="P653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65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654" spans="1:17" x14ac:dyDescent="0.2">
      <c r="A654" t="s">
        <v>1018</v>
      </c>
      <c r="B654" t="s">
        <v>14</v>
      </c>
      <c r="C654" t="s">
        <v>70</v>
      </c>
      <c r="D654" s="6">
        <v>1</v>
      </c>
      <c r="E654" s="5">
        <v>28000</v>
      </c>
      <c r="F654" t="s">
        <v>263</v>
      </c>
      <c r="G654" s="7">
        <v>46148</v>
      </c>
      <c r="H654" s="5">
        <v>0</v>
      </c>
      <c r="I65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54" t="b">
        <f>((ISNUMBER(Table3[[#This Row],[Quantity]]) )* (Table3[[#This Row],[Quantity]]&gt;0))=1</f>
        <v>1</v>
      </c>
      <c r="K654" t="b">
        <f>((Table3[[#This Row],[Quantity]]&gt;=Table3[[#This Row],[Return Qty]])*(ISNUMBER(Table3[[#This Row],[Quantity]])))=1</f>
        <v>1</v>
      </c>
      <c r="L654" t="b">
        <f>ISNUMBER(Table3[[#This Row],[Unit Price]])</f>
        <v>1</v>
      </c>
      <c r="M654" t="b">
        <f>ISNUMBER(Table3[[#This Row],[Order Date]])</f>
        <v>1</v>
      </c>
      <c r="N654">
        <f>IFERROR(IF(Table3[[#This Row],[Quantity]]*Table3[[#This Row],[Unit Price]]&lt;0, "N/A", Table3[[#This Row],[Quantity]]*Table3[[#This Row],[Unit Price]]), "N/A")</f>
        <v>28000</v>
      </c>
      <c r="O654">
        <f>IFERROR(Table3[[#This Row],[Unit Price]]*Table3[[#This Row],[Return Qty]], "N/A")</f>
        <v>0</v>
      </c>
      <c r="P654">
        <f>IFERROR(IF((Table3[[#This Row],[Revenue before return]]-Table3[[#This Row],[Amount of order  returned]])&lt;0, "N/A", Table3[[#This Row],[Revenue before return]]-Table3[[#This Row],[Amount of order  returned]]), "N/A")</f>
        <v>28000</v>
      </c>
      <c r="Q65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55" spans="1:17" x14ac:dyDescent="0.2">
      <c r="A655" t="s">
        <v>1019</v>
      </c>
      <c r="B655" t="s">
        <v>9</v>
      </c>
      <c r="C655" t="s">
        <v>18</v>
      </c>
      <c r="D655" s="6">
        <v>20</v>
      </c>
      <c r="E655" s="5">
        <v>50000</v>
      </c>
      <c r="F655" t="s">
        <v>226</v>
      </c>
      <c r="G655" s="7">
        <v>46099</v>
      </c>
      <c r="H655" s="5">
        <v>0</v>
      </c>
      <c r="I65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55" t="b">
        <f>((ISNUMBER(Table3[[#This Row],[Quantity]]) )* (Table3[[#This Row],[Quantity]]&gt;0))=1</f>
        <v>1</v>
      </c>
      <c r="K655" t="b">
        <f>((Table3[[#This Row],[Quantity]]&gt;=Table3[[#This Row],[Return Qty]])*(ISNUMBER(Table3[[#This Row],[Quantity]])))=1</f>
        <v>1</v>
      </c>
      <c r="L655" t="b">
        <f>ISNUMBER(Table3[[#This Row],[Unit Price]])</f>
        <v>1</v>
      </c>
      <c r="M655" t="b">
        <f>ISNUMBER(Table3[[#This Row],[Order Date]])</f>
        <v>1</v>
      </c>
      <c r="N655">
        <f>IFERROR(IF(Table3[[#This Row],[Quantity]]*Table3[[#This Row],[Unit Price]]&lt;0, "N/A", Table3[[#This Row],[Quantity]]*Table3[[#This Row],[Unit Price]]), "N/A")</f>
        <v>1000000</v>
      </c>
      <c r="O655">
        <f>IFERROR(Table3[[#This Row],[Unit Price]]*Table3[[#This Row],[Return Qty]], "N/A")</f>
        <v>0</v>
      </c>
      <c r="P655">
        <f>IFERROR(IF((Table3[[#This Row],[Revenue before return]]-Table3[[#This Row],[Amount of order  returned]])&lt;0, "N/A", Table3[[#This Row],[Revenue before return]]-Table3[[#This Row],[Amount of order  returned]]), "N/A")</f>
        <v>1000000</v>
      </c>
      <c r="Q65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56" spans="1:17" x14ac:dyDescent="0.2">
      <c r="A656" t="s">
        <v>1020</v>
      </c>
      <c r="B656" t="s">
        <v>14</v>
      </c>
      <c r="C656" t="s">
        <v>32</v>
      </c>
      <c r="D656" s="6">
        <v>17</v>
      </c>
      <c r="E656" s="5">
        <v>8000</v>
      </c>
      <c r="F656" t="s">
        <v>54</v>
      </c>
      <c r="G656" s="7">
        <v>46178</v>
      </c>
      <c r="H656" s="5">
        <v>1</v>
      </c>
      <c r="I65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56" t="b">
        <f>((ISNUMBER(Table3[[#This Row],[Quantity]]) )* (Table3[[#This Row],[Quantity]]&gt;0))=1</f>
        <v>1</v>
      </c>
      <c r="K656" t="b">
        <f>((Table3[[#This Row],[Quantity]]&gt;=Table3[[#This Row],[Return Qty]])*(ISNUMBER(Table3[[#This Row],[Quantity]])))=1</f>
        <v>1</v>
      </c>
      <c r="L656" t="b">
        <f>ISNUMBER(Table3[[#This Row],[Unit Price]])</f>
        <v>1</v>
      </c>
      <c r="M656" t="b">
        <f>ISNUMBER(Table3[[#This Row],[Order Date]])</f>
        <v>1</v>
      </c>
      <c r="N656">
        <f>IFERROR(IF(Table3[[#This Row],[Quantity]]*Table3[[#This Row],[Unit Price]]&lt;0, "N/A", Table3[[#This Row],[Quantity]]*Table3[[#This Row],[Unit Price]]), "N/A")</f>
        <v>136000</v>
      </c>
      <c r="O656">
        <f>IFERROR(Table3[[#This Row],[Unit Price]]*Table3[[#This Row],[Return Qty]], "N/A")</f>
        <v>8000</v>
      </c>
      <c r="P656">
        <f>IFERROR(IF((Table3[[#This Row],[Revenue before return]]-Table3[[#This Row],[Amount of order  returned]])&lt;0, "N/A", Table3[[#This Row],[Revenue before return]]-Table3[[#This Row],[Amount of order  returned]]), "N/A")</f>
        <v>128000</v>
      </c>
      <c r="Q65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57" spans="1:17" x14ac:dyDescent="0.2">
      <c r="A657" t="s">
        <v>1021</v>
      </c>
      <c r="B657" t="s">
        <v>9</v>
      </c>
      <c r="C657" t="s">
        <v>70</v>
      </c>
      <c r="D657" s="6">
        <v>8</v>
      </c>
      <c r="E657" s="5">
        <v>28000</v>
      </c>
      <c r="F657" t="s">
        <v>103</v>
      </c>
      <c r="G657" s="7">
        <v>46033</v>
      </c>
      <c r="H657" s="5">
        <v>0</v>
      </c>
      <c r="I65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57" t="b">
        <f>((ISNUMBER(Table3[[#This Row],[Quantity]]) )* (Table3[[#This Row],[Quantity]]&gt;0))=1</f>
        <v>1</v>
      </c>
      <c r="K657" t="b">
        <f>((Table3[[#This Row],[Quantity]]&gt;=Table3[[#This Row],[Return Qty]])*(ISNUMBER(Table3[[#This Row],[Quantity]])))=1</f>
        <v>1</v>
      </c>
      <c r="L657" t="b">
        <f>ISNUMBER(Table3[[#This Row],[Unit Price]])</f>
        <v>1</v>
      </c>
      <c r="M657" t="b">
        <f>ISNUMBER(Table3[[#This Row],[Order Date]])</f>
        <v>1</v>
      </c>
      <c r="N657">
        <f>IFERROR(IF(Table3[[#This Row],[Quantity]]*Table3[[#This Row],[Unit Price]]&lt;0, "N/A", Table3[[#This Row],[Quantity]]*Table3[[#This Row],[Unit Price]]), "N/A")</f>
        <v>224000</v>
      </c>
      <c r="O657">
        <f>IFERROR(Table3[[#This Row],[Unit Price]]*Table3[[#This Row],[Return Qty]], "N/A")</f>
        <v>0</v>
      </c>
      <c r="P657">
        <f>IFERROR(IF((Table3[[#This Row],[Revenue before return]]-Table3[[#This Row],[Amount of order  returned]])&lt;0, "N/A", Table3[[#This Row],[Revenue before return]]-Table3[[#This Row],[Amount of order  returned]]), "N/A")</f>
        <v>224000</v>
      </c>
      <c r="Q65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58" spans="1:17" x14ac:dyDescent="0.2">
      <c r="A658" t="s">
        <v>1022</v>
      </c>
      <c r="B658" t="s">
        <v>25</v>
      </c>
      <c r="C658" t="s">
        <v>45</v>
      </c>
      <c r="D658" s="6">
        <v>6</v>
      </c>
      <c r="E658" s="5">
        <v>20000</v>
      </c>
      <c r="F658" t="s">
        <v>11</v>
      </c>
      <c r="G658" s="7">
        <v>46109</v>
      </c>
      <c r="H658" s="5">
        <v>2</v>
      </c>
      <c r="I65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58" t="b">
        <f>((ISNUMBER(Table3[[#This Row],[Quantity]]) )* (Table3[[#This Row],[Quantity]]&gt;0))=1</f>
        <v>1</v>
      </c>
      <c r="K658" t="b">
        <f>((Table3[[#This Row],[Quantity]]&gt;=Table3[[#This Row],[Return Qty]])*(ISNUMBER(Table3[[#This Row],[Quantity]])))=1</f>
        <v>1</v>
      </c>
      <c r="L658" t="b">
        <f>ISNUMBER(Table3[[#This Row],[Unit Price]])</f>
        <v>1</v>
      </c>
      <c r="M658" t="b">
        <f>ISNUMBER(Table3[[#This Row],[Order Date]])</f>
        <v>1</v>
      </c>
      <c r="N658">
        <f>IFERROR(IF(Table3[[#This Row],[Quantity]]*Table3[[#This Row],[Unit Price]]&lt;0, "N/A", Table3[[#This Row],[Quantity]]*Table3[[#This Row],[Unit Price]]), "N/A")</f>
        <v>120000</v>
      </c>
      <c r="O658">
        <f>IFERROR(Table3[[#This Row],[Unit Price]]*Table3[[#This Row],[Return Qty]], "N/A")</f>
        <v>40000</v>
      </c>
      <c r="P658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65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59" spans="1:17" x14ac:dyDescent="0.2">
      <c r="A659" t="s">
        <v>1023</v>
      </c>
      <c r="B659" t="s">
        <v>21</v>
      </c>
      <c r="C659" t="s">
        <v>45</v>
      </c>
      <c r="D659" s="6">
        <v>3</v>
      </c>
      <c r="E659" s="5">
        <v>20000</v>
      </c>
      <c r="F659" t="s">
        <v>410</v>
      </c>
      <c r="G659" s="7">
        <v>46026</v>
      </c>
      <c r="H659" s="5">
        <v>0</v>
      </c>
      <c r="I65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59" t="b">
        <f>((ISNUMBER(Table3[[#This Row],[Quantity]]) )* (Table3[[#This Row],[Quantity]]&gt;0))=1</f>
        <v>1</v>
      </c>
      <c r="K659" t="b">
        <f>((Table3[[#This Row],[Quantity]]&gt;=Table3[[#This Row],[Return Qty]])*(ISNUMBER(Table3[[#This Row],[Quantity]])))=1</f>
        <v>1</v>
      </c>
      <c r="L659" t="b">
        <f>ISNUMBER(Table3[[#This Row],[Unit Price]])</f>
        <v>1</v>
      </c>
      <c r="M659" t="b">
        <f>ISNUMBER(Table3[[#This Row],[Order Date]])</f>
        <v>1</v>
      </c>
      <c r="N659">
        <f>IFERROR(IF(Table3[[#This Row],[Quantity]]*Table3[[#This Row],[Unit Price]]&lt;0, "N/A", Table3[[#This Row],[Quantity]]*Table3[[#This Row],[Unit Price]]), "N/A")</f>
        <v>60000</v>
      </c>
      <c r="O659">
        <f>IFERROR(Table3[[#This Row],[Unit Price]]*Table3[[#This Row],[Return Qty]], "N/A")</f>
        <v>0</v>
      </c>
      <c r="P659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65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60" spans="1:17" x14ac:dyDescent="0.2">
      <c r="A660" t="s">
        <v>1024</v>
      </c>
      <c r="B660" t="s">
        <v>25</v>
      </c>
      <c r="C660" t="s">
        <v>22</v>
      </c>
      <c r="D660" s="6">
        <v>1</v>
      </c>
      <c r="E660" s="5">
        <v>35000</v>
      </c>
      <c r="F660" t="s">
        <v>33</v>
      </c>
      <c r="G660" s="7">
        <v>46168</v>
      </c>
      <c r="H660" s="5">
        <v>0</v>
      </c>
      <c r="I66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60" t="b">
        <f>((ISNUMBER(Table3[[#This Row],[Quantity]]) )* (Table3[[#This Row],[Quantity]]&gt;0))=1</f>
        <v>1</v>
      </c>
      <c r="K660" t="b">
        <f>((Table3[[#This Row],[Quantity]]&gt;=Table3[[#This Row],[Return Qty]])*(ISNUMBER(Table3[[#This Row],[Quantity]])))=1</f>
        <v>1</v>
      </c>
      <c r="L660" t="b">
        <f>ISNUMBER(Table3[[#This Row],[Unit Price]])</f>
        <v>1</v>
      </c>
      <c r="M660" t="b">
        <f>ISNUMBER(Table3[[#This Row],[Order Date]])</f>
        <v>1</v>
      </c>
      <c r="N660">
        <f>IFERROR(IF(Table3[[#This Row],[Quantity]]*Table3[[#This Row],[Unit Price]]&lt;0, "N/A", Table3[[#This Row],[Quantity]]*Table3[[#This Row],[Unit Price]]), "N/A")</f>
        <v>35000</v>
      </c>
      <c r="O660">
        <f>IFERROR(Table3[[#This Row],[Unit Price]]*Table3[[#This Row],[Return Qty]], "N/A")</f>
        <v>0</v>
      </c>
      <c r="P660">
        <f>IFERROR(IF((Table3[[#This Row],[Revenue before return]]-Table3[[#This Row],[Amount of order  returned]])&lt;0, "N/A", Table3[[#This Row],[Revenue before return]]-Table3[[#This Row],[Amount of order  returned]]), "N/A")</f>
        <v>35000</v>
      </c>
      <c r="Q66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61" spans="1:17" x14ac:dyDescent="0.2">
      <c r="A661" t="s">
        <v>1025</v>
      </c>
      <c r="B661" t="s">
        <v>21</v>
      </c>
      <c r="C661" t="s">
        <v>22</v>
      </c>
      <c r="D661" s="6">
        <v>13</v>
      </c>
      <c r="E661" s="5">
        <v>35000</v>
      </c>
      <c r="F661" t="s">
        <v>452</v>
      </c>
      <c r="G661" s="7">
        <v>46160</v>
      </c>
      <c r="H661" s="5">
        <v>0</v>
      </c>
      <c r="I66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61" t="b">
        <f>((ISNUMBER(Table3[[#This Row],[Quantity]]) )* (Table3[[#This Row],[Quantity]]&gt;0))=1</f>
        <v>1</v>
      </c>
      <c r="K661" t="b">
        <f>((Table3[[#This Row],[Quantity]]&gt;=Table3[[#This Row],[Return Qty]])*(ISNUMBER(Table3[[#This Row],[Quantity]])))=1</f>
        <v>1</v>
      </c>
      <c r="L661" t="b">
        <f>ISNUMBER(Table3[[#This Row],[Unit Price]])</f>
        <v>1</v>
      </c>
      <c r="M661" t="b">
        <f>ISNUMBER(Table3[[#This Row],[Order Date]])</f>
        <v>1</v>
      </c>
      <c r="N661">
        <f>IFERROR(IF(Table3[[#This Row],[Quantity]]*Table3[[#This Row],[Unit Price]]&lt;0, "N/A", Table3[[#This Row],[Quantity]]*Table3[[#This Row],[Unit Price]]), "N/A")</f>
        <v>455000</v>
      </c>
      <c r="O661">
        <f>IFERROR(Table3[[#This Row],[Unit Price]]*Table3[[#This Row],[Return Qty]], "N/A")</f>
        <v>0</v>
      </c>
      <c r="P661">
        <f>IFERROR(IF((Table3[[#This Row],[Revenue before return]]-Table3[[#This Row],[Amount of order  returned]])&lt;0, "N/A", Table3[[#This Row],[Revenue before return]]-Table3[[#This Row],[Amount of order  returned]]), "N/A")</f>
        <v>455000</v>
      </c>
      <c r="Q66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62" spans="1:17" x14ac:dyDescent="0.2">
      <c r="A662" t="s">
        <v>1026</v>
      </c>
      <c r="B662" t="s">
        <v>990</v>
      </c>
      <c r="C662" t="s">
        <v>18</v>
      </c>
      <c r="D662" s="6">
        <v>10</v>
      </c>
      <c r="E662" s="5">
        <v>50000</v>
      </c>
      <c r="F662" t="s">
        <v>630</v>
      </c>
      <c r="G662" s="7">
        <v>46082</v>
      </c>
      <c r="H662" s="5">
        <v>0</v>
      </c>
      <c r="I66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62" t="b">
        <f>((ISNUMBER(Table3[[#This Row],[Quantity]]) )* (Table3[[#This Row],[Quantity]]&gt;0))=1</f>
        <v>1</v>
      </c>
      <c r="K662" t="b">
        <f>((Table3[[#This Row],[Quantity]]&gt;=Table3[[#This Row],[Return Qty]])*(ISNUMBER(Table3[[#This Row],[Quantity]])))=1</f>
        <v>1</v>
      </c>
      <c r="L662" t="b">
        <f>ISNUMBER(Table3[[#This Row],[Unit Price]])</f>
        <v>1</v>
      </c>
      <c r="M662" t="b">
        <f>ISNUMBER(Table3[[#This Row],[Order Date]])</f>
        <v>1</v>
      </c>
      <c r="N662">
        <f>IFERROR(IF(Table3[[#This Row],[Quantity]]*Table3[[#This Row],[Unit Price]]&lt;0, "N/A", Table3[[#This Row],[Quantity]]*Table3[[#This Row],[Unit Price]]), "N/A")</f>
        <v>500000</v>
      </c>
      <c r="O662">
        <f>IFERROR(Table3[[#This Row],[Unit Price]]*Table3[[#This Row],[Return Qty]], "N/A")</f>
        <v>0</v>
      </c>
      <c r="P662">
        <f>IFERROR(IF((Table3[[#This Row],[Revenue before return]]-Table3[[#This Row],[Amount of order  returned]])&lt;0, "N/A", Table3[[#This Row],[Revenue before return]]-Table3[[#This Row],[Amount of order  returned]]), "N/A")</f>
        <v>500000</v>
      </c>
      <c r="Q66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63" spans="1:17" x14ac:dyDescent="0.2">
      <c r="A663" t="s">
        <v>1027</v>
      </c>
      <c r="B663" t="s">
        <v>14</v>
      </c>
      <c r="C663" t="s">
        <v>26</v>
      </c>
      <c r="D663" s="6">
        <v>6</v>
      </c>
      <c r="E663" s="5">
        <v>20000</v>
      </c>
      <c r="F663" t="s">
        <v>92</v>
      </c>
      <c r="G663" s="7">
        <v>46048</v>
      </c>
      <c r="H663" s="5">
        <v>0</v>
      </c>
      <c r="I66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63" t="b">
        <f>((ISNUMBER(Table3[[#This Row],[Quantity]]) )* (Table3[[#This Row],[Quantity]]&gt;0))=1</f>
        <v>1</v>
      </c>
      <c r="K663" t="b">
        <f>((Table3[[#This Row],[Quantity]]&gt;=Table3[[#This Row],[Return Qty]])*(ISNUMBER(Table3[[#This Row],[Quantity]])))=1</f>
        <v>1</v>
      </c>
      <c r="L663" t="b">
        <f>ISNUMBER(Table3[[#This Row],[Unit Price]])</f>
        <v>1</v>
      </c>
      <c r="M663" t="b">
        <f>ISNUMBER(Table3[[#This Row],[Order Date]])</f>
        <v>1</v>
      </c>
      <c r="N663">
        <f>IFERROR(IF(Table3[[#This Row],[Quantity]]*Table3[[#This Row],[Unit Price]]&lt;0, "N/A", Table3[[#This Row],[Quantity]]*Table3[[#This Row],[Unit Price]]), "N/A")</f>
        <v>120000</v>
      </c>
      <c r="O663">
        <f>IFERROR(Table3[[#This Row],[Unit Price]]*Table3[[#This Row],[Return Qty]], "N/A")</f>
        <v>0</v>
      </c>
      <c r="P663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66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64" spans="1:17" x14ac:dyDescent="0.2">
      <c r="A664" t="s">
        <v>1028</v>
      </c>
      <c r="B664" t="s">
        <v>25</v>
      </c>
      <c r="C664" t="s">
        <v>32</v>
      </c>
      <c r="D664" s="6">
        <v>-9</v>
      </c>
      <c r="E664" s="5">
        <v>8000</v>
      </c>
      <c r="F664" t="s">
        <v>776</v>
      </c>
      <c r="G664" s="7">
        <v>46102</v>
      </c>
      <c r="H664" s="5">
        <v>0</v>
      </c>
      <c r="I66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64" t="b">
        <f>((ISNUMBER(Table3[[#This Row],[Quantity]]) )* (Table3[[#This Row],[Quantity]]&gt;0))=1</f>
        <v>0</v>
      </c>
      <c r="K664" t="b">
        <f>((Table3[[#This Row],[Quantity]]&gt;=Table3[[#This Row],[Return Qty]])*(ISNUMBER(Table3[[#This Row],[Quantity]])))=1</f>
        <v>0</v>
      </c>
      <c r="L664" t="b">
        <f>ISNUMBER(Table3[[#This Row],[Unit Price]])</f>
        <v>1</v>
      </c>
      <c r="M664" t="b">
        <f>ISNUMBER(Table3[[#This Row],[Order Date]])</f>
        <v>1</v>
      </c>
      <c r="N664" t="str">
        <f>IFERROR(IF(Table3[[#This Row],[Quantity]]*Table3[[#This Row],[Unit Price]]&lt;0, "N/A", Table3[[#This Row],[Quantity]]*Table3[[#This Row],[Unit Price]]), "N/A")</f>
        <v>N/A</v>
      </c>
      <c r="O664">
        <f>IFERROR(Table3[[#This Row],[Unit Price]]*Table3[[#This Row],[Return Qty]], "N/A")</f>
        <v>0</v>
      </c>
      <c r="P664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66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665" spans="1:17" x14ac:dyDescent="0.2">
      <c r="A665" t="s">
        <v>1029</v>
      </c>
      <c r="B665" t="s">
        <v>25</v>
      </c>
      <c r="C665" t="s">
        <v>45</v>
      </c>
      <c r="D665" s="6">
        <v>22</v>
      </c>
      <c r="E665" s="5">
        <v>20000</v>
      </c>
      <c r="F665" t="s">
        <v>167</v>
      </c>
      <c r="G665" s="7">
        <v>46098</v>
      </c>
      <c r="H665" s="5">
        <v>0</v>
      </c>
      <c r="I66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65" t="b">
        <f>((ISNUMBER(Table3[[#This Row],[Quantity]]) )* (Table3[[#This Row],[Quantity]]&gt;0))=1</f>
        <v>1</v>
      </c>
      <c r="K665" t="b">
        <f>((Table3[[#This Row],[Quantity]]&gt;=Table3[[#This Row],[Return Qty]])*(ISNUMBER(Table3[[#This Row],[Quantity]])))=1</f>
        <v>1</v>
      </c>
      <c r="L665" t="b">
        <f>ISNUMBER(Table3[[#This Row],[Unit Price]])</f>
        <v>1</v>
      </c>
      <c r="M665" t="b">
        <f>ISNUMBER(Table3[[#This Row],[Order Date]])</f>
        <v>1</v>
      </c>
      <c r="N665">
        <f>IFERROR(IF(Table3[[#This Row],[Quantity]]*Table3[[#This Row],[Unit Price]]&lt;0, "N/A", Table3[[#This Row],[Quantity]]*Table3[[#This Row],[Unit Price]]), "N/A")</f>
        <v>440000</v>
      </c>
      <c r="O665">
        <f>IFERROR(Table3[[#This Row],[Unit Price]]*Table3[[#This Row],[Return Qty]], "N/A")</f>
        <v>0</v>
      </c>
      <c r="P665">
        <f>IFERROR(IF((Table3[[#This Row],[Revenue before return]]-Table3[[#This Row],[Amount of order  returned]])&lt;0, "N/A", Table3[[#This Row],[Revenue before return]]-Table3[[#This Row],[Amount of order  returned]]), "N/A")</f>
        <v>440000</v>
      </c>
      <c r="Q66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66" spans="1:17" x14ac:dyDescent="0.2">
      <c r="A666" t="s">
        <v>1030</v>
      </c>
      <c r="B666" t="s">
        <v>25</v>
      </c>
      <c r="C666" t="s">
        <v>18</v>
      </c>
      <c r="D666" s="6">
        <v>20</v>
      </c>
      <c r="E666" s="5" t="s">
        <v>11</v>
      </c>
      <c r="F666" t="s">
        <v>11</v>
      </c>
      <c r="G666" s="7">
        <v>46133</v>
      </c>
      <c r="H666" s="5">
        <v>0</v>
      </c>
      <c r="I66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66" t="b">
        <f>((ISNUMBER(Table3[[#This Row],[Quantity]]) )* (Table3[[#This Row],[Quantity]]&gt;0))=1</f>
        <v>1</v>
      </c>
      <c r="K666" t="b">
        <f>((Table3[[#This Row],[Quantity]]&gt;=Table3[[#This Row],[Return Qty]])*(ISNUMBER(Table3[[#This Row],[Quantity]])))=1</f>
        <v>1</v>
      </c>
      <c r="L666" t="b">
        <f>ISNUMBER(Table3[[#This Row],[Unit Price]])</f>
        <v>0</v>
      </c>
      <c r="M666" t="b">
        <f>ISNUMBER(Table3[[#This Row],[Order Date]])</f>
        <v>1</v>
      </c>
      <c r="N666" t="str">
        <f>IFERROR(IF(Table3[[#This Row],[Quantity]]*Table3[[#This Row],[Unit Price]]&lt;0, "N/A", Table3[[#This Row],[Quantity]]*Table3[[#This Row],[Unit Price]]), "N/A")</f>
        <v>N/A</v>
      </c>
      <c r="O666" t="str">
        <f>IFERROR(Table3[[#This Row],[Unit Price]]*Table3[[#This Row],[Return Qty]], "N/A")</f>
        <v>N/A</v>
      </c>
      <c r="P666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66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667" spans="1:17" x14ac:dyDescent="0.2">
      <c r="A667" t="s">
        <v>1031</v>
      </c>
      <c r="B667" t="s">
        <v>25</v>
      </c>
      <c r="C667" t="s">
        <v>10</v>
      </c>
      <c r="D667" s="6">
        <v>3</v>
      </c>
      <c r="E667" s="5">
        <v>15000</v>
      </c>
      <c r="F667" t="s">
        <v>942</v>
      </c>
      <c r="G667" s="7">
        <v>46026</v>
      </c>
      <c r="H667" s="5">
        <v>0</v>
      </c>
      <c r="I66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67" t="b">
        <f>((ISNUMBER(Table3[[#This Row],[Quantity]]) )* (Table3[[#This Row],[Quantity]]&gt;0))=1</f>
        <v>1</v>
      </c>
      <c r="K667" t="b">
        <f>((Table3[[#This Row],[Quantity]]&gt;=Table3[[#This Row],[Return Qty]])*(ISNUMBER(Table3[[#This Row],[Quantity]])))=1</f>
        <v>1</v>
      </c>
      <c r="L667" t="b">
        <f>ISNUMBER(Table3[[#This Row],[Unit Price]])</f>
        <v>1</v>
      </c>
      <c r="M667" t="b">
        <f>ISNUMBER(Table3[[#This Row],[Order Date]])</f>
        <v>1</v>
      </c>
      <c r="N667">
        <f>IFERROR(IF(Table3[[#This Row],[Quantity]]*Table3[[#This Row],[Unit Price]]&lt;0, "N/A", Table3[[#This Row],[Quantity]]*Table3[[#This Row],[Unit Price]]), "N/A")</f>
        <v>45000</v>
      </c>
      <c r="O667">
        <f>IFERROR(Table3[[#This Row],[Unit Price]]*Table3[[#This Row],[Return Qty]], "N/A")</f>
        <v>0</v>
      </c>
      <c r="P667">
        <f>IFERROR(IF((Table3[[#This Row],[Revenue before return]]-Table3[[#This Row],[Amount of order  returned]])&lt;0, "N/A", Table3[[#This Row],[Revenue before return]]-Table3[[#This Row],[Amount of order  returned]]), "N/A")</f>
        <v>45000</v>
      </c>
      <c r="Q66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68" spans="1:17" x14ac:dyDescent="0.2">
      <c r="A668" t="s">
        <v>1032</v>
      </c>
      <c r="B668" t="s">
        <v>21</v>
      </c>
      <c r="C668" t="s">
        <v>45</v>
      </c>
      <c r="D668" s="6">
        <v>3</v>
      </c>
      <c r="E668" s="5">
        <v>20000</v>
      </c>
      <c r="F668" t="s">
        <v>159</v>
      </c>
      <c r="G668" s="7">
        <v>46051</v>
      </c>
      <c r="H668" s="5">
        <v>0</v>
      </c>
      <c r="I66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68" t="b">
        <f>((ISNUMBER(Table3[[#This Row],[Quantity]]) )* (Table3[[#This Row],[Quantity]]&gt;0))=1</f>
        <v>1</v>
      </c>
      <c r="K668" t="b">
        <f>((Table3[[#This Row],[Quantity]]&gt;=Table3[[#This Row],[Return Qty]])*(ISNUMBER(Table3[[#This Row],[Quantity]])))=1</f>
        <v>1</v>
      </c>
      <c r="L668" t="b">
        <f>ISNUMBER(Table3[[#This Row],[Unit Price]])</f>
        <v>1</v>
      </c>
      <c r="M668" t="b">
        <f>ISNUMBER(Table3[[#This Row],[Order Date]])</f>
        <v>1</v>
      </c>
      <c r="N668">
        <f>IFERROR(IF(Table3[[#This Row],[Quantity]]*Table3[[#This Row],[Unit Price]]&lt;0, "N/A", Table3[[#This Row],[Quantity]]*Table3[[#This Row],[Unit Price]]), "N/A")</f>
        <v>60000</v>
      </c>
      <c r="O668">
        <f>IFERROR(Table3[[#This Row],[Unit Price]]*Table3[[#This Row],[Return Qty]], "N/A")</f>
        <v>0</v>
      </c>
      <c r="P668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66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69" spans="1:17" x14ac:dyDescent="0.2">
      <c r="A669" t="s">
        <v>1033</v>
      </c>
      <c r="B669" t="s">
        <v>21</v>
      </c>
      <c r="C669" t="s">
        <v>70</v>
      </c>
      <c r="D669" s="6">
        <v>15</v>
      </c>
      <c r="E669" s="5">
        <v>28000</v>
      </c>
      <c r="F669" t="s">
        <v>614</v>
      </c>
      <c r="G669" s="7">
        <v>46200</v>
      </c>
      <c r="H669" s="5">
        <v>0</v>
      </c>
      <c r="I66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69" t="b">
        <f>((ISNUMBER(Table3[[#This Row],[Quantity]]) )* (Table3[[#This Row],[Quantity]]&gt;0))=1</f>
        <v>1</v>
      </c>
      <c r="K669" t="b">
        <f>((Table3[[#This Row],[Quantity]]&gt;=Table3[[#This Row],[Return Qty]])*(ISNUMBER(Table3[[#This Row],[Quantity]])))=1</f>
        <v>1</v>
      </c>
      <c r="L669" t="b">
        <f>ISNUMBER(Table3[[#This Row],[Unit Price]])</f>
        <v>1</v>
      </c>
      <c r="M669" t="b">
        <f>ISNUMBER(Table3[[#This Row],[Order Date]])</f>
        <v>1</v>
      </c>
      <c r="N669">
        <f>IFERROR(IF(Table3[[#This Row],[Quantity]]*Table3[[#This Row],[Unit Price]]&lt;0, "N/A", Table3[[#This Row],[Quantity]]*Table3[[#This Row],[Unit Price]]), "N/A")</f>
        <v>420000</v>
      </c>
      <c r="O669">
        <f>IFERROR(Table3[[#This Row],[Unit Price]]*Table3[[#This Row],[Return Qty]], "N/A")</f>
        <v>0</v>
      </c>
      <c r="P669">
        <f>IFERROR(IF((Table3[[#This Row],[Revenue before return]]-Table3[[#This Row],[Amount of order  returned]])&lt;0, "N/A", Table3[[#This Row],[Revenue before return]]-Table3[[#This Row],[Amount of order  returned]]), "N/A")</f>
        <v>420000</v>
      </c>
      <c r="Q66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70" spans="1:17" x14ac:dyDescent="0.2">
      <c r="A670" t="s">
        <v>1034</v>
      </c>
      <c r="B670" t="s">
        <v>25</v>
      </c>
      <c r="C670" t="s">
        <v>39</v>
      </c>
      <c r="D670" s="6">
        <v>6</v>
      </c>
      <c r="E670" s="5">
        <v>12000</v>
      </c>
      <c r="F670" t="s">
        <v>294</v>
      </c>
      <c r="G670" s="7" t="s">
        <v>11</v>
      </c>
      <c r="H670" s="5">
        <v>1</v>
      </c>
      <c r="I67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70" t="b">
        <f>((ISNUMBER(Table3[[#This Row],[Quantity]]) )* (Table3[[#This Row],[Quantity]]&gt;0))=1</f>
        <v>1</v>
      </c>
      <c r="K670" t="b">
        <f>((Table3[[#This Row],[Quantity]]&gt;=Table3[[#This Row],[Return Qty]])*(ISNUMBER(Table3[[#This Row],[Quantity]])))=1</f>
        <v>1</v>
      </c>
      <c r="L670" t="b">
        <f>ISNUMBER(Table3[[#This Row],[Unit Price]])</f>
        <v>1</v>
      </c>
      <c r="M670" t="b">
        <f>ISNUMBER(Table3[[#This Row],[Order Date]])</f>
        <v>0</v>
      </c>
      <c r="N670">
        <f>IFERROR(IF(Table3[[#This Row],[Quantity]]*Table3[[#This Row],[Unit Price]]&lt;0, "N/A", Table3[[#This Row],[Quantity]]*Table3[[#This Row],[Unit Price]]), "N/A")</f>
        <v>72000</v>
      </c>
      <c r="O670">
        <f>IFERROR(Table3[[#This Row],[Unit Price]]*Table3[[#This Row],[Return Qty]], "N/A")</f>
        <v>12000</v>
      </c>
      <c r="P670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67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671" spans="1:17" x14ac:dyDescent="0.2">
      <c r="A671" t="s">
        <v>1035</v>
      </c>
      <c r="B671" t="s">
        <v>14</v>
      </c>
      <c r="C671" t="s">
        <v>70</v>
      </c>
      <c r="D671" s="6">
        <v>6</v>
      </c>
      <c r="E671" s="5">
        <v>28000</v>
      </c>
      <c r="F671" t="s">
        <v>692</v>
      </c>
      <c r="G671" s="7">
        <v>46075</v>
      </c>
      <c r="H671" s="5">
        <v>5</v>
      </c>
      <c r="I67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71" t="b">
        <f>((ISNUMBER(Table3[[#This Row],[Quantity]]) )* (Table3[[#This Row],[Quantity]]&gt;0))=1</f>
        <v>1</v>
      </c>
      <c r="K671" t="b">
        <f>((Table3[[#This Row],[Quantity]]&gt;=Table3[[#This Row],[Return Qty]])*(ISNUMBER(Table3[[#This Row],[Quantity]])))=1</f>
        <v>1</v>
      </c>
      <c r="L671" t="b">
        <f>ISNUMBER(Table3[[#This Row],[Unit Price]])</f>
        <v>1</v>
      </c>
      <c r="M671" t="b">
        <f>ISNUMBER(Table3[[#This Row],[Order Date]])</f>
        <v>1</v>
      </c>
      <c r="N671">
        <f>IFERROR(IF(Table3[[#This Row],[Quantity]]*Table3[[#This Row],[Unit Price]]&lt;0, "N/A", Table3[[#This Row],[Quantity]]*Table3[[#This Row],[Unit Price]]), "N/A")</f>
        <v>168000</v>
      </c>
      <c r="O671">
        <f>IFERROR(Table3[[#This Row],[Unit Price]]*Table3[[#This Row],[Return Qty]], "N/A")</f>
        <v>140000</v>
      </c>
      <c r="P671">
        <f>IFERROR(IF((Table3[[#This Row],[Revenue before return]]-Table3[[#This Row],[Amount of order  returned]])&lt;0, "N/A", Table3[[#This Row],[Revenue before return]]-Table3[[#This Row],[Amount of order  returned]]), "N/A")</f>
        <v>28000</v>
      </c>
      <c r="Q67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72" spans="1:17" x14ac:dyDescent="0.2">
      <c r="A672" t="s">
        <v>1036</v>
      </c>
      <c r="B672" t="s">
        <v>14</v>
      </c>
      <c r="C672" t="s">
        <v>22</v>
      </c>
      <c r="D672" s="6">
        <v>22</v>
      </c>
      <c r="E672" s="5">
        <v>35000</v>
      </c>
      <c r="F672" t="s">
        <v>287</v>
      </c>
      <c r="G672" s="7">
        <v>46123</v>
      </c>
      <c r="H672" s="5">
        <v>1</v>
      </c>
      <c r="I67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72" t="b">
        <f>((ISNUMBER(Table3[[#This Row],[Quantity]]) )* (Table3[[#This Row],[Quantity]]&gt;0))=1</f>
        <v>1</v>
      </c>
      <c r="K672" t="b">
        <f>((Table3[[#This Row],[Quantity]]&gt;=Table3[[#This Row],[Return Qty]])*(ISNUMBER(Table3[[#This Row],[Quantity]])))=1</f>
        <v>1</v>
      </c>
      <c r="L672" t="b">
        <f>ISNUMBER(Table3[[#This Row],[Unit Price]])</f>
        <v>1</v>
      </c>
      <c r="M672" t="b">
        <f>ISNUMBER(Table3[[#This Row],[Order Date]])</f>
        <v>1</v>
      </c>
      <c r="N672">
        <f>IFERROR(IF(Table3[[#This Row],[Quantity]]*Table3[[#This Row],[Unit Price]]&lt;0, "N/A", Table3[[#This Row],[Quantity]]*Table3[[#This Row],[Unit Price]]), "N/A")</f>
        <v>770000</v>
      </c>
      <c r="O672">
        <f>IFERROR(Table3[[#This Row],[Unit Price]]*Table3[[#This Row],[Return Qty]], "N/A")</f>
        <v>35000</v>
      </c>
      <c r="P672">
        <f>IFERROR(IF((Table3[[#This Row],[Revenue before return]]-Table3[[#This Row],[Amount of order  returned]])&lt;0, "N/A", Table3[[#This Row],[Revenue before return]]-Table3[[#This Row],[Amount of order  returned]]), "N/A")</f>
        <v>735000</v>
      </c>
      <c r="Q67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73" spans="1:17" x14ac:dyDescent="0.2">
      <c r="A673" t="s">
        <v>1037</v>
      </c>
      <c r="B673" t="s">
        <v>21</v>
      </c>
      <c r="C673" t="s">
        <v>18</v>
      </c>
      <c r="D673" s="6">
        <v>12</v>
      </c>
      <c r="E673" s="5">
        <v>50000</v>
      </c>
      <c r="F673" t="s">
        <v>328</v>
      </c>
      <c r="G673" s="7">
        <v>46189</v>
      </c>
      <c r="H673" s="5">
        <v>0</v>
      </c>
      <c r="I67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73" t="b">
        <f>((ISNUMBER(Table3[[#This Row],[Quantity]]) )* (Table3[[#This Row],[Quantity]]&gt;0))=1</f>
        <v>1</v>
      </c>
      <c r="K673" t="b">
        <f>((Table3[[#This Row],[Quantity]]&gt;=Table3[[#This Row],[Return Qty]])*(ISNUMBER(Table3[[#This Row],[Quantity]])))=1</f>
        <v>1</v>
      </c>
      <c r="L673" t="b">
        <f>ISNUMBER(Table3[[#This Row],[Unit Price]])</f>
        <v>1</v>
      </c>
      <c r="M673" t="b">
        <f>ISNUMBER(Table3[[#This Row],[Order Date]])</f>
        <v>1</v>
      </c>
      <c r="N673">
        <f>IFERROR(IF(Table3[[#This Row],[Quantity]]*Table3[[#This Row],[Unit Price]]&lt;0, "N/A", Table3[[#This Row],[Quantity]]*Table3[[#This Row],[Unit Price]]), "N/A")</f>
        <v>600000</v>
      </c>
      <c r="O673">
        <f>IFERROR(Table3[[#This Row],[Unit Price]]*Table3[[#This Row],[Return Qty]], "N/A")</f>
        <v>0</v>
      </c>
      <c r="P673">
        <f>IFERROR(IF((Table3[[#This Row],[Revenue before return]]-Table3[[#This Row],[Amount of order  returned]])&lt;0, "N/A", Table3[[#This Row],[Revenue before return]]-Table3[[#This Row],[Amount of order  returned]]), "N/A")</f>
        <v>600000</v>
      </c>
      <c r="Q67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74" spans="1:17" x14ac:dyDescent="0.2">
      <c r="A674" t="s">
        <v>1038</v>
      </c>
      <c r="B674" t="s">
        <v>21</v>
      </c>
      <c r="C674" t="s">
        <v>39</v>
      </c>
      <c r="D674" s="6">
        <v>13</v>
      </c>
      <c r="E674" s="5">
        <v>12000</v>
      </c>
      <c r="F674" t="s">
        <v>1039</v>
      </c>
      <c r="G674" s="7">
        <v>46058</v>
      </c>
      <c r="H674" s="5">
        <v>3</v>
      </c>
      <c r="I67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74" t="b">
        <f>((ISNUMBER(Table3[[#This Row],[Quantity]]) )* (Table3[[#This Row],[Quantity]]&gt;0))=1</f>
        <v>1</v>
      </c>
      <c r="K674" t="b">
        <f>((Table3[[#This Row],[Quantity]]&gt;=Table3[[#This Row],[Return Qty]])*(ISNUMBER(Table3[[#This Row],[Quantity]])))=1</f>
        <v>1</v>
      </c>
      <c r="L674" t="b">
        <f>ISNUMBER(Table3[[#This Row],[Unit Price]])</f>
        <v>1</v>
      </c>
      <c r="M674" t="b">
        <f>ISNUMBER(Table3[[#This Row],[Order Date]])</f>
        <v>1</v>
      </c>
      <c r="N674">
        <f>IFERROR(IF(Table3[[#This Row],[Quantity]]*Table3[[#This Row],[Unit Price]]&lt;0, "N/A", Table3[[#This Row],[Quantity]]*Table3[[#This Row],[Unit Price]]), "N/A")</f>
        <v>156000</v>
      </c>
      <c r="O674">
        <f>IFERROR(Table3[[#This Row],[Unit Price]]*Table3[[#This Row],[Return Qty]], "N/A")</f>
        <v>36000</v>
      </c>
      <c r="P674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67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75" spans="1:17" x14ac:dyDescent="0.2">
      <c r="A675" t="s">
        <v>1040</v>
      </c>
      <c r="B675" t="s">
        <v>14</v>
      </c>
      <c r="C675" t="s">
        <v>26</v>
      </c>
      <c r="D675" s="6">
        <v>16</v>
      </c>
      <c r="E675" s="5">
        <v>20000</v>
      </c>
      <c r="F675" t="s">
        <v>656</v>
      </c>
      <c r="G675" s="7">
        <v>46043</v>
      </c>
      <c r="H675" s="5">
        <v>0</v>
      </c>
      <c r="I67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75" t="b">
        <f>((ISNUMBER(Table3[[#This Row],[Quantity]]) )* (Table3[[#This Row],[Quantity]]&gt;0))=1</f>
        <v>1</v>
      </c>
      <c r="K675" t="b">
        <f>((Table3[[#This Row],[Quantity]]&gt;=Table3[[#This Row],[Return Qty]])*(ISNUMBER(Table3[[#This Row],[Quantity]])))=1</f>
        <v>1</v>
      </c>
      <c r="L675" t="b">
        <f>ISNUMBER(Table3[[#This Row],[Unit Price]])</f>
        <v>1</v>
      </c>
      <c r="M675" t="b">
        <f>ISNUMBER(Table3[[#This Row],[Order Date]])</f>
        <v>1</v>
      </c>
      <c r="N675">
        <f>IFERROR(IF(Table3[[#This Row],[Quantity]]*Table3[[#This Row],[Unit Price]]&lt;0, "N/A", Table3[[#This Row],[Quantity]]*Table3[[#This Row],[Unit Price]]), "N/A")</f>
        <v>320000</v>
      </c>
      <c r="O675">
        <f>IFERROR(Table3[[#This Row],[Unit Price]]*Table3[[#This Row],[Return Qty]], "N/A")</f>
        <v>0</v>
      </c>
      <c r="P675">
        <f>IFERROR(IF((Table3[[#This Row],[Revenue before return]]-Table3[[#This Row],[Amount of order  returned]])&lt;0, "N/A", Table3[[#This Row],[Revenue before return]]-Table3[[#This Row],[Amount of order  returned]]), "N/A")</f>
        <v>320000</v>
      </c>
      <c r="Q67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76" spans="1:17" x14ac:dyDescent="0.2">
      <c r="A676" t="s">
        <v>1041</v>
      </c>
      <c r="B676" t="s">
        <v>25</v>
      </c>
      <c r="C676" t="s">
        <v>70</v>
      </c>
      <c r="D676" s="6">
        <v>4</v>
      </c>
      <c r="E676" s="5">
        <v>28000</v>
      </c>
      <c r="F676" t="s">
        <v>209</v>
      </c>
      <c r="G676" s="7">
        <v>46105</v>
      </c>
      <c r="H676" s="5">
        <v>0</v>
      </c>
      <c r="I67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76" t="b">
        <f>((ISNUMBER(Table3[[#This Row],[Quantity]]) )* (Table3[[#This Row],[Quantity]]&gt;0))=1</f>
        <v>1</v>
      </c>
      <c r="K676" t="b">
        <f>((Table3[[#This Row],[Quantity]]&gt;=Table3[[#This Row],[Return Qty]])*(ISNUMBER(Table3[[#This Row],[Quantity]])))=1</f>
        <v>1</v>
      </c>
      <c r="L676" t="b">
        <f>ISNUMBER(Table3[[#This Row],[Unit Price]])</f>
        <v>1</v>
      </c>
      <c r="M676" t="b">
        <f>ISNUMBER(Table3[[#This Row],[Order Date]])</f>
        <v>1</v>
      </c>
      <c r="N676">
        <f>IFERROR(IF(Table3[[#This Row],[Quantity]]*Table3[[#This Row],[Unit Price]]&lt;0, "N/A", Table3[[#This Row],[Quantity]]*Table3[[#This Row],[Unit Price]]), "N/A")</f>
        <v>112000</v>
      </c>
      <c r="O676">
        <f>IFERROR(Table3[[#This Row],[Unit Price]]*Table3[[#This Row],[Return Qty]], "N/A")</f>
        <v>0</v>
      </c>
      <c r="P676">
        <f>IFERROR(IF((Table3[[#This Row],[Revenue before return]]-Table3[[#This Row],[Amount of order  returned]])&lt;0, "N/A", Table3[[#This Row],[Revenue before return]]-Table3[[#This Row],[Amount of order  returned]]), "N/A")</f>
        <v>112000</v>
      </c>
      <c r="Q67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77" spans="1:17" x14ac:dyDescent="0.2">
      <c r="A677" t="s">
        <v>1042</v>
      </c>
      <c r="B677" t="s">
        <v>9</v>
      </c>
      <c r="C677" t="s">
        <v>45</v>
      </c>
      <c r="D677" s="6">
        <v>2</v>
      </c>
      <c r="E677" s="5">
        <v>20000</v>
      </c>
      <c r="F677" t="s">
        <v>593</v>
      </c>
      <c r="G677" s="7">
        <v>46063</v>
      </c>
      <c r="H677" s="5">
        <v>0</v>
      </c>
      <c r="I67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77" t="b">
        <f>((ISNUMBER(Table3[[#This Row],[Quantity]]) )* (Table3[[#This Row],[Quantity]]&gt;0))=1</f>
        <v>1</v>
      </c>
      <c r="K677" t="b">
        <f>((Table3[[#This Row],[Quantity]]&gt;=Table3[[#This Row],[Return Qty]])*(ISNUMBER(Table3[[#This Row],[Quantity]])))=1</f>
        <v>1</v>
      </c>
      <c r="L677" t="b">
        <f>ISNUMBER(Table3[[#This Row],[Unit Price]])</f>
        <v>1</v>
      </c>
      <c r="M677" t="b">
        <f>ISNUMBER(Table3[[#This Row],[Order Date]])</f>
        <v>1</v>
      </c>
      <c r="N677">
        <f>IFERROR(IF(Table3[[#This Row],[Quantity]]*Table3[[#This Row],[Unit Price]]&lt;0, "N/A", Table3[[#This Row],[Quantity]]*Table3[[#This Row],[Unit Price]]), "N/A")</f>
        <v>40000</v>
      </c>
      <c r="O677">
        <f>IFERROR(Table3[[#This Row],[Unit Price]]*Table3[[#This Row],[Return Qty]], "N/A")</f>
        <v>0</v>
      </c>
      <c r="P677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67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78" spans="1:17" x14ac:dyDescent="0.2">
      <c r="A678" t="s">
        <v>1043</v>
      </c>
      <c r="B678" t="s">
        <v>9</v>
      </c>
      <c r="C678" t="s">
        <v>39</v>
      </c>
      <c r="D678" s="6">
        <v>25</v>
      </c>
      <c r="E678" s="5">
        <v>12000</v>
      </c>
      <c r="F678" t="s">
        <v>155</v>
      </c>
      <c r="G678" s="7">
        <v>46108</v>
      </c>
      <c r="H678" s="5">
        <v>0</v>
      </c>
      <c r="I67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78" t="b">
        <f>((ISNUMBER(Table3[[#This Row],[Quantity]]) )* (Table3[[#This Row],[Quantity]]&gt;0))=1</f>
        <v>1</v>
      </c>
      <c r="K678" t="b">
        <f>((Table3[[#This Row],[Quantity]]&gt;=Table3[[#This Row],[Return Qty]])*(ISNUMBER(Table3[[#This Row],[Quantity]])))=1</f>
        <v>1</v>
      </c>
      <c r="L678" t="b">
        <f>ISNUMBER(Table3[[#This Row],[Unit Price]])</f>
        <v>1</v>
      </c>
      <c r="M678" t="b">
        <f>ISNUMBER(Table3[[#This Row],[Order Date]])</f>
        <v>1</v>
      </c>
      <c r="N678">
        <f>IFERROR(IF(Table3[[#This Row],[Quantity]]*Table3[[#This Row],[Unit Price]]&lt;0, "N/A", Table3[[#This Row],[Quantity]]*Table3[[#This Row],[Unit Price]]), "N/A")</f>
        <v>300000</v>
      </c>
      <c r="O678">
        <f>IFERROR(Table3[[#This Row],[Unit Price]]*Table3[[#This Row],[Return Qty]], "N/A")</f>
        <v>0</v>
      </c>
      <c r="P678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67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79" spans="1:17" x14ac:dyDescent="0.2">
      <c r="A679" t="s">
        <v>1044</v>
      </c>
      <c r="B679" t="s">
        <v>14</v>
      </c>
      <c r="C679" t="s">
        <v>10</v>
      </c>
      <c r="D679" s="6">
        <v>15</v>
      </c>
      <c r="E679" s="5">
        <v>15000</v>
      </c>
      <c r="F679" t="s">
        <v>406</v>
      </c>
      <c r="G679" s="7">
        <v>46075</v>
      </c>
      <c r="H679" s="5">
        <v>0</v>
      </c>
      <c r="I67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79" t="b">
        <f>((ISNUMBER(Table3[[#This Row],[Quantity]]) )* (Table3[[#This Row],[Quantity]]&gt;0))=1</f>
        <v>1</v>
      </c>
      <c r="K679" t="b">
        <f>((Table3[[#This Row],[Quantity]]&gt;=Table3[[#This Row],[Return Qty]])*(ISNUMBER(Table3[[#This Row],[Quantity]])))=1</f>
        <v>1</v>
      </c>
      <c r="L679" t="b">
        <f>ISNUMBER(Table3[[#This Row],[Unit Price]])</f>
        <v>1</v>
      </c>
      <c r="M679" t="b">
        <f>ISNUMBER(Table3[[#This Row],[Order Date]])</f>
        <v>1</v>
      </c>
      <c r="N679">
        <f>IFERROR(IF(Table3[[#This Row],[Quantity]]*Table3[[#This Row],[Unit Price]]&lt;0, "N/A", Table3[[#This Row],[Quantity]]*Table3[[#This Row],[Unit Price]]), "N/A")</f>
        <v>225000</v>
      </c>
      <c r="O679">
        <f>IFERROR(Table3[[#This Row],[Unit Price]]*Table3[[#This Row],[Return Qty]], "N/A")</f>
        <v>0</v>
      </c>
      <c r="P679">
        <f>IFERROR(IF((Table3[[#This Row],[Revenue before return]]-Table3[[#This Row],[Amount of order  returned]])&lt;0, "N/A", Table3[[#This Row],[Revenue before return]]-Table3[[#This Row],[Amount of order  returned]]), "N/A")</f>
        <v>225000</v>
      </c>
      <c r="Q67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80" spans="1:17" x14ac:dyDescent="0.2">
      <c r="A680" t="s">
        <v>1045</v>
      </c>
      <c r="B680" t="s">
        <v>21</v>
      </c>
      <c r="C680" t="s">
        <v>22</v>
      </c>
      <c r="D680" s="6">
        <v>16</v>
      </c>
      <c r="E680" s="5">
        <v>35000</v>
      </c>
      <c r="F680" t="s">
        <v>616</v>
      </c>
      <c r="G680" s="7">
        <v>46083</v>
      </c>
      <c r="H680" s="5">
        <v>0</v>
      </c>
      <c r="I68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80" t="b">
        <f>((ISNUMBER(Table3[[#This Row],[Quantity]]) )* (Table3[[#This Row],[Quantity]]&gt;0))=1</f>
        <v>1</v>
      </c>
      <c r="K680" t="b">
        <f>((Table3[[#This Row],[Quantity]]&gt;=Table3[[#This Row],[Return Qty]])*(ISNUMBER(Table3[[#This Row],[Quantity]])))=1</f>
        <v>1</v>
      </c>
      <c r="L680" t="b">
        <f>ISNUMBER(Table3[[#This Row],[Unit Price]])</f>
        <v>1</v>
      </c>
      <c r="M680" t="b">
        <f>ISNUMBER(Table3[[#This Row],[Order Date]])</f>
        <v>1</v>
      </c>
      <c r="N680">
        <f>IFERROR(IF(Table3[[#This Row],[Quantity]]*Table3[[#This Row],[Unit Price]]&lt;0, "N/A", Table3[[#This Row],[Quantity]]*Table3[[#This Row],[Unit Price]]), "N/A")</f>
        <v>560000</v>
      </c>
      <c r="O680">
        <f>IFERROR(Table3[[#This Row],[Unit Price]]*Table3[[#This Row],[Return Qty]], "N/A")</f>
        <v>0</v>
      </c>
      <c r="P680">
        <f>IFERROR(IF((Table3[[#This Row],[Revenue before return]]-Table3[[#This Row],[Amount of order  returned]])&lt;0, "N/A", Table3[[#This Row],[Revenue before return]]-Table3[[#This Row],[Amount of order  returned]]), "N/A")</f>
        <v>560000</v>
      </c>
      <c r="Q68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81" spans="1:17" x14ac:dyDescent="0.2">
      <c r="A681" t="s">
        <v>1046</v>
      </c>
      <c r="B681" t="s">
        <v>25</v>
      </c>
      <c r="C681" t="s">
        <v>32</v>
      </c>
      <c r="D681" s="6">
        <v>18</v>
      </c>
      <c r="E681" s="5">
        <v>8000</v>
      </c>
      <c r="F681" t="s">
        <v>244</v>
      </c>
      <c r="G681" s="7">
        <v>46086</v>
      </c>
      <c r="H681" s="5">
        <v>0</v>
      </c>
      <c r="I68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81" t="b">
        <f>((ISNUMBER(Table3[[#This Row],[Quantity]]) )* (Table3[[#This Row],[Quantity]]&gt;0))=1</f>
        <v>1</v>
      </c>
      <c r="K681" t="b">
        <f>((Table3[[#This Row],[Quantity]]&gt;=Table3[[#This Row],[Return Qty]])*(ISNUMBER(Table3[[#This Row],[Quantity]])))=1</f>
        <v>1</v>
      </c>
      <c r="L681" t="b">
        <f>ISNUMBER(Table3[[#This Row],[Unit Price]])</f>
        <v>1</v>
      </c>
      <c r="M681" t="b">
        <f>ISNUMBER(Table3[[#This Row],[Order Date]])</f>
        <v>1</v>
      </c>
      <c r="N681">
        <f>IFERROR(IF(Table3[[#This Row],[Quantity]]*Table3[[#This Row],[Unit Price]]&lt;0, "N/A", Table3[[#This Row],[Quantity]]*Table3[[#This Row],[Unit Price]]), "N/A")</f>
        <v>144000</v>
      </c>
      <c r="O681">
        <f>IFERROR(Table3[[#This Row],[Unit Price]]*Table3[[#This Row],[Return Qty]], "N/A")</f>
        <v>0</v>
      </c>
      <c r="P681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68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82" spans="1:17" x14ac:dyDescent="0.2">
      <c r="A682" t="s">
        <v>1047</v>
      </c>
      <c r="B682" t="s">
        <v>21</v>
      </c>
      <c r="C682" t="s">
        <v>26</v>
      </c>
      <c r="D682" s="6">
        <v>10</v>
      </c>
      <c r="E682" s="5">
        <v>20000</v>
      </c>
      <c r="F682" t="s">
        <v>541</v>
      </c>
      <c r="G682" s="7">
        <v>46178</v>
      </c>
      <c r="H682" s="5">
        <v>0</v>
      </c>
      <c r="I68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82" t="b">
        <f>((ISNUMBER(Table3[[#This Row],[Quantity]]) )* (Table3[[#This Row],[Quantity]]&gt;0))=1</f>
        <v>1</v>
      </c>
      <c r="K682" t="b">
        <f>((Table3[[#This Row],[Quantity]]&gt;=Table3[[#This Row],[Return Qty]])*(ISNUMBER(Table3[[#This Row],[Quantity]])))=1</f>
        <v>1</v>
      </c>
      <c r="L682" t="b">
        <f>ISNUMBER(Table3[[#This Row],[Unit Price]])</f>
        <v>1</v>
      </c>
      <c r="M682" t="b">
        <f>ISNUMBER(Table3[[#This Row],[Order Date]])</f>
        <v>1</v>
      </c>
      <c r="N682">
        <f>IFERROR(IF(Table3[[#This Row],[Quantity]]*Table3[[#This Row],[Unit Price]]&lt;0, "N/A", Table3[[#This Row],[Quantity]]*Table3[[#This Row],[Unit Price]]), "N/A")</f>
        <v>200000</v>
      </c>
      <c r="O682">
        <f>IFERROR(Table3[[#This Row],[Unit Price]]*Table3[[#This Row],[Return Qty]], "N/A")</f>
        <v>0</v>
      </c>
      <c r="P682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68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83" spans="1:17" x14ac:dyDescent="0.2">
      <c r="A683" t="s">
        <v>1048</v>
      </c>
      <c r="B683" t="s">
        <v>25</v>
      </c>
      <c r="C683" t="s">
        <v>22</v>
      </c>
      <c r="D683" s="6">
        <v>1</v>
      </c>
      <c r="E683" s="5">
        <v>35000</v>
      </c>
      <c r="F683" t="s">
        <v>46</v>
      </c>
      <c r="G683" s="7" t="s">
        <v>11</v>
      </c>
      <c r="H683" s="5">
        <v>0</v>
      </c>
      <c r="I68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83" t="b">
        <f>((ISNUMBER(Table3[[#This Row],[Quantity]]) )* (Table3[[#This Row],[Quantity]]&gt;0))=1</f>
        <v>1</v>
      </c>
      <c r="K683" t="b">
        <f>((Table3[[#This Row],[Quantity]]&gt;=Table3[[#This Row],[Return Qty]])*(ISNUMBER(Table3[[#This Row],[Quantity]])))=1</f>
        <v>1</v>
      </c>
      <c r="L683" t="b">
        <f>ISNUMBER(Table3[[#This Row],[Unit Price]])</f>
        <v>1</v>
      </c>
      <c r="M683" t="b">
        <f>ISNUMBER(Table3[[#This Row],[Order Date]])</f>
        <v>0</v>
      </c>
      <c r="N683">
        <f>IFERROR(IF(Table3[[#This Row],[Quantity]]*Table3[[#This Row],[Unit Price]]&lt;0, "N/A", Table3[[#This Row],[Quantity]]*Table3[[#This Row],[Unit Price]]), "N/A")</f>
        <v>35000</v>
      </c>
      <c r="O683">
        <f>IFERROR(Table3[[#This Row],[Unit Price]]*Table3[[#This Row],[Return Qty]], "N/A")</f>
        <v>0</v>
      </c>
      <c r="P683">
        <f>IFERROR(IF((Table3[[#This Row],[Revenue before return]]-Table3[[#This Row],[Amount of order  returned]])&lt;0, "N/A", Table3[[#This Row],[Revenue before return]]-Table3[[#This Row],[Amount of order  returned]]), "N/A")</f>
        <v>35000</v>
      </c>
      <c r="Q68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684" spans="1:17" x14ac:dyDescent="0.2">
      <c r="A684" t="s">
        <v>1049</v>
      </c>
      <c r="B684" t="s">
        <v>9</v>
      </c>
      <c r="C684" t="s">
        <v>39</v>
      </c>
      <c r="D684" s="6">
        <v>8</v>
      </c>
      <c r="E684" s="5">
        <v>12000</v>
      </c>
      <c r="F684" t="s">
        <v>181</v>
      </c>
      <c r="G684" s="7">
        <v>46099</v>
      </c>
      <c r="H684" s="5">
        <v>0</v>
      </c>
      <c r="I68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84" t="b">
        <f>((ISNUMBER(Table3[[#This Row],[Quantity]]) )* (Table3[[#This Row],[Quantity]]&gt;0))=1</f>
        <v>1</v>
      </c>
      <c r="K684" t="b">
        <f>((Table3[[#This Row],[Quantity]]&gt;=Table3[[#This Row],[Return Qty]])*(ISNUMBER(Table3[[#This Row],[Quantity]])))=1</f>
        <v>1</v>
      </c>
      <c r="L684" t="b">
        <f>ISNUMBER(Table3[[#This Row],[Unit Price]])</f>
        <v>1</v>
      </c>
      <c r="M684" t="b">
        <f>ISNUMBER(Table3[[#This Row],[Order Date]])</f>
        <v>1</v>
      </c>
      <c r="N684">
        <f>IFERROR(IF(Table3[[#This Row],[Quantity]]*Table3[[#This Row],[Unit Price]]&lt;0, "N/A", Table3[[#This Row],[Quantity]]*Table3[[#This Row],[Unit Price]]), "N/A")</f>
        <v>96000</v>
      </c>
      <c r="O684">
        <f>IFERROR(Table3[[#This Row],[Unit Price]]*Table3[[#This Row],[Return Qty]], "N/A")</f>
        <v>0</v>
      </c>
      <c r="P684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68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85" spans="1:17" x14ac:dyDescent="0.2">
      <c r="A685" t="s">
        <v>1050</v>
      </c>
      <c r="B685" t="s">
        <v>9</v>
      </c>
      <c r="C685" t="s">
        <v>45</v>
      </c>
      <c r="D685" s="6">
        <v>19</v>
      </c>
      <c r="E685" s="5">
        <v>40000</v>
      </c>
      <c r="F685" t="s">
        <v>30</v>
      </c>
      <c r="G685" s="7">
        <v>46182</v>
      </c>
      <c r="H685" s="5">
        <v>0</v>
      </c>
      <c r="I68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85" t="b">
        <f>((ISNUMBER(Table3[[#This Row],[Quantity]]) )* (Table3[[#This Row],[Quantity]]&gt;0))=1</f>
        <v>1</v>
      </c>
      <c r="K685" t="b">
        <f>((Table3[[#This Row],[Quantity]]&gt;=Table3[[#This Row],[Return Qty]])*(ISNUMBER(Table3[[#This Row],[Quantity]])))=1</f>
        <v>1</v>
      </c>
      <c r="L685" t="b">
        <f>ISNUMBER(Table3[[#This Row],[Unit Price]])</f>
        <v>1</v>
      </c>
      <c r="M685" t="b">
        <f>ISNUMBER(Table3[[#This Row],[Order Date]])</f>
        <v>1</v>
      </c>
      <c r="N685">
        <f>IFERROR(IF(Table3[[#This Row],[Quantity]]*Table3[[#This Row],[Unit Price]]&lt;0, "N/A", Table3[[#This Row],[Quantity]]*Table3[[#This Row],[Unit Price]]), "N/A")</f>
        <v>760000</v>
      </c>
      <c r="O685">
        <f>IFERROR(Table3[[#This Row],[Unit Price]]*Table3[[#This Row],[Return Qty]], "N/A")</f>
        <v>0</v>
      </c>
      <c r="P685">
        <f>IFERROR(IF((Table3[[#This Row],[Revenue before return]]-Table3[[#This Row],[Amount of order  returned]])&lt;0, "N/A", Table3[[#This Row],[Revenue before return]]-Table3[[#This Row],[Amount of order  returned]]), "N/A")</f>
        <v>760000</v>
      </c>
      <c r="Q68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86" spans="1:17" x14ac:dyDescent="0.2">
      <c r="A686" t="s">
        <v>1051</v>
      </c>
      <c r="B686" t="s">
        <v>9</v>
      </c>
      <c r="C686" t="s">
        <v>10</v>
      </c>
      <c r="D686" s="6">
        <v>9</v>
      </c>
      <c r="E686" s="5">
        <v>15000</v>
      </c>
      <c r="F686" t="s">
        <v>677</v>
      </c>
      <c r="G686" s="7">
        <v>46169</v>
      </c>
      <c r="H686" s="5">
        <v>5</v>
      </c>
      <c r="I68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86" t="b">
        <f>((ISNUMBER(Table3[[#This Row],[Quantity]]) )* (Table3[[#This Row],[Quantity]]&gt;0))=1</f>
        <v>1</v>
      </c>
      <c r="K686" t="b">
        <f>((Table3[[#This Row],[Quantity]]&gt;=Table3[[#This Row],[Return Qty]])*(ISNUMBER(Table3[[#This Row],[Quantity]])))=1</f>
        <v>1</v>
      </c>
      <c r="L686" t="b">
        <f>ISNUMBER(Table3[[#This Row],[Unit Price]])</f>
        <v>1</v>
      </c>
      <c r="M686" t="b">
        <f>ISNUMBER(Table3[[#This Row],[Order Date]])</f>
        <v>1</v>
      </c>
      <c r="N686">
        <f>IFERROR(IF(Table3[[#This Row],[Quantity]]*Table3[[#This Row],[Unit Price]]&lt;0, "N/A", Table3[[#This Row],[Quantity]]*Table3[[#This Row],[Unit Price]]), "N/A")</f>
        <v>135000</v>
      </c>
      <c r="O686">
        <f>IFERROR(Table3[[#This Row],[Unit Price]]*Table3[[#This Row],[Return Qty]], "N/A")</f>
        <v>75000</v>
      </c>
      <c r="P686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68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87" spans="1:17" x14ac:dyDescent="0.2">
      <c r="A687" t="s">
        <v>1052</v>
      </c>
      <c r="B687" t="s">
        <v>21</v>
      </c>
      <c r="C687" t="s">
        <v>26</v>
      </c>
      <c r="D687" s="6">
        <v>19</v>
      </c>
      <c r="E687" s="5">
        <v>20000</v>
      </c>
      <c r="F687" t="s">
        <v>11</v>
      </c>
      <c r="G687" s="7">
        <v>46081</v>
      </c>
      <c r="H687" s="5">
        <v>0</v>
      </c>
      <c r="I68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87" t="b">
        <f>((ISNUMBER(Table3[[#This Row],[Quantity]]) )* (Table3[[#This Row],[Quantity]]&gt;0))=1</f>
        <v>1</v>
      </c>
      <c r="K687" t="b">
        <f>((Table3[[#This Row],[Quantity]]&gt;=Table3[[#This Row],[Return Qty]])*(ISNUMBER(Table3[[#This Row],[Quantity]])))=1</f>
        <v>1</v>
      </c>
      <c r="L687" t="b">
        <f>ISNUMBER(Table3[[#This Row],[Unit Price]])</f>
        <v>1</v>
      </c>
      <c r="M687" t="b">
        <f>ISNUMBER(Table3[[#This Row],[Order Date]])</f>
        <v>1</v>
      </c>
      <c r="N687">
        <f>IFERROR(IF(Table3[[#This Row],[Quantity]]*Table3[[#This Row],[Unit Price]]&lt;0, "N/A", Table3[[#This Row],[Quantity]]*Table3[[#This Row],[Unit Price]]), "N/A")</f>
        <v>380000</v>
      </c>
      <c r="O687">
        <f>IFERROR(Table3[[#This Row],[Unit Price]]*Table3[[#This Row],[Return Qty]], "N/A")</f>
        <v>0</v>
      </c>
      <c r="P687">
        <f>IFERROR(IF((Table3[[#This Row],[Revenue before return]]-Table3[[#This Row],[Amount of order  returned]])&lt;0, "N/A", Table3[[#This Row],[Revenue before return]]-Table3[[#This Row],[Amount of order  returned]]), "N/A")</f>
        <v>380000</v>
      </c>
      <c r="Q68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88" spans="1:17" x14ac:dyDescent="0.2">
      <c r="A688" t="s">
        <v>1053</v>
      </c>
      <c r="B688" t="s">
        <v>9</v>
      </c>
      <c r="C688" t="s">
        <v>26</v>
      </c>
      <c r="D688" s="6">
        <v>-2</v>
      </c>
      <c r="E688" s="5">
        <v>20000</v>
      </c>
      <c r="F688" t="s">
        <v>1054</v>
      </c>
      <c r="G688" s="7">
        <v>46171</v>
      </c>
      <c r="H688" s="5">
        <v>0</v>
      </c>
      <c r="I68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88" t="b">
        <f>((ISNUMBER(Table3[[#This Row],[Quantity]]) )* (Table3[[#This Row],[Quantity]]&gt;0))=1</f>
        <v>0</v>
      </c>
      <c r="K688" t="b">
        <f>((Table3[[#This Row],[Quantity]]&gt;=Table3[[#This Row],[Return Qty]])*(ISNUMBER(Table3[[#This Row],[Quantity]])))=1</f>
        <v>0</v>
      </c>
      <c r="L688" t="b">
        <f>ISNUMBER(Table3[[#This Row],[Unit Price]])</f>
        <v>1</v>
      </c>
      <c r="M688" t="b">
        <f>ISNUMBER(Table3[[#This Row],[Order Date]])</f>
        <v>1</v>
      </c>
      <c r="N688" t="str">
        <f>IFERROR(IF(Table3[[#This Row],[Quantity]]*Table3[[#This Row],[Unit Price]]&lt;0, "N/A", Table3[[#This Row],[Quantity]]*Table3[[#This Row],[Unit Price]]), "N/A")</f>
        <v>N/A</v>
      </c>
      <c r="O688">
        <f>IFERROR(Table3[[#This Row],[Unit Price]]*Table3[[#This Row],[Return Qty]], "N/A")</f>
        <v>0</v>
      </c>
      <c r="P688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68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689" spans="1:17" x14ac:dyDescent="0.2">
      <c r="A689" t="s">
        <v>1055</v>
      </c>
      <c r="B689" t="s">
        <v>9</v>
      </c>
      <c r="C689" t="s">
        <v>18</v>
      </c>
      <c r="D689" s="6">
        <v>14</v>
      </c>
      <c r="E689" s="5">
        <v>50000</v>
      </c>
      <c r="F689" t="s">
        <v>257</v>
      </c>
      <c r="G689" s="7">
        <v>46101</v>
      </c>
      <c r="H689" s="5">
        <v>0</v>
      </c>
      <c r="I68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89" t="b">
        <f>((ISNUMBER(Table3[[#This Row],[Quantity]]) )* (Table3[[#This Row],[Quantity]]&gt;0))=1</f>
        <v>1</v>
      </c>
      <c r="K689" t="b">
        <f>((Table3[[#This Row],[Quantity]]&gt;=Table3[[#This Row],[Return Qty]])*(ISNUMBER(Table3[[#This Row],[Quantity]])))=1</f>
        <v>1</v>
      </c>
      <c r="L689" t="b">
        <f>ISNUMBER(Table3[[#This Row],[Unit Price]])</f>
        <v>1</v>
      </c>
      <c r="M689" t="b">
        <f>ISNUMBER(Table3[[#This Row],[Order Date]])</f>
        <v>1</v>
      </c>
      <c r="N689">
        <f>IFERROR(IF(Table3[[#This Row],[Quantity]]*Table3[[#This Row],[Unit Price]]&lt;0, "N/A", Table3[[#This Row],[Quantity]]*Table3[[#This Row],[Unit Price]]), "N/A")</f>
        <v>700000</v>
      </c>
      <c r="O689">
        <f>IFERROR(Table3[[#This Row],[Unit Price]]*Table3[[#This Row],[Return Qty]], "N/A")</f>
        <v>0</v>
      </c>
      <c r="P689">
        <f>IFERROR(IF((Table3[[#This Row],[Revenue before return]]-Table3[[#This Row],[Amount of order  returned]])&lt;0, "N/A", Table3[[#This Row],[Revenue before return]]-Table3[[#This Row],[Amount of order  returned]]), "N/A")</f>
        <v>700000</v>
      </c>
      <c r="Q68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90" spans="1:17" x14ac:dyDescent="0.2">
      <c r="A690" t="s">
        <v>1056</v>
      </c>
      <c r="B690" t="s">
        <v>14</v>
      </c>
      <c r="C690" t="s">
        <v>39</v>
      </c>
      <c r="D690" s="6">
        <v>3</v>
      </c>
      <c r="E690" s="5">
        <v>12000</v>
      </c>
      <c r="F690" t="s">
        <v>593</v>
      </c>
      <c r="G690" s="7">
        <v>46134</v>
      </c>
      <c r="H690" s="5">
        <v>0</v>
      </c>
      <c r="I69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90" t="b">
        <f>((ISNUMBER(Table3[[#This Row],[Quantity]]) )* (Table3[[#This Row],[Quantity]]&gt;0))=1</f>
        <v>1</v>
      </c>
      <c r="K690" t="b">
        <f>((Table3[[#This Row],[Quantity]]&gt;=Table3[[#This Row],[Return Qty]])*(ISNUMBER(Table3[[#This Row],[Quantity]])))=1</f>
        <v>1</v>
      </c>
      <c r="L690" t="b">
        <f>ISNUMBER(Table3[[#This Row],[Unit Price]])</f>
        <v>1</v>
      </c>
      <c r="M690" t="b">
        <f>ISNUMBER(Table3[[#This Row],[Order Date]])</f>
        <v>1</v>
      </c>
      <c r="N690">
        <f>IFERROR(IF(Table3[[#This Row],[Quantity]]*Table3[[#This Row],[Unit Price]]&lt;0, "N/A", Table3[[#This Row],[Quantity]]*Table3[[#This Row],[Unit Price]]), "N/A")</f>
        <v>36000</v>
      </c>
      <c r="O690">
        <f>IFERROR(Table3[[#This Row],[Unit Price]]*Table3[[#This Row],[Return Qty]], "N/A")</f>
        <v>0</v>
      </c>
      <c r="P690">
        <f>IFERROR(IF((Table3[[#This Row],[Revenue before return]]-Table3[[#This Row],[Amount of order  returned]])&lt;0, "N/A", Table3[[#This Row],[Revenue before return]]-Table3[[#This Row],[Amount of order  returned]]), "N/A")</f>
        <v>36000</v>
      </c>
      <c r="Q69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91" spans="1:17" x14ac:dyDescent="0.2">
      <c r="A691" t="s">
        <v>1057</v>
      </c>
      <c r="B691" t="s">
        <v>25</v>
      </c>
      <c r="C691" t="s">
        <v>45</v>
      </c>
      <c r="D691" s="6">
        <v>23</v>
      </c>
      <c r="E691" s="5">
        <v>20000</v>
      </c>
      <c r="F691" t="s">
        <v>1039</v>
      </c>
      <c r="G691" s="7">
        <v>46182</v>
      </c>
      <c r="H691" s="5">
        <v>1</v>
      </c>
      <c r="I69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91" t="b">
        <f>((ISNUMBER(Table3[[#This Row],[Quantity]]) )* (Table3[[#This Row],[Quantity]]&gt;0))=1</f>
        <v>1</v>
      </c>
      <c r="K691" t="b">
        <f>((Table3[[#This Row],[Quantity]]&gt;=Table3[[#This Row],[Return Qty]])*(ISNUMBER(Table3[[#This Row],[Quantity]])))=1</f>
        <v>1</v>
      </c>
      <c r="L691" t="b">
        <f>ISNUMBER(Table3[[#This Row],[Unit Price]])</f>
        <v>1</v>
      </c>
      <c r="M691" t="b">
        <f>ISNUMBER(Table3[[#This Row],[Order Date]])</f>
        <v>1</v>
      </c>
      <c r="N691">
        <f>IFERROR(IF(Table3[[#This Row],[Quantity]]*Table3[[#This Row],[Unit Price]]&lt;0, "N/A", Table3[[#This Row],[Quantity]]*Table3[[#This Row],[Unit Price]]), "N/A")</f>
        <v>460000</v>
      </c>
      <c r="O691">
        <f>IFERROR(Table3[[#This Row],[Unit Price]]*Table3[[#This Row],[Return Qty]], "N/A")</f>
        <v>20000</v>
      </c>
      <c r="P691">
        <f>IFERROR(IF((Table3[[#This Row],[Revenue before return]]-Table3[[#This Row],[Amount of order  returned]])&lt;0, "N/A", Table3[[#This Row],[Revenue before return]]-Table3[[#This Row],[Amount of order  returned]]), "N/A")</f>
        <v>440000</v>
      </c>
      <c r="Q69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92" spans="1:17" x14ac:dyDescent="0.2">
      <c r="A692" t="s">
        <v>1058</v>
      </c>
      <c r="B692" t="s">
        <v>21</v>
      </c>
      <c r="C692" t="s">
        <v>26</v>
      </c>
      <c r="D692" s="6">
        <v>2</v>
      </c>
      <c r="E692" s="5">
        <v>20000</v>
      </c>
      <c r="F692" t="s">
        <v>649</v>
      </c>
      <c r="G692" s="7">
        <v>46096</v>
      </c>
      <c r="H692" s="5">
        <v>0</v>
      </c>
      <c r="I69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92" t="b">
        <f>((ISNUMBER(Table3[[#This Row],[Quantity]]) )* (Table3[[#This Row],[Quantity]]&gt;0))=1</f>
        <v>1</v>
      </c>
      <c r="K692" t="b">
        <f>((Table3[[#This Row],[Quantity]]&gt;=Table3[[#This Row],[Return Qty]])*(ISNUMBER(Table3[[#This Row],[Quantity]])))=1</f>
        <v>1</v>
      </c>
      <c r="L692" t="b">
        <f>ISNUMBER(Table3[[#This Row],[Unit Price]])</f>
        <v>1</v>
      </c>
      <c r="M692" t="b">
        <f>ISNUMBER(Table3[[#This Row],[Order Date]])</f>
        <v>1</v>
      </c>
      <c r="N692">
        <f>IFERROR(IF(Table3[[#This Row],[Quantity]]*Table3[[#This Row],[Unit Price]]&lt;0, "N/A", Table3[[#This Row],[Quantity]]*Table3[[#This Row],[Unit Price]]), "N/A")</f>
        <v>40000</v>
      </c>
      <c r="O692">
        <f>IFERROR(Table3[[#This Row],[Unit Price]]*Table3[[#This Row],[Return Qty]], "N/A")</f>
        <v>0</v>
      </c>
      <c r="P692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69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93" spans="1:17" x14ac:dyDescent="0.2">
      <c r="A693" t="s">
        <v>1059</v>
      </c>
      <c r="B693" t="s">
        <v>25</v>
      </c>
      <c r="C693" t="s">
        <v>22</v>
      </c>
      <c r="D693" s="6">
        <v>16</v>
      </c>
      <c r="E693" s="5">
        <v>35000</v>
      </c>
      <c r="F693" t="s">
        <v>460</v>
      </c>
      <c r="G693" s="7">
        <v>46124</v>
      </c>
      <c r="H693" s="5">
        <v>0</v>
      </c>
      <c r="I69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93" t="b">
        <f>((ISNUMBER(Table3[[#This Row],[Quantity]]) )* (Table3[[#This Row],[Quantity]]&gt;0))=1</f>
        <v>1</v>
      </c>
      <c r="K693" t="b">
        <f>((Table3[[#This Row],[Quantity]]&gt;=Table3[[#This Row],[Return Qty]])*(ISNUMBER(Table3[[#This Row],[Quantity]])))=1</f>
        <v>1</v>
      </c>
      <c r="L693" t="b">
        <f>ISNUMBER(Table3[[#This Row],[Unit Price]])</f>
        <v>1</v>
      </c>
      <c r="M693" t="b">
        <f>ISNUMBER(Table3[[#This Row],[Order Date]])</f>
        <v>1</v>
      </c>
      <c r="N693">
        <f>IFERROR(IF(Table3[[#This Row],[Quantity]]*Table3[[#This Row],[Unit Price]]&lt;0, "N/A", Table3[[#This Row],[Quantity]]*Table3[[#This Row],[Unit Price]]), "N/A")</f>
        <v>560000</v>
      </c>
      <c r="O693">
        <f>IFERROR(Table3[[#This Row],[Unit Price]]*Table3[[#This Row],[Return Qty]], "N/A")</f>
        <v>0</v>
      </c>
      <c r="P693">
        <f>IFERROR(IF((Table3[[#This Row],[Revenue before return]]-Table3[[#This Row],[Amount of order  returned]])&lt;0, "N/A", Table3[[#This Row],[Revenue before return]]-Table3[[#This Row],[Amount of order  returned]]), "N/A")</f>
        <v>560000</v>
      </c>
      <c r="Q69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94" spans="1:17" x14ac:dyDescent="0.2">
      <c r="A694" t="s">
        <v>1060</v>
      </c>
      <c r="B694" t="s">
        <v>21</v>
      </c>
      <c r="C694" t="s">
        <v>45</v>
      </c>
      <c r="D694" s="6">
        <v>24</v>
      </c>
      <c r="E694" s="5">
        <v>20000</v>
      </c>
      <c r="F694" t="s">
        <v>11</v>
      </c>
      <c r="G694" s="7">
        <v>46166</v>
      </c>
      <c r="H694" s="5">
        <v>0</v>
      </c>
      <c r="I69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94" t="b">
        <f>((ISNUMBER(Table3[[#This Row],[Quantity]]) )* (Table3[[#This Row],[Quantity]]&gt;0))=1</f>
        <v>1</v>
      </c>
      <c r="K694" t="b">
        <f>((Table3[[#This Row],[Quantity]]&gt;=Table3[[#This Row],[Return Qty]])*(ISNUMBER(Table3[[#This Row],[Quantity]])))=1</f>
        <v>1</v>
      </c>
      <c r="L694" t="b">
        <f>ISNUMBER(Table3[[#This Row],[Unit Price]])</f>
        <v>1</v>
      </c>
      <c r="M694" t="b">
        <f>ISNUMBER(Table3[[#This Row],[Order Date]])</f>
        <v>1</v>
      </c>
      <c r="N694">
        <f>IFERROR(IF(Table3[[#This Row],[Quantity]]*Table3[[#This Row],[Unit Price]]&lt;0, "N/A", Table3[[#This Row],[Quantity]]*Table3[[#This Row],[Unit Price]]), "N/A")</f>
        <v>480000</v>
      </c>
      <c r="O694">
        <f>IFERROR(Table3[[#This Row],[Unit Price]]*Table3[[#This Row],[Return Qty]], "N/A")</f>
        <v>0</v>
      </c>
      <c r="P694">
        <f>IFERROR(IF((Table3[[#This Row],[Revenue before return]]-Table3[[#This Row],[Amount of order  returned]])&lt;0, "N/A", Table3[[#This Row],[Revenue before return]]-Table3[[#This Row],[Amount of order  returned]]), "N/A")</f>
        <v>480000</v>
      </c>
      <c r="Q69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95" spans="1:17" x14ac:dyDescent="0.2">
      <c r="A695" t="s">
        <v>1061</v>
      </c>
      <c r="B695" t="s">
        <v>21</v>
      </c>
      <c r="C695" t="s">
        <v>39</v>
      </c>
      <c r="D695" s="6">
        <v>15</v>
      </c>
      <c r="E695" s="5">
        <v>12000</v>
      </c>
      <c r="F695" t="s">
        <v>123</v>
      </c>
      <c r="G695" s="7">
        <v>46105</v>
      </c>
      <c r="H695" s="5">
        <v>4</v>
      </c>
      <c r="I69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95" t="b">
        <f>((ISNUMBER(Table3[[#This Row],[Quantity]]) )* (Table3[[#This Row],[Quantity]]&gt;0))=1</f>
        <v>1</v>
      </c>
      <c r="K695" t="b">
        <f>((Table3[[#This Row],[Quantity]]&gt;=Table3[[#This Row],[Return Qty]])*(ISNUMBER(Table3[[#This Row],[Quantity]])))=1</f>
        <v>1</v>
      </c>
      <c r="L695" t="b">
        <f>ISNUMBER(Table3[[#This Row],[Unit Price]])</f>
        <v>1</v>
      </c>
      <c r="M695" t="b">
        <f>ISNUMBER(Table3[[#This Row],[Order Date]])</f>
        <v>1</v>
      </c>
      <c r="N695">
        <f>IFERROR(IF(Table3[[#This Row],[Quantity]]*Table3[[#This Row],[Unit Price]]&lt;0, "N/A", Table3[[#This Row],[Quantity]]*Table3[[#This Row],[Unit Price]]), "N/A")</f>
        <v>180000</v>
      </c>
      <c r="O695">
        <f>IFERROR(Table3[[#This Row],[Unit Price]]*Table3[[#This Row],[Return Qty]], "N/A")</f>
        <v>48000</v>
      </c>
      <c r="P695">
        <f>IFERROR(IF((Table3[[#This Row],[Revenue before return]]-Table3[[#This Row],[Amount of order  returned]])&lt;0, "N/A", Table3[[#This Row],[Revenue before return]]-Table3[[#This Row],[Amount of order  returned]]), "N/A")</f>
        <v>132000</v>
      </c>
      <c r="Q69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96" spans="1:17" x14ac:dyDescent="0.2">
      <c r="A696" t="s">
        <v>1062</v>
      </c>
      <c r="B696" t="s">
        <v>9</v>
      </c>
      <c r="C696" t="s">
        <v>32</v>
      </c>
      <c r="D696" s="6">
        <v>8</v>
      </c>
      <c r="E696" s="5">
        <v>8000</v>
      </c>
      <c r="F696" t="s">
        <v>848</v>
      </c>
      <c r="G696" s="7">
        <v>46089</v>
      </c>
      <c r="H696" s="5">
        <v>0</v>
      </c>
      <c r="I69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96" t="b">
        <f>((ISNUMBER(Table3[[#This Row],[Quantity]]) )* (Table3[[#This Row],[Quantity]]&gt;0))=1</f>
        <v>1</v>
      </c>
      <c r="K696" t="b">
        <f>((Table3[[#This Row],[Quantity]]&gt;=Table3[[#This Row],[Return Qty]])*(ISNUMBER(Table3[[#This Row],[Quantity]])))=1</f>
        <v>1</v>
      </c>
      <c r="L696" t="b">
        <f>ISNUMBER(Table3[[#This Row],[Unit Price]])</f>
        <v>1</v>
      </c>
      <c r="M696" t="b">
        <f>ISNUMBER(Table3[[#This Row],[Order Date]])</f>
        <v>1</v>
      </c>
      <c r="N696">
        <f>IFERROR(IF(Table3[[#This Row],[Quantity]]*Table3[[#This Row],[Unit Price]]&lt;0, "N/A", Table3[[#This Row],[Quantity]]*Table3[[#This Row],[Unit Price]]), "N/A")</f>
        <v>64000</v>
      </c>
      <c r="O696">
        <f>IFERROR(Table3[[#This Row],[Unit Price]]*Table3[[#This Row],[Return Qty]], "N/A")</f>
        <v>0</v>
      </c>
      <c r="P696">
        <f>IFERROR(IF((Table3[[#This Row],[Revenue before return]]-Table3[[#This Row],[Amount of order  returned]])&lt;0, "N/A", Table3[[#This Row],[Revenue before return]]-Table3[[#This Row],[Amount of order  returned]]), "N/A")</f>
        <v>64000</v>
      </c>
      <c r="Q69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97" spans="1:17" x14ac:dyDescent="0.2">
      <c r="A697" t="s">
        <v>1063</v>
      </c>
      <c r="B697" t="s">
        <v>21</v>
      </c>
      <c r="C697" t="s">
        <v>10</v>
      </c>
      <c r="D697" s="6">
        <v>14</v>
      </c>
      <c r="E697" s="5">
        <v>15000</v>
      </c>
      <c r="F697" t="s">
        <v>1064</v>
      </c>
      <c r="G697" s="7">
        <v>46037</v>
      </c>
      <c r="H697" s="5">
        <v>0</v>
      </c>
      <c r="I69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97" t="b">
        <f>((ISNUMBER(Table3[[#This Row],[Quantity]]) )* (Table3[[#This Row],[Quantity]]&gt;0))=1</f>
        <v>1</v>
      </c>
      <c r="K697" t="b">
        <f>((Table3[[#This Row],[Quantity]]&gt;=Table3[[#This Row],[Return Qty]])*(ISNUMBER(Table3[[#This Row],[Quantity]])))=1</f>
        <v>1</v>
      </c>
      <c r="L697" t="b">
        <f>ISNUMBER(Table3[[#This Row],[Unit Price]])</f>
        <v>1</v>
      </c>
      <c r="M697" t="b">
        <f>ISNUMBER(Table3[[#This Row],[Order Date]])</f>
        <v>1</v>
      </c>
      <c r="N697">
        <f>IFERROR(IF(Table3[[#This Row],[Quantity]]*Table3[[#This Row],[Unit Price]]&lt;0, "N/A", Table3[[#This Row],[Quantity]]*Table3[[#This Row],[Unit Price]]), "N/A")</f>
        <v>210000</v>
      </c>
      <c r="O697">
        <f>IFERROR(Table3[[#This Row],[Unit Price]]*Table3[[#This Row],[Return Qty]], "N/A")</f>
        <v>0</v>
      </c>
      <c r="P697">
        <f>IFERROR(IF((Table3[[#This Row],[Revenue before return]]-Table3[[#This Row],[Amount of order  returned]])&lt;0, "N/A", Table3[[#This Row],[Revenue before return]]-Table3[[#This Row],[Amount of order  returned]]), "N/A")</f>
        <v>210000</v>
      </c>
      <c r="Q69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98" spans="1:17" x14ac:dyDescent="0.2">
      <c r="A698" t="s">
        <v>1065</v>
      </c>
      <c r="B698" t="s">
        <v>21</v>
      </c>
      <c r="C698" t="s">
        <v>32</v>
      </c>
      <c r="D698" s="6">
        <v>19</v>
      </c>
      <c r="E698" s="5">
        <v>8000</v>
      </c>
      <c r="F698" t="s">
        <v>220</v>
      </c>
      <c r="G698" s="7">
        <v>46126</v>
      </c>
      <c r="H698" s="5">
        <v>0</v>
      </c>
      <c r="I69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98" t="b">
        <f>((ISNUMBER(Table3[[#This Row],[Quantity]]) )* (Table3[[#This Row],[Quantity]]&gt;0))=1</f>
        <v>1</v>
      </c>
      <c r="K698" t="b">
        <f>((Table3[[#This Row],[Quantity]]&gt;=Table3[[#This Row],[Return Qty]])*(ISNUMBER(Table3[[#This Row],[Quantity]])))=1</f>
        <v>1</v>
      </c>
      <c r="L698" t="b">
        <f>ISNUMBER(Table3[[#This Row],[Unit Price]])</f>
        <v>1</v>
      </c>
      <c r="M698" t="b">
        <f>ISNUMBER(Table3[[#This Row],[Order Date]])</f>
        <v>1</v>
      </c>
      <c r="N698">
        <f>IFERROR(IF(Table3[[#This Row],[Quantity]]*Table3[[#This Row],[Unit Price]]&lt;0, "N/A", Table3[[#This Row],[Quantity]]*Table3[[#This Row],[Unit Price]]), "N/A")</f>
        <v>152000</v>
      </c>
      <c r="O698">
        <f>IFERROR(Table3[[#This Row],[Unit Price]]*Table3[[#This Row],[Return Qty]], "N/A")</f>
        <v>0</v>
      </c>
      <c r="P698">
        <f>IFERROR(IF((Table3[[#This Row],[Revenue before return]]-Table3[[#This Row],[Amount of order  returned]])&lt;0, "N/A", Table3[[#This Row],[Revenue before return]]-Table3[[#This Row],[Amount of order  returned]]), "N/A")</f>
        <v>152000</v>
      </c>
      <c r="Q69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699" spans="1:17" x14ac:dyDescent="0.2">
      <c r="A699" t="s">
        <v>1066</v>
      </c>
      <c r="B699" t="s">
        <v>9</v>
      </c>
      <c r="C699" t="s">
        <v>26</v>
      </c>
      <c r="D699" s="6">
        <v>20</v>
      </c>
      <c r="E699" s="5">
        <v>20000</v>
      </c>
      <c r="F699" t="s">
        <v>565</v>
      </c>
      <c r="G699" s="7">
        <v>46116</v>
      </c>
      <c r="H699" s="5">
        <v>0</v>
      </c>
      <c r="I69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699" t="b">
        <f>((ISNUMBER(Table3[[#This Row],[Quantity]]) )* (Table3[[#This Row],[Quantity]]&gt;0))=1</f>
        <v>1</v>
      </c>
      <c r="K699" t="b">
        <f>((Table3[[#This Row],[Quantity]]&gt;=Table3[[#This Row],[Return Qty]])*(ISNUMBER(Table3[[#This Row],[Quantity]])))=1</f>
        <v>1</v>
      </c>
      <c r="L699" t="b">
        <f>ISNUMBER(Table3[[#This Row],[Unit Price]])</f>
        <v>1</v>
      </c>
      <c r="M699" t="b">
        <f>ISNUMBER(Table3[[#This Row],[Order Date]])</f>
        <v>1</v>
      </c>
      <c r="N699">
        <f>IFERROR(IF(Table3[[#This Row],[Quantity]]*Table3[[#This Row],[Unit Price]]&lt;0, "N/A", Table3[[#This Row],[Quantity]]*Table3[[#This Row],[Unit Price]]), "N/A")</f>
        <v>400000</v>
      </c>
      <c r="O699">
        <f>IFERROR(Table3[[#This Row],[Unit Price]]*Table3[[#This Row],[Return Qty]], "N/A")</f>
        <v>0</v>
      </c>
      <c r="P699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69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00" spans="1:17" x14ac:dyDescent="0.2">
      <c r="A700" t="s">
        <v>1067</v>
      </c>
      <c r="B700" t="s">
        <v>14</v>
      </c>
      <c r="C700" t="s">
        <v>26</v>
      </c>
      <c r="D700" s="6">
        <v>12</v>
      </c>
      <c r="E700" s="5">
        <v>20000</v>
      </c>
      <c r="F700" t="s">
        <v>412</v>
      </c>
      <c r="G700" s="7">
        <v>46077</v>
      </c>
      <c r="H700" s="5">
        <v>0</v>
      </c>
      <c r="I70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00" t="b">
        <f>((ISNUMBER(Table3[[#This Row],[Quantity]]) )* (Table3[[#This Row],[Quantity]]&gt;0))=1</f>
        <v>1</v>
      </c>
      <c r="K700" t="b">
        <f>((Table3[[#This Row],[Quantity]]&gt;=Table3[[#This Row],[Return Qty]])*(ISNUMBER(Table3[[#This Row],[Quantity]])))=1</f>
        <v>1</v>
      </c>
      <c r="L700" t="b">
        <f>ISNUMBER(Table3[[#This Row],[Unit Price]])</f>
        <v>1</v>
      </c>
      <c r="M700" t="b">
        <f>ISNUMBER(Table3[[#This Row],[Order Date]])</f>
        <v>1</v>
      </c>
      <c r="N700">
        <f>IFERROR(IF(Table3[[#This Row],[Quantity]]*Table3[[#This Row],[Unit Price]]&lt;0, "N/A", Table3[[#This Row],[Quantity]]*Table3[[#This Row],[Unit Price]]), "N/A")</f>
        <v>240000</v>
      </c>
      <c r="O700">
        <f>IFERROR(Table3[[#This Row],[Unit Price]]*Table3[[#This Row],[Return Qty]], "N/A")</f>
        <v>0</v>
      </c>
      <c r="P700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70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01" spans="1:17" x14ac:dyDescent="0.2">
      <c r="A701" t="s">
        <v>1068</v>
      </c>
      <c r="B701" t="s">
        <v>25</v>
      </c>
      <c r="C701" t="s">
        <v>70</v>
      </c>
      <c r="D701" s="6">
        <v>21</v>
      </c>
      <c r="E701" s="5">
        <v>28000</v>
      </c>
      <c r="F701" t="s">
        <v>591</v>
      </c>
      <c r="G701" s="7">
        <v>46069</v>
      </c>
      <c r="H701" s="5">
        <v>0</v>
      </c>
      <c r="I70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01" t="b">
        <f>((ISNUMBER(Table3[[#This Row],[Quantity]]) )* (Table3[[#This Row],[Quantity]]&gt;0))=1</f>
        <v>1</v>
      </c>
      <c r="K701" t="b">
        <f>((Table3[[#This Row],[Quantity]]&gt;=Table3[[#This Row],[Return Qty]])*(ISNUMBER(Table3[[#This Row],[Quantity]])))=1</f>
        <v>1</v>
      </c>
      <c r="L701" t="b">
        <f>ISNUMBER(Table3[[#This Row],[Unit Price]])</f>
        <v>1</v>
      </c>
      <c r="M701" t="b">
        <f>ISNUMBER(Table3[[#This Row],[Order Date]])</f>
        <v>1</v>
      </c>
      <c r="N701">
        <f>IFERROR(IF(Table3[[#This Row],[Quantity]]*Table3[[#This Row],[Unit Price]]&lt;0, "N/A", Table3[[#This Row],[Quantity]]*Table3[[#This Row],[Unit Price]]), "N/A")</f>
        <v>588000</v>
      </c>
      <c r="O701">
        <f>IFERROR(Table3[[#This Row],[Unit Price]]*Table3[[#This Row],[Return Qty]], "N/A")</f>
        <v>0</v>
      </c>
      <c r="P701">
        <f>IFERROR(IF((Table3[[#This Row],[Revenue before return]]-Table3[[#This Row],[Amount of order  returned]])&lt;0, "N/A", Table3[[#This Row],[Revenue before return]]-Table3[[#This Row],[Amount of order  returned]]), "N/A")</f>
        <v>588000</v>
      </c>
      <c r="Q70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02" spans="1:17" x14ac:dyDescent="0.2">
      <c r="A702" t="s">
        <v>1069</v>
      </c>
      <c r="B702" t="s">
        <v>9</v>
      </c>
      <c r="C702" t="s">
        <v>26</v>
      </c>
      <c r="D702" s="6">
        <v>21</v>
      </c>
      <c r="E702" s="5">
        <v>20000</v>
      </c>
      <c r="F702" t="s">
        <v>579</v>
      </c>
      <c r="G702" s="7">
        <v>46132</v>
      </c>
      <c r="H702" s="5">
        <v>2</v>
      </c>
      <c r="I70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02" t="b">
        <f>((ISNUMBER(Table3[[#This Row],[Quantity]]) )* (Table3[[#This Row],[Quantity]]&gt;0))=1</f>
        <v>1</v>
      </c>
      <c r="K702" t="b">
        <f>((Table3[[#This Row],[Quantity]]&gt;=Table3[[#This Row],[Return Qty]])*(ISNUMBER(Table3[[#This Row],[Quantity]])))=1</f>
        <v>1</v>
      </c>
      <c r="L702" t="b">
        <f>ISNUMBER(Table3[[#This Row],[Unit Price]])</f>
        <v>1</v>
      </c>
      <c r="M702" t="b">
        <f>ISNUMBER(Table3[[#This Row],[Order Date]])</f>
        <v>1</v>
      </c>
      <c r="N702">
        <f>IFERROR(IF(Table3[[#This Row],[Quantity]]*Table3[[#This Row],[Unit Price]]&lt;0, "N/A", Table3[[#This Row],[Quantity]]*Table3[[#This Row],[Unit Price]]), "N/A")</f>
        <v>420000</v>
      </c>
      <c r="O702">
        <f>IFERROR(Table3[[#This Row],[Unit Price]]*Table3[[#This Row],[Return Qty]], "N/A")</f>
        <v>40000</v>
      </c>
      <c r="P702">
        <f>IFERROR(IF((Table3[[#This Row],[Revenue before return]]-Table3[[#This Row],[Amount of order  returned]])&lt;0, "N/A", Table3[[#This Row],[Revenue before return]]-Table3[[#This Row],[Amount of order  returned]]), "N/A")</f>
        <v>380000</v>
      </c>
      <c r="Q70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03" spans="1:17" x14ac:dyDescent="0.2">
      <c r="A703" t="s">
        <v>1070</v>
      </c>
      <c r="B703" t="s">
        <v>21</v>
      </c>
      <c r="C703" t="s">
        <v>32</v>
      </c>
      <c r="D703" s="6">
        <v>13</v>
      </c>
      <c r="E703" s="5">
        <v>8000</v>
      </c>
      <c r="F703" t="s">
        <v>193</v>
      </c>
      <c r="G703" s="7">
        <v>46059</v>
      </c>
      <c r="H703" s="5">
        <v>5</v>
      </c>
      <c r="I70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03" t="b">
        <f>((ISNUMBER(Table3[[#This Row],[Quantity]]) )* (Table3[[#This Row],[Quantity]]&gt;0))=1</f>
        <v>1</v>
      </c>
      <c r="K703" t="b">
        <f>((Table3[[#This Row],[Quantity]]&gt;=Table3[[#This Row],[Return Qty]])*(ISNUMBER(Table3[[#This Row],[Quantity]])))=1</f>
        <v>1</v>
      </c>
      <c r="L703" t="b">
        <f>ISNUMBER(Table3[[#This Row],[Unit Price]])</f>
        <v>1</v>
      </c>
      <c r="M703" t="b">
        <f>ISNUMBER(Table3[[#This Row],[Order Date]])</f>
        <v>1</v>
      </c>
      <c r="N703">
        <f>IFERROR(IF(Table3[[#This Row],[Quantity]]*Table3[[#This Row],[Unit Price]]&lt;0, "N/A", Table3[[#This Row],[Quantity]]*Table3[[#This Row],[Unit Price]]), "N/A")</f>
        <v>104000</v>
      </c>
      <c r="O703">
        <f>IFERROR(Table3[[#This Row],[Unit Price]]*Table3[[#This Row],[Return Qty]], "N/A")</f>
        <v>40000</v>
      </c>
      <c r="P703">
        <f>IFERROR(IF((Table3[[#This Row],[Revenue before return]]-Table3[[#This Row],[Amount of order  returned]])&lt;0, "N/A", Table3[[#This Row],[Revenue before return]]-Table3[[#This Row],[Amount of order  returned]]), "N/A")</f>
        <v>64000</v>
      </c>
      <c r="Q70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04" spans="1:17" x14ac:dyDescent="0.2">
      <c r="A704" t="s">
        <v>1071</v>
      </c>
      <c r="B704" t="s">
        <v>9</v>
      </c>
      <c r="C704" t="s">
        <v>18</v>
      </c>
      <c r="D704" s="6">
        <v>-2</v>
      </c>
      <c r="E704" s="5">
        <v>100000</v>
      </c>
      <c r="F704" t="s">
        <v>1072</v>
      </c>
      <c r="G704" s="7">
        <v>46144</v>
      </c>
      <c r="H704" s="5">
        <v>2</v>
      </c>
      <c r="I70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04" t="b">
        <f>((ISNUMBER(Table3[[#This Row],[Quantity]]) )* (Table3[[#This Row],[Quantity]]&gt;0))=1</f>
        <v>0</v>
      </c>
      <c r="K704" t="b">
        <f>((Table3[[#This Row],[Quantity]]&gt;=Table3[[#This Row],[Return Qty]])*(ISNUMBER(Table3[[#This Row],[Quantity]])))=1</f>
        <v>0</v>
      </c>
      <c r="L704" t="b">
        <f>ISNUMBER(Table3[[#This Row],[Unit Price]])</f>
        <v>1</v>
      </c>
      <c r="M704" t="b">
        <f>ISNUMBER(Table3[[#This Row],[Order Date]])</f>
        <v>1</v>
      </c>
      <c r="N704" t="str">
        <f>IFERROR(IF(Table3[[#This Row],[Quantity]]*Table3[[#This Row],[Unit Price]]&lt;0, "N/A", Table3[[#This Row],[Quantity]]*Table3[[#This Row],[Unit Price]]), "N/A")</f>
        <v>N/A</v>
      </c>
      <c r="O704">
        <f>IFERROR(Table3[[#This Row],[Unit Price]]*Table3[[#This Row],[Return Qty]], "N/A")</f>
        <v>200000</v>
      </c>
      <c r="P704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70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05" spans="1:17" x14ac:dyDescent="0.2">
      <c r="A705" t="s">
        <v>1073</v>
      </c>
      <c r="B705" t="s">
        <v>25</v>
      </c>
      <c r="C705" t="s">
        <v>39</v>
      </c>
      <c r="D705" s="6">
        <v>21</v>
      </c>
      <c r="E705" s="5">
        <v>12000</v>
      </c>
      <c r="F705" t="s">
        <v>117</v>
      </c>
      <c r="G705" s="7">
        <v>46160</v>
      </c>
      <c r="H705" s="5">
        <v>0</v>
      </c>
      <c r="I70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05" t="b">
        <f>((ISNUMBER(Table3[[#This Row],[Quantity]]) )* (Table3[[#This Row],[Quantity]]&gt;0))=1</f>
        <v>1</v>
      </c>
      <c r="K705" t="b">
        <f>((Table3[[#This Row],[Quantity]]&gt;=Table3[[#This Row],[Return Qty]])*(ISNUMBER(Table3[[#This Row],[Quantity]])))=1</f>
        <v>1</v>
      </c>
      <c r="L705" t="b">
        <f>ISNUMBER(Table3[[#This Row],[Unit Price]])</f>
        <v>1</v>
      </c>
      <c r="M705" t="b">
        <f>ISNUMBER(Table3[[#This Row],[Order Date]])</f>
        <v>1</v>
      </c>
      <c r="N705">
        <f>IFERROR(IF(Table3[[#This Row],[Quantity]]*Table3[[#This Row],[Unit Price]]&lt;0, "N/A", Table3[[#This Row],[Quantity]]*Table3[[#This Row],[Unit Price]]), "N/A")</f>
        <v>252000</v>
      </c>
      <c r="O705">
        <f>IFERROR(Table3[[#This Row],[Unit Price]]*Table3[[#This Row],[Return Qty]], "N/A")</f>
        <v>0</v>
      </c>
      <c r="P705">
        <f>IFERROR(IF((Table3[[#This Row],[Revenue before return]]-Table3[[#This Row],[Amount of order  returned]])&lt;0, "N/A", Table3[[#This Row],[Revenue before return]]-Table3[[#This Row],[Amount of order  returned]]), "N/A")</f>
        <v>252000</v>
      </c>
      <c r="Q70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06" spans="1:17" x14ac:dyDescent="0.2">
      <c r="A706" t="s">
        <v>1074</v>
      </c>
      <c r="B706" t="s">
        <v>14</v>
      </c>
      <c r="C706" t="s">
        <v>22</v>
      </c>
      <c r="D706" s="6">
        <v>14</v>
      </c>
      <c r="E706" s="5">
        <v>35000</v>
      </c>
      <c r="F706" t="s">
        <v>997</v>
      </c>
      <c r="G706" s="7">
        <v>46060</v>
      </c>
      <c r="H706" s="5">
        <v>0</v>
      </c>
      <c r="I70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06" t="b">
        <f>((ISNUMBER(Table3[[#This Row],[Quantity]]) )* (Table3[[#This Row],[Quantity]]&gt;0))=1</f>
        <v>1</v>
      </c>
      <c r="K706" t="b">
        <f>((Table3[[#This Row],[Quantity]]&gt;=Table3[[#This Row],[Return Qty]])*(ISNUMBER(Table3[[#This Row],[Quantity]])))=1</f>
        <v>1</v>
      </c>
      <c r="L706" t="b">
        <f>ISNUMBER(Table3[[#This Row],[Unit Price]])</f>
        <v>1</v>
      </c>
      <c r="M706" t="b">
        <f>ISNUMBER(Table3[[#This Row],[Order Date]])</f>
        <v>1</v>
      </c>
      <c r="N706">
        <f>IFERROR(IF(Table3[[#This Row],[Quantity]]*Table3[[#This Row],[Unit Price]]&lt;0, "N/A", Table3[[#This Row],[Quantity]]*Table3[[#This Row],[Unit Price]]), "N/A")</f>
        <v>490000</v>
      </c>
      <c r="O706">
        <f>IFERROR(Table3[[#This Row],[Unit Price]]*Table3[[#This Row],[Return Qty]], "N/A")</f>
        <v>0</v>
      </c>
      <c r="P706">
        <f>IFERROR(IF((Table3[[#This Row],[Revenue before return]]-Table3[[#This Row],[Amount of order  returned]])&lt;0, "N/A", Table3[[#This Row],[Revenue before return]]-Table3[[#This Row],[Amount of order  returned]]), "N/A")</f>
        <v>490000</v>
      </c>
      <c r="Q70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07" spans="1:17" x14ac:dyDescent="0.2">
      <c r="A707" t="s">
        <v>1075</v>
      </c>
      <c r="B707" t="s">
        <v>14</v>
      </c>
      <c r="C707" t="s">
        <v>32</v>
      </c>
      <c r="D707" s="6">
        <v>2</v>
      </c>
      <c r="E707" s="5">
        <v>8000</v>
      </c>
      <c r="F707" t="s">
        <v>975</v>
      </c>
      <c r="G707" s="7">
        <v>46151</v>
      </c>
      <c r="H707" s="5">
        <v>1</v>
      </c>
      <c r="I70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07" t="b">
        <f>((ISNUMBER(Table3[[#This Row],[Quantity]]) )* (Table3[[#This Row],[Quantity]]&gt;0))=1</f>
        <v>1</v>
      </c>
      <c r="K707" t="b">
        <f>((Table3[[#This Row],[Quantity]]&gt;=Table3[[#This Row],[Return Qty]])*(ISNUMBER(Table3[[#This Row],[Quantity]])))=1</f>
        <v>1</v>
      </c>
      <c r="L707" t="b">
        <f>ISNUMBER(Table3[[#This Row],[Unit Price]])</f>
        <v>1</v>
      </c>
      <c r="M707" t="b">
        <f>ISNUMBER(Table3[[#This Row],[Order Date]])</f>
        <v>1</v>
      </c>
      <c r="N707">
        <f>IFERROR(IF(Table3[[#This Row],[Quantity]]*Table3[[#This Row],[Unit Price]]&lt;0, "N/A", Table3[[#This Row],[Quantity]]*Table3[[#This Row],[Unit Price]]), "N/A")</f>
        <v>16000</v>
      </c>
      <c r="O707">
        <f>IFERROR(Table3[[#This Row],[Unit Price]]*Table3[[#This Row],[Return Qty]], "N/A")</f>
        <v>8000</v>
      </c>
      <c r="P707">
        <f>IFERROR(IF((Table3[[#This Row],[Revenue before return]]-Table3[[#This Row],[Amount of order  returned]])&lt;0, "N/A", Table3[[#This Row],[Revenue before return]]-Table3[[#This Row],[Amount of order  returned]]), "N/A")</f>
        <v>8000</v>
      </c>
      <c r="Q70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08" spans="1:17" x14ac:dyDescent="0.2">
      <c r="A708" t="s">
        <v>1076</v>
      </c>
      <c r="B708" t="s">
        <v>9</v>
      </c>
      <c r="C708" t="s">
        <v>10</v>
      </c>
      <c r="D708" s="6" t="s">
        <v>11</v>
      </c>
      <c r="E708" s="5">
        <v>15000</v>
      </c>
      <c r="F708" t="s">
        <v>272</v>
      </c>
      <c r="G708" s="7">
        <v>46117</v>
      </c>
      <c r="H708" s="5">
        <v>0</v>
      </c>
      <c r="I70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08" t="b">
        <f>((ISNUMBER(Table3[[#This Row],[Quantity]]) )* (Table3[[#This Row],[Quantity]]&gt;0))=1</f>
        <v>0</v>
      </c>
      <c r="K708" t="b">
        <f>((Table3[[#This Row],[Quantity]]&gt;=Table3[[#This Row],[Return Qty]])*(ISNUMBER(Table3[[#This Row],[Quantity]])))=1</f>
        <v>0</v>
      </c>
      <c r="L708" t="b">
        <f>ISNUMBER(Table3[[#This Row],[Unit Price]])</f>
        <v>1</v>
      </c>
      <c r="M708" t="b">
        <f>ISNUMBER(Table3[[#This Row],[Order Date]])</f>
        <v>1</v>
      </c>
      <c r="N708" t="str">
        <f>IFERROR(IF(Table3[[#This Row],[Quantity]]*Table3[[#This Row],[Unit Price]]&lt;0, "N/A", Table3[[#This Row],[Quantity]]*Table3[[#This Row],[Unit Price]]), "N/A")</f>
        <v>N/A</v>
      </c>
      <c r="O708">
        <f>IFERROR(Table3[[#This Row],[Unit Price]]*Table3[[#This Row],[Return Qty]], "N/A")</f>
        <v>0</v>
      </c>
      <c r="P708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70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09" spans="1:17" x14ac:dyDescent="0.2">
      <c r="A709" t="s">
        <v>1077</v>
      </c>
      <c r="B709" t="s">
        <v>14</v>
      </c>
      <c r="C709" t="s">
        <v>45</v>
      </c>
      <c r="D709" s="6">
        <v>16</v>
      </c>
      <c r="E709" s="5">
        <v>20000</v>
      </c>
      <c r="F709" t="s">
        <v>179</v>
      </c>
      <c r="G709" s="7">
        <v>46118</v>
      </c>
      <c r="H709" s="5">
        <v>0</v>
      </c>
      <c r="I70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09" t="b">
        <f>((ISNUMBER(Table3[[#This Row],[Quantity]]) )* (Table3[[#This Row],[Quantity]]&gt;0))=1</f>
        <v>1</v>
      </c>
      <c r="K709" t="b">
        <f>((Table3[[#This Row],[Quantity]]&gt;=Table3[[#This Row],[Return Qty]])*(ISNUMBER(Table3[[#This Row],[Quantity]])))=1</f>
        <v>1</v>
      </c>
      <c r="L709" t="b">
        <f>ISNUMBER(Table3[[#This Row],[Unit Price]])</f>
        <v>1</v>
      </c>
      <c r="M709" t="b">
        <f>ISNUMBER(Table3[[#This Row],[Order Date]])</f>
        <v>1</v>
      </c>
      <c r="N709">
        <f>IFERROR(IF(Table3[[#This Row],[Quantity]]*Table3[[#This Row],[Unit Price]]&lt;0, "N/A", Table3[[#This Row],[Quantity]]*Table3[[#This Row],[Unit Price]]), "N/A")</f>
        <v>320000</v>
      </c>
      <c r="O709">
        <f>IFERROR(Table3[[#This Row],[Unit Price]]*Table3[[#This Row],[Return Qty]], "N/A")</f>
        <v>0</v>
      </c>
      <c r="P709">
        <f>IFERROR(IF((Table3[[#This Row],[Revenue before return]]-Table3[[#This Row],[Amount of order  returned]])&lt;0, "N/A", Table3[[#This Row],[Revenue before return]]-Table3[[#This Row],[Amount of order  returned]]), "N/A")</f>
        <v>320000</v>
      </c>
      <c r="Q70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10" spans="1:17" x14ac:dyDescent="0.2">
      <c r="A710" t="s">
        <v>1078</v>
      </c>
      <c r="B710" t="s">
        <v>25</v>
      </c>
      <c r="C710" t="s">
        <v>22</v>
      </c>
      <c r="D710" s="6">
        <v>12</v>
      </c>
      <c r="E710" s="5">
        <v>35000</v>
      </c>
      <c r="F710" t="s">
        <v>1079</v>
      </c>
      <c r="G710" s="7">
        <v>46039</v>
      </c>
      <c r="H710" s="5">
        <v>0</v>
      </c>
      <c r="I71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10" t="b">
        <f>((ISNUMBER(Table3[[#This Row],[Quantity]]) )* (Table3[[#This Row],[Quantity]]&gt;0))=1</f>
        <v>1</v>
      </c>
      <c r="K710" t="b">
        <f>((Table3[[#This Row],[Quantity]]&gt;=Table3[[#This Row],[Return Qty]])*(ISNUMBER(Table3[[#This Row],[Quantity]])))=1</f>
        <v>1</v>
      </c>
      <c r="L710" t="b">
        <f>ISNUMBER(Table3[[#This Row],[Unit Price]])</f>
        <v>1</v>
      </c>
      <c r="M710" t="b">
        <f>ISNUMBER(Table3[[#This Row],[Order Date]])</f>
        <v>1</v>
      </c>
      <c r="N710">
        <f>IFERROR(IF(Table3[[#This Row],[Quantity]]*Table3[[#This Row],[Unit Price]]&lt;0, "N/A", Table3[[#This Row],[Quantity]]*Table3[[#This Row],[Unit Price]]), "N/A")</f>
        <v>420000</v>
      </c>
      <c r="O710">
        <f>IFERROR(Table3[[#This Row],[Unit Price]]*Table3[[#This Row],[Return Qty]], "N/A")</f>
        <v>0</v>
      </c>
      <c r="P710">
        <f>IFERROR(IF((Table3[[#This Row],[Revenue before return]]-Table3[[#This Row],[Amount of order  returned]])&lt;0, "N/A", Table3[[#This Row],[Revenue before return]]-Table3[[#This Row],[Amount of order  returned]]), "N/A")</f>
        <v>420000</v>
      </c>
      <c r="Q71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11" spans="1:17" x14ac:dyDescent="0.2">
      <c r="A711" t="s">
        <v>1080</v>
      </c>
      <c r="B711" t="s">
        <v>25</v>
      </c>
      <c r="C711" t="s">
        <v>39</v>
      </c>
      <c r="D711" s="6">
        <v>4</v>
      </c>
      <c r="E711" s="5">
        <v>12000</v>
      </c>
      <c r="F711" t="s">
        <v>789</v>
      </c>
      <c r="G711" s="7">
        <v>46079</v>
      </c>
      <c r="H711" s="5">
        <v>0</v>
      </c>
      <c r="I71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11" t="b">
        <f>((ISNUMBER(Table3[[#This Row],[Quantity]]) )* (Table3[[#This Row],[Quantity]]&gt;0))=1</f>
        <v>1</v>
      </c>
      <c r="K711" t="b">
        <f>((Table3[[#This Row],[Quantity]]&gt;=Table3[[#This Row],[Return Qty]])*(ISNUMBER(Table3[[#This Row],[Quantity]])))=1</f>
        <v>1</v>
      </c>
      <c r="L711" t="b">
        <f>ISNUMBER(Table3[[#This Row],[Unit Price]])</f>
        <v>1</v>
      </c>
      <c r="M711" t="b">
        <f>ISNUMBER(Table3[[#This Row],[Order Date]])</f>
        <v>1</v>
      </c>
      <c r="N711">
        <f>IFERROR(IF(Table3[[#This Row],[Quantity]]*Table3[[#This Row],[Unit Price]]&lt;0, "N/A", Table3[[#This Row],[Quantity]]*Table3[[#This Row],[Unit Price]]), "N/A")</f>
        <v>48000</v>
      </c>
      <c r="O711">
        <f>IFERROR(Table3[[#This Row],[Unit Price]]*Table3[[#This Row],[Return Qty]], "N/A")</f>
        <v>0</v>
      </c>
      <c r="P711">
        <f>IFERROR(IF((Table3[[#This Row],[Revenue before return]]-Table3[[#This Row],[Amount of order  returned]])&lt;0, "N/A", Table3[[#This Row],[Revenue before return]]-Table3[[#This Row],[Amount of order  returned]]), "N/A")</f>
        <v>48000</v>
      </c>
      <c r="Q71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12" spans="1:17" x14ac:dyDescent="0.2">
      <c r="A712" t="s">
        <v>1081</v>
      </c>
      <c r="B712" t="s">
        <v>25</v>
      </c>
      <c r="C712" t="s">
        <v>18</v>
      </c>
      <c r="D712" s="6">
        <v>24</v>
      </c>
      <c r="E712" s="5">
        <v>50000</v>
      </c>
      <c r="F712" t="s">
        <v>193</v>
      </c>
      <c r="G712" s="7">
        <v>46160</v>
      </c>
      <c r="H712" s="5">
        <v>0</v>
      </c>
      <c r="I71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12" t="b">
        <f>((ISNUMBER(Table3[[#This Row],[Quantity]]) )* (Table3[[#This Row],[Quantity]]&gt;0))=1</f>
        <v>1</v>
      </c>
      <c r="K712" t="b">
        <f>((Table3[[#This Row],[Quantity]]&gt;=Table3[[#This Row],[Return Qty]])*(ISNUMBER(Table3[[#This Row],[Quantity]])))=1</f>
        <v>1</v>
      </c>
      <c r="L712" t="b">
        <f>ISNUMBER(Table3[[#This Row],[Unit Price]])</f>
        <v>1</v>
      </c>
      <c r="M712" t="b">
        <f>ISNUMBER(Table3[[#This Row],[Order Date]])</f>
        <v>1</v>
      </c>
      <c r="N712">
        <f>IFERROR(IF(Table3[[#This Row],[Quantity]]*Table3[[#This Row],[Unit Price]]&lt;0, "N/A", Table3[[#This Row],[Quantity]]*Table3[[#This Row],[Unit Price]]), "N/A")</f>
        <v>1200000</v>
      </c>
      <c r="O712">
        <f>IFERROR(Table3[[#This Row],[Unit Price]]*Table3[[#This Row],[Return Qty]], "N/A")</f>
        <v>0</v>
      </c>
      <c r="P712">
        <f>IFERROR(IF((Table3[[#This Row],[Revenue before return]]-Table3[[#This Row],[Amount of order  returned]])&lt;0, "N/A", Table3[[#This Row],[Revenue before return]]-Table3[[#This Row],[Amount of order  returned]]), "N/A")</f>
        <v>1200000</v>
      </c>
      <c r="Q71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13" spans="1:17" x14ac:dyDescent="0.2">
      <c r="A713" t="s">
        <v>1082</v>
      </c>
      <c r="B713" t="s">
        <v>581</v>
      </c>
      <c r="C713" t="s">
        <v>26</v>
      </c>
      <c r="D713" s="6">
        <v>17</v>
      </c>
      <c r="E713" s="5">
        <v>20000</v>
      </c>
      <c r="F713" t="s">
        <v>75</v>
      </c>
      <c r="G713" s="7">
        <v>46061</v>
      </c>
      <c r="H713" s="5">
        <v>0</v>
      </c>
      <c r="I71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0</v>
      </c>
      <c r="J713" t="b">
        <f>((ISNUMBER(Table3[[#This Row],[Quantity]]) )* (Table3[[#This Row],[Quantity]]&gt;0))=1</f>
        <v>1</v>
      </c>
      <c r="K713" t="b">
        <f>((Table3[[#This Row],[Quantity]]&gt;=Table3[[#This Row],[Return Qty]])*(ISNUMBER(Table3[[#This Row],[Quantity]])))=1</f>
        <v>1</v>
      </c>
      <c r="L713" t="b">
        <f>ISNUMBER(Table3[[#This Row],[Unit Price]])</f>
        <v>1</v>
      </c>
      <c r="M713" t="b">
        <f>ISNUMBER(Table3[[#This Row],[Order Date]])</f>
        <v>1</v>
      </c>
      <c r="N713">
        <f>IFERROR(IF(Table3[[#This Row],[Quantity]]*Table3[[#This Row],[Unit Price]]&lt;0, "N/A", Table3[[#This Row],[Quantity]]*Table3[[#This Row],[Unit Price]]), "N/A")</f>
        <v>340000</v>
      </c>
      <c r="O713">
        <f>IFERROR(Table3[[#This Row],[Unit Price]]*Table3[[#This Row],[Return Qty]], "N/A")</f>
        <v>0</v>
      </c>
      <c r="P713">
        <f>IFERROR(IF((Table3[[#This Row],[Revenue before return]]-Table3[[#This Row],[Amount of order  returned]])&lt;0, "N/A", Table3[[#This Row],[Revenue before return]]-Table3[[#This Row],[Amount of order  returned]]), "N/A")</f>
        <v>340000</v>
      </c>
      <c r="Q71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14" spans="1:17" x14ac:dyDescent="0.2">
      <c r="A714" t="s">
        <v>1083</v>
      </c>
      <c r="B714" t="s">
        <v>25</v>
      </c>
      <c r="C714" t="s">
        <v>70</v>
      </c>
      <c r="D714" s="6">
        <v>20</v>
      </c>
      <c r="E714" s="5">
        <v>28000</v>
      </c>
      <c r="F714" t="s">
        <v>437</v>
      </c>
      <c r="G714" s="7">
        <v>46171</v>
      </c>
      <c r="H714" s="5">
        <v>0</v>
      </c>
      <c r="I71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14" t="b">
        <f>((ISNUMBER(Table3[[#This Row],[Quantity]]) )* (Table3[[#This Row],[Quantity]]&gt;0))=1</f>
        <v>1</v>
      </c>
      <c r="K714" t="b">
        <f>((Table3[[#This Row],[Quantity]]&gt;=Table3[[#This Row],[Return Qty]])*(ISNUMBER(Table3[[#This Row],[Quantity]])))=1</f>
        <v>1</v>
      </c>
      <c r="L714" t="b">
        <f>ISNUMBER(Table3[[#This Row],[Unit Price]])</f>
        <v>1</v>
      </c>
      <c r="M714" t="b">
        <f>ISNUMBER(Table3[[#This Row],[Order Date]])</f>
        <v>1</v>
      </c>
      <c r="N714">
        <f>IFERROR(IF(Table3[[#This Row],[Quantity]]*Table3[[#This Row],[Unit Price]]&lt;0, "N/A", Table3[[#This Row],[Quantity]]*Table3[[#This Row],[Unit Price]]), "N/A")</f>
        <v>560000</v>
      </c>
      <c r="O714">
        <f>IFERROR(Table3[[#This Row],[Unit Price]]*Table3[[#This Row],[Return Qty]], "N/A")</f>
        <v>0</v>
      </c>
      <c r="P714">
        <f>IFERROR(IF((Table3[[#This Row],[Revenue before return]]-Table3[[#This Row],[Amount of order  returned]])&lt;0, "N/A", Table3[[#This Row],[Revenue before return]]-Table3[[#This Row],[Amount of order  returned]]), "N/A")</f>
        <v>560000</v>
      </c>
      <c r="Q71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15" spans="1:17" x14ac:dyDescent="0.2">
      <c r="A715" t="s">
        <v>1084</v>
      </c>
      <c r="B715" t="s">
        <v>21</v>
      </c>
      <c r="C715" t="s">
        <v>10</v>
      </c>
      <c r="D715" s="6">
        <v>1</v>
      </c>
      <c r="E715" s="5">
        <v>15000</v>
      </c>
      <c r="F715" t="s">
        <v>82</v>
      </c>
      <c r="G715" s="7">
        <v>46140</v>
      </c>
      <c r="H715" s="5">
        <v>0</v>
      </c>
      <c r="I71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15" t="b">
        <f>((ISNUMBER(Table3[[#This Row],[Quantity]]) )* (Table3[[#This Row],[Quantity]]&gt;0))=1</f>
        <v>1</v>
      </c>
      <c r="K715" t="b">
        <f>((Table3[[#This Row],[Quantity]]&gt;=Table3[[#This Row],[Return Qty]])*(ISNUMBER(Table3[[#This Row],[Quantity]])))=1</f>
        <v>1</v>
      </c>
      <c r="L715" t="b">
        <f>ISNUMBER(Table3[[#This Row],[Unit Price]])</f>
        <v>1</v>
      </c>
      <c r="M715" t="b">
        <f>ISNUMBER(Table3[[#This Row],[Order Date]])</f>
        <v>1</v>
      </c>
      <c r="N715">
        <f>IFERROR(IF(Table3[[#This Row],[Quantity]]*Table3[[#This Row],[Unit Price]]&lt;0, "N/A", Table3[[#This Row],[Quantity]]*Table3[[#This Row],[Unit Price]]), "N/A")</f>
        <v>15000</v>
      </c>
      <c r="O715">
        <f>IFERROR(Table3[[#This Row],[Unit Price]]*Table3[[#This Row],[Return Qty]], "N/A")</f>
        <v>0</v>
      </c>
      <c r="P715">
        <f>IFERROR(IF((Table3[[#This Row],[Revenue before return]]-Table3[[#This Row],[Amount of order  returned]])&lt;0, "N/A", Table3[[#This Row],[Revenue before return]]-Table3[[#This Row],[Amount of order  returned]]), "N/A")</f>
        <v>15000</v>
      </c>
      <c r="Q71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16" spans="1:17" x14ac:dyDescent="0.2">
      <c r="A716" t="s">
        <v>1085</v>
      </c>
      <c r="B716" t="s">
        <v>21</v>
      </c>
      <c r="C716" t="s">
        <v>45</v>
      </c>
      <c r="D716" s="6" t="s">
        <v>11</v>
      </c>
      <c r="E716" s="5">
        <v>20000</v>
      </c>
      <c r="F716" t="s">
        <v>1086</v>
      </c>
      <c r="G716" s="7">
        <v>46032</v>
      </c>
      <c r="H716" s="5">
        <v>0</v>
      </c>
      <c r="I71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16" t="b">
        <f>((ISNUMBER(Table3[[#This Row],[Quantity]]) )* (Table3[[#This Row],[Quantity]]&gt;0))=1</f>
        <v>0</v>
      </c>
      <c r="K716" t="b">
        <f>((Table3[[#This Row],[Quantity]]&gt;=Table3[[#This Row],[Return Qty]])*(ISNUMBER(Table3[[#This Row],[Quantity]])))=1</f>
        <v>0</v>
      </c>
      <c r="L716" t="b">
        <f>ISNUMBER(Table3[[#This Row],[Unit Price]])</f>
        <v>1</v>
      </c>
      <c r="M716" t="b">
        <f>ISNUMBER(Table3[[#This Row],[Order Date]])</f>
        <v>1</v>
      </c>
      <c r="N716" t="str">
        <f>IFERROR(IF(Table3[[#This Row],[Quantity]]*Table3[[#This Row],[Unit Price]]&lt;0, "N/A", Table3[[#This Row],[Quantity]]*Table3[[#This Row],[Unit Price]]), "N/A")</f>
        <v>N/A</v>
      </c>
      <c r="O716">
        <f>IFERROR(Table3[[#This Row],[Unit Price]]*Table3[[#This Row],[Return Qty]], "N/A")</f>
        <v>0</v>
      </c>
      <c r="P716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71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17" spans="1:17" x14ac:dyDescent="0.2">
      <c r="A717" t="s">
        <v>1087</v>
      </c>
      <c r="B717" t="s">
        <v>14</v>
      </c>
      <c r="C717" t="s">
        <v>32</v>
      </c>
      <c r="D717" s="6">
        <v>8</v>
      </c>
      <c r="E717" s="5">
        <v>8000</v>
      </c>
      <c r="F717" t="s">
        <v>115</v>
      </c>
      <c r="G717" s="7">
        <v>46043</v>
      </c>
      <c r="H717" s="5">
        <v>3</v>
      </c>
      <c r="I71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17" t="b">
        <f>((ISNUMBER(Table3[[#This Row],[Quantity]]) )* (Table3[[#This Row],[Quantity]]&gt;0))=1</f>
        <v>1</v>
      </c>
      <c r="K717" t="b">
        <f>((Table3[[#This Row],[Quantity]]&gt;=Table3[[#This Row],[Return Qty]])*(ISNUMBER(Table3[[#This Row],[Quantity]])))=1</f>
        <v>1</v>
      </c>
      <c r="L717" t="b">
        <f>ISNUMBER(Table3[[#This Row],[Unit Price]])</f>
        <v>1</v>
      </c>
      <c r="M717" t="b">
        <f>ISNUMBER(Table3[[#This Row],[Order Date]])</f>
        <v>1</v>
      </c>
      <c r="N717">
        <f>IFERROR(IF(Table3[[#This Row],[Quantity]]*Table3[[#This Row],[Unit Price]]&lt;0, "N/A", Table3[[#This Row],[Quantity]]*Table3[[#This Row],[Unit Price]]), "N/A")</f>
        <v>64000</v>
      </c>
      <c r="O717">
        <f>IFERROR(Table3[[#This Row],[Unit Price]]*Table3[[#This Row],[Return Qty]], "N/A")</f>
        <v>24000</v>
      </c>
      <c r="P717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71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18" spans="1:17" x14ac:dyDescent="0.2">
      <c r="A718" t="s">
        <v>1089</v>
      </c>
      <c r="B718" t="s">
        <v>25</v>
      </c>
      <c r="C718" t="s">
        <v>18</v>
      </c>
      <c r="D718" s="6">
        <v>24</v>
      </c>
      <c r="E718" s="5">
        <v>50000</v>
      </c>
      <c r="F718" t="s">
        <v>1086</v>
      </c>
      <c r="G718" s="7">
        <v>46040</v>
      </c>
      <c r="H718" s="5">
        <v>0</v>
      </c>
      <c r="I71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18" t="b">
        <f>((ISNUMBER(Table3[[#This Row],[Quantity]]) )* (Table3[[#This Row],[Quantity]]&gt;0))=1</f>
        <v>1</v>
      </c>
      <c r="K718" t="b">
        <f>((Table3[[#This Row],[Quantity]]&gt;=Table3[[#This Row],[Return Qty]])*(ISNUMBER(Table3[[#This Row],[Quantity]])))=1</f>
        <v>1</v>
      </c>
      <c r="L718" t="b">
        <f>ISNUMBER(Table3[[#This Row],[Unit Price]])</f>
        <v>1</v>
      </c>
      <c r="M718" t="b">
        <f>ISNUMBER(Table3[[#This Row],[Order Date]])</f>
        <v>1</v>
      </c>
      <c r="N718">
        <f>IFERROR(IF(Table3[[#This Row],[Quantity]]*Table3[[#This Row],[Unit Price]]&lt;0, "N/A", Table3[[#This Row],[Quantity]]*Table3[[#This Row],[Unit Price]]), "N/A")</f>
        <v>1200000</v>
      </c>
      <c r="O718">
        <f>IFERROR(Table3[[#This Row],[Unit Price]]*Table3[[#This Row],[Return Qty]], "N/A")</f>
        <v>0</v>
      </c>
      <c r="P718">
        <f>IFERROR(IF((Table3[[#This Row],[Revenue before return]]-Table3[[#This Row],[Amount of order  returned]])&lt;0, "N/A", Table3[[#This Row],[Revenue before return]]-Table3[[#This Row],[Amount of order  returned]]), "N/A")</f>
        <v>1200000</v>
      </c>
      <c r="Q71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19" spans="1:17" x14ac:dyDescent="0.2">
      <c r="A719" t="s">
        <v>1090</v>
      </c>
      <c r="B719" t="s">
        <v>25</v>
      </c>
      <c r="C719" t="s">
        <v>45</v>
      </c>
      <c r="D719" s="6">
        <v>10</v>
      </c>
      <c r="E719" s="5">
        <v>20000</v>
      </c>
      <c r="F719" t="s">
        <v>1091</v>
      </c>
      <c r="G719" s="7">
        <v>46187</v>
      </c>
      <c r="H719" s="5">
        <v>0</v>
      </c>
      <c r="I71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19" t="b">
        <f>((ISNUMBER(Table3[[#This Row],[Quantity]]) )* (Table3[[#This Row],[Quantity]]&gt;0))=1</f>
        <v>1</v>
      </c>
      <c r="K719" t="b">
        <f>((Table3[[#This Row],[Quantity]]&gt;=Table3[[#This Row],[Return Qty]])*(ISNUMBER(Table3[[#This Row],[Quantity]])))=1</f>
        <v>1</v>
      </c>
      <c r="L719" t="b">
        <f>ISNUMBER(Table3[[#This Row],[Unit Price]])</f>
        <v>1</v>
      </c>
      <c r="M719" t="b">
        <f>ISNUMBER(Table3[[#This Row],[Order Date]])</f>
        <v>1</v>
      </c>
      <c r="N719">
        <f>IFERROR(IF(Table3[[#This Row],[Quantity]]*Table3[[#This Row],[Unit Price]]&lt;0, "N/A", Table3[[#This Row],[Quantity]]*Table3[[#This Row],[Unit Price]]), "N/A")</f>
        <v>200000</v>
      </c>
      <c r="O719">
        <f>IFERROR(Table3[[#This Row],[Unit Price]]*Table3[[#This Row],[Return Qty]], "N/A")</f>
        <v>0</v>
      </c>
      <c r="P719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71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20" spans="1:17" x14ac:dyDescent="0.2">
      <c r="A720" t="s">
        <v>1092</v>
      </c>
      <c r="B720" t="s">
        <v>14</v>
      </c>
      <c r="C720" t="s">
        <v>70</v>
      </c>
      <c r="D720" s="6">
        <v>17</v>
      </c>
      <c r="E720" s="5">
        <v>28000</v>
      </c>
      <c r="F720" t="s">
        <v>579</v>
      </c>
      <c r="G720" s="7">
        <v>46101</v>
      </c>
      <c r="H720" s="5">
        <v>0</v>
      </c>
      <c r="I72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20" t="b">
        <f>((ISNUMBER(Table3[[#This Row],[Quantity]]) )* (Table3[[#This Row],[Quantity]]&gt;0))=1</f>
        <v>1</v>
      </c>
      <c r="K720" t="b">
        <f>((Table3[[#This Row],[Quantity]]&gt;=Table3[[#This Row],[Return Qty]])*(ISNUMBER(Table3[[#This Row],[Quantity]])))=1</f>
        <v>1</v>
      </c>
      <c r="L720" t="b">
        <f>ISNUMBER(Table3[[#This Row],[Unit Price]])</f>
        <v>1</v>
      </c>
      <c r="M720" t="b">
        <f>ISNUMBER(Table3[[#This Row],[Order Date]])</f>
        <v>1</v>
      </c>
      <c r="N720">
        <f>IFERROR(IF(Table3[[#This Row],[Quantity]]*Table3[[#This Row],[Unit Price]]&lt;0, "N/A", Table3[[#This Row],[Quantity]]*Table3[[#This Row],[Unit Price]]), "N/A")</f>
        <v>476000</v>
      </c>
      <c r="O720">
        <f>IFERROR(Table3[[#This Row],[Unit Price]]*Table3[[#This Row],[Return Qty]], "N/A")</f>
        <v>0</v>
      </c>
      <c r="P720">
        <f>IFERROR(IF((Table3[[#This Row],[Revenue before return]]-Table3[[#This Row],[Amount of order  returned]])&lt;0, "N/A", Table3[[#This Row],[Revenue before return]]-Table3[[#This Row],[Amount of order  returned]]), "N/A")</f>
        <v>476000</v>
      </c>
      <c r="Q72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21" spans="1:17" x14ac:dyDescent="0.2">
      <c r="A721" t="s">
        <v>1093</v>
      </c>
      <c r="B721" t="s">
        <v>14</v>
      </c>
      <c r="C721" t="s">
        <v>39</v>
      </c>
      <c r="D721" s="6">
        <v>1</v>
      </c>
      <c r="E721" s="5">
        <v>12000</v>
      </c>
      <c r="F721" t="s">
        <v>460</v>
      </c>
      <c r="G721" s="7">
        <v>46038</v>
      </c>
      <c r="H721" s="5">
        <v>0</v>
      </c>
      <c r="I72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21" t="b">
        <f>((ISNUMBER(Table3[[#This Row],[Quantity]]) )* (Table3[[#This Row],[Quantity]]&gt;0))=1</f>
        <v>1</v>
      </c>
      <c r="K721" t="b">
        <f>((Table3[[#This Row],[Quantity]]&gt;=Table3[[#This Row],[Return Qty]])*(ISNUMBER(Table3[[#This Row],[Quantity]])))=1</f>
        <v>1</v>
      </c>
      <c r="L721" t="b">
        <f>ISNUMBER(Table3[[#This Row],[Unit Price]])</f>
        <v>1</v>
      </c>
      <c r="M721" t="b">
        <f>ISNUMBER(Table3[[#This Row],[Order Date]])</f>
        <v>1</v>
      </c>
      <c r="N721">
        <f>IFERROR(IF(Table3[[#This Row],[Quantity]]*Table3[[#This Row],[Unit Price]]&lt;0, "N/A", Table3[[#This Row],[Quantity]]*Table3[[#This Row],[Unit Price]]), "N/A")</f>
        <v>12000</v>
      </c>
      <c r="O721">
        <f>IFERROR(Table3[[#This Row],[Unit Price]]*Table3[[#This Row],[Return Qty]], "N/A")</f>
        <v>0</v>
      </c>
      <c r="P721">
        <f>IFERROR(IF((Table3[[#This Row],[Revenue before return]]-Table3[[#This Row],[Amount of order  returned]])&lt;0, "N/A", Table3[[#This Row],[Revenue before return]]-Table3[[#This Row],[Amount of order  returned]]), "N/A")</f>
        <v>12000</v>
      </c>
      <c r="Q72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22" spans="1:17" x14ac:dyDescent="0.2">
      <c r="A722" t="s">
        <v>1094</v>
      </c>
      <c r="B722" t="s">
        <v>14</v>
      </c>
      <c r="C722" t="s">
        <v>22</v>
      </c>
      <c r="D722" s="6">
        <v>23</v>
      </c>
      <c r="E722" s="5">
        <v>35000</v>
      </c>
      <c r="F722" t="s">
        <v>195</v>
      </c>
      <c r="G722" s="7">
        <v>46189</v>
      </c>
      <c r="H722" s="5">
        <v>5</v>
      </c>
      <c r="I72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22" t="b">
        <f>((ISNUMBER(Table3[[#This Row],[Quantity]]) )* (Table3[[#This Row],[Quantity]]&gt;0))=1</f>
        <v>1</v>
      </c>
      <c r="K722" t="b">
        <f>((Table3[[#This Row],[Quantity]]&gt;=Table3[[#This Row],[Return Qty]])*(ISNUMBER(Table3[[#This Row],[Quantity]])))=1</f>
        <v>1</v>
      </c>
      <c r="L722" t="b">
        <f>ISNUMBER(Table3[[#This Row],[Unit Price]])</f>
        <v>1</v>
      </c>
      <c r="M722" t="b">
        <f>ISNUMBER(Table3[[#This Row],[Order Date]])</f>
        <v>1</v>
      </c>
      <c r="N722">
        <f>IFERROR(IF(Table3[[#This Row],[Quantity]]*Table3[[#This Row],[Unit Price]]&lt;0, "N/A", Table3[[#This Row],[Quantity]]*Table3[[#This Row],[Unit Price]]), "N/A")</f>
        <v>805000</v>
      </c>
      <c r="O722">
        <f>IFERROR(Table3[[#This Row],[Unit Price]]*Table3[[#This Row],[Return Qty]], "N/A")</f>
        <v>175000</v>
      </c>
      <c r="P722">
        <f>IFERROR(IF((Table3[[#This Row],[Revenue before return]]-Table3[[#This Row],[Amount of order  returned]])&lt;0, "N/A", Table3[[#This Row],[Revenue before return]]-Table3[[#This Row],[Amount of order  returned]]), "N/A")</f>
        <v>630000</v>
      </c>
      <c r="Q72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23" spans="1:17" x14ac:dyDescent="0.2">
      <c r="A723" t="s">
        <v>1095</v>
      </c>
      <c r="B723" t="s">
        <v>21</v>
      </c>
      <c r="C723" t="s">
        <v>10</v>
      </c>
      <c r="D723" s="6">
        <v>7</v>
      </c>
      <c r="E723" s="5">
        <v>15000</v>
      </c>
      <c r="F723" t="s">
        <v>374</v>
      </c>
      <c r="G723" s="7">
        <v>46138</v>
      </c>
      <c r="H723" s="5">
        <v>14</v>
      </c>
      <c r="I72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23" t="b">
        <f>((ISNUMBER(Table3[[#This Row],[Quantity]]) )* (Table3[[#This Row],[Quantity]]&gt;0))=1</f>
        <v>1</v>
      </c>
      <c r="K723" t="b">
        <f>((Table3[[#This Row],[Quantity]]&gt;=Table3[[#This Row],[Return Qty]])*(ISNUMBER(Table3[[#This Row],[Quantity]])))=1</f>
        <v>0</v>
      </c>
      <c r="L723" t="b">
        <f>ISNUMBER(Table3[[#This Row],[Unit Price]])</f>
        <v>1</v>
      </c>
      <c r="M723" t="b">
        <f>ISNUMBER(Table3[[#This Row],[Order Date]])</f>
        <v>1</v>
      </c>
      <c r="N723">
        <f>IFERROR(IF(Table3[[#This Row],[Quantity]]*Table3[[#This Row],[Unit Price]]&lt;0, "N/A", Table3[[#This Row],[Quantity]]*Table3[[#This Row],[Unit Price]]), "N/A")</f>
        <v>105000</v>
      </c>
      <c r="O723">
        <f>IFERROR(Table3[[#This Row],[Unit Price]]*Table3[[#This Row],[Return Qty]], "N/A")</f>
        <v>210000</v>
      </c>
      <c r="P723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72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24" spans="1:17" x14ac:dyDescent="0.2">
      <c r="A724" t="s">
        <v>1096</v>
      </c>
      <c r="B724" t="s">
        <v>25</v>
      </c>
      <c r="C724" t="s">
        <v>39</v>
      </c>
      <c r="D724" s="6">
        <v>8</v>
      </c>
      <c r="E724" s="5">
        <v>12000</v>
      </c>
      <c r="F724" t="s">
        <v>964</v>
      </c>
      <c r="G724" s="7">
        <v>46150</v>
      </c>
      <c r="H724" s="5">
        <v>0</v>
      </c>
      <c r="I72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24" t="b">
        <f>((ISNUMBER(Table3[[#This Row],[Quantity]]) )* (Table3[[#This Row],[Quantity]]&gt;0))=1</f>
        <v>1</v>
      </c>
      <c r="K724" t="b">
        <f>((Table3[[#This Row],[Quantity]]&gt;=Table3[[#This Row],[Return Qty]])*(ISNUMBER(Table3[[#This Row],[Quantity]])))=1</f>
        <v>1</v>
      </c>
      <c r="L724" t="b">
        <f>ISNUMBER(Table3[[#This Row],[Unit Price]])</f>
        <v>1</v>
      </c>
      <c r="M724" t="b">
        <f>ISNUMBER(Table3[[#This Row],[Order Date]])</f>
        <v>1</v>
      </c>
      <c r="N724">
        <f>IFERROR(IF(Table3[[#This Row],[Quantity]]*Table3[[#This Row],[Unit Price]]&lt;0, "N/A", Table3[[#This Row],[Quantity]]*Table3[[#This Row],[Unit Price]]), "N/A")</f>
        <v>96000</v>
      </c>
      <c r="O724">
        <f>IFERROR(Table3[[#This Row],[Unit Price]]*Table3[[#This Row],[Return Qty]], "N/A")</f>
        <v>0</v>
      </c>
      <c r="P724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72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25" spans="1:17" x14ac:dyDescent="0.2">
      <c r="A725" t="s">
        <v>1097</v>
      </c>
      <c r="B725" t="s">
        <v>9</v>
      </c>
      <c r="C725" t="s">
        <v>45</v>
      </c>
      <c r="D725" s="6">
        <v>8</v>
      </c>
      <c r="E725" s="5">
        <v>20000</v>
      </c>
      <c r="F725" t="s">
        <v>11</v>
      </c>
      <c r="G725" s="7">
        <v>46102</v>
      </c>
      <c r="H725" s="5">
        <v>1</v>
      </c>
      <c r="I72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25" t="b">
        <f>((ISNUMBER(Table3[[#This Row],[Quantity]]) )* (Table3[[#This Row],[Quantity]]&gt;0))=1</f>
        <v>1</v>
      </c>
      <c r="K725" t="b">
        <f>((Table3[[#This Row],[Quantity]]&gt;=Table3[[#This Row],[Return Qty]])*(ISNUMBER(Table3[[#This Row],[Quantity]])))=1</f>
        <v>1</v>
      </c>
      <c r="L725" t="b">
        <f>ISNUMBER(Table3[[#This Row],[Unit Price]])</f>
        <v>1</v>
      </c>
      <c r="M725" t="b">
        <f>ISNUMBER(Table3[[#This Row],[Order Date]])</f>
        <v>1</v>
      </c>
      <c r="N725">
        <f>IFERROR(IF(Table3[[#This Row],[Quantity]]*Table3[[#This Row],[Unit Price]]&lt;0, "N/A", Table3[[#This Row],[Quantity]]*Table3[[#This Row],[Unit Price]]), "N/A")</f>
        <v>160000</v>
      </c>
      <c r="O725">
        <f>IFERROR(Table3[[#This Row],[Unit Price]]*Table3[[#This Row],[Return Qty]], "N/A")</f>
        <v>20000</v>
      </c>
      <c r="P725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72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26" spans="1:17" x14ac:dyDescent="0.2">
      <c r="A726" t="s">
        <v>1098</v>
      </c>
      <c r="B726" t="s">
        <v>21</v>
      </c>
      <c r="C726" t="s">
        <v>26</v>
      </c>
      <c r="D726" s="6">
        <v>10</v>
      </c>
      <c r="E726" s="5">
        <v>20000</v>
      </c>
      <c r="F726" t="s">
        <v>306</v>
      </c>
      <c r="G726" s="7">
        <v>46028</v>
      </c>
      <c r="H726" s="5">
        <v>0</v>
      </c>
      <c r="I72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26" t="b">
        <f>((ISNUMBER(Table3[[#This Row],[Quantity]]) )* (Table3[[#This Row],[Quantity]]&gt;0))=1</f>
        <v>1</v>
      </c>
      <c r="K726" t="b">
        <f>((Table3[[#This Row],[Quantity]]&gt;=Table3[[#This Row],[Return Qty]])*(ISNUMBER(Table3[[#This Row],[Quantity]])))=1</f>
        <v>1</v>
      </c>
      <c r="L726" t="b">
        <f>ISNUMBER(Table3[[#This Row],[Unit Price]])</f>
        <v>1</v>
      </c>
      <c r="M726" t="b">
        <f>ISNUMBER(Table3[[#This Row],[Order Date]])</f>
        <v>1</v>
      </c>
      <c r="N726">
        <f>IFERROR(IF(Table3[[#This Row],[Quantity]]*Table3[[#This Row],[Unit Price]]&lt;0, "N/A", Table3[[#This Row],[Quantity]]*Table3[[#This Row],[Unit Price]]), "N/A")</f>
        <v>200000</v>
      </c>
      <c r="O726">
        <f>IFERROR(Table3[[#This Row],[Unit Price]]*Table3[[#This Row],[Return Qty]], "N/A")</f>
        <v>0</v>
      </c>
      <c r="P726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72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27" spans="1:17" x14ac:dyDescent="0.2">
      <c r="A727" t="s">
        <v>1099</v>
      </c>
      <c r="B727" t="s">
        <v>9</v>
      </c>
      <c r="C727" t="s">
        <v>26</v>
      </c>
      <c r="D727" s="6">
        <v>6</v>
      </c>
      <c r="E727" s="5">
        <v>20000</v>
      </c>
      <c r="F727" t="s">
        <v>203</v>
      </c>
      <c r="G727" s="7">
        <v>46033</v>
      </c>
      <c r="H727" s="5">
        <v>0</v>
      </c>
      <c r="I72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27" t="b">
        <f>((ISNUMBER(Table3[[#This Row],[Quantity]]) )* (Table3[[#This Row],[Quantity]]&gt;0))=1</f>
        <v>1</v>
      </c>
      <c r="K727" t="b">
        <f>((Table3[[#This Row],[Quantity]]&gt;=Table3[[#This Row],[Return Qty]])*(ISNUMBER(Table3[[#This Row],[Quantity]])))=1</f>
        <v>1</v>
      </c>
      <c r="L727" t="b">
        <f>ISNUMBER(Table3[[#This Row],[Unit Price]])</f>
        <v>1</v>
      </c>
      <c r="M727" t="b">
        <f>ISNUMBER(Table3[[#This Row],[Order Date]])</f>
        <v>1</v>
      </c>
      <c r="N727">
        <f>IFERROR(IF(Table3[[#This Row],[Quantity]]*Table3[[#This Row],[Unit Price]]&lt;0, "N/A", Table3[[#This Row],[Quantity]]*Table3[[#This Row],[Unit Price]]), "N/A")</f>
        <v>120000</v>
      </c>
      <c r="O727">
        <f>IFERROR(Table3[[#This Row],[Unit Price]]*Table3[[#This Row],[Return Qty]], "N/A")</f>
        <v>0</v>
      </c>
      <c r="P727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72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28" spans="1:17" x14ac:dyDescent="0.2">
      <c r="A728" t="s">
        <v>1100</v>
      </c>
      <c r="B728" t="s">
        <v>9</v>
      </c>
      <c r="C728" t="s">
        <v>70</v>
      </c>
      <c r="D728" s="6">
        <v>3</v>
      </c>
      <c r="E728" s="5">
        <v>28000</v>
      </c>
      <c r="F728" t="s">
        <v>447</v>
      </c>
      <c r="G728" s="7">
        <v>46160</v>
      </c>
      <c r="H728" s="5">
        <v>0</v>
      </c>
      <c r="I72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28" t="b">
        <f>((ISNUMBER(Table3[[#This Row],[Quantity]]) )* (Table3[[#This Row],[Quantity]]&gt;0))=1</f>
        <v>1</v>
      </c>
      <c r="K728" t="b">
        <f>((Table3[[#This Row],[Quantity]]&gt;=Table3[[#This Row],[Return Qty]])*(ISNUMBER(Table3[[#This Row],[Quantity]])))=1</f>
        <v>1</v>
      </c>
      <c r="L728" t="b">
        <f>ISNUMBER(Table3[[#This Row],[Unit Price]])</f>
        <v>1</v>
      </c>
      <c r="M728" t="b">
        <f>ISNUMBER(Table3[[#This Row],[Order Date]])</f>
        <v>1</v>
      </c>
      <c r="N728">
        <f>IFERROR(IF(Table3[[#This Row],[Quantity]]*Table3[[#This Row],[Unit Price]]&lt;0, "N/A", Table3[[#This Row],[Quantity]]*Table3[[#This Row],[Unit Price]]), "N/A")</f>
        <v>84000</v>
      </c>
      <c r="O728">
        <f>IFERROR(Table3[[#This Row],[Unit Price]]*Table3[[#This Row],[Return Qty]], "N/A")</f>
        <v>0</v>
      </c>
      <c r="P728">
        <f>IFERROR(IF((Table3[[#This Row],[Revenue before return]]-Table3[[#This Row],[Amount of order  returned]])&lt;0, "N/A", Table3[[#This Row],[Revenue before return]]-Table3[[#This Row],[Amount of order  returned]]), "N/A")</f>
        <v>84000</v>
      </c>
      <c r="Q72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29" spans="1:17" x14ac:dyDescent="0.2">
      <c r="A729" t="s">
        <v>1101</v>
      </c>
      <c r="B729" t="s">
        <v>25</v>
      </c>
      <c r="C729" t="s">
        <v>26</v>
      </c>
      <c r="D729" s="6">
        <v>-9</v>
      </c>
      <c r="E729" s="5">
        <v>20000</v>
      </c>
      <c r="F729" t="s">
        <v>35</v>
      </c>
      <c r="G729" s="7">
        <v>46030</v>
      </c>
      <c r="H729" s="5">
        <v>0</v>
      </c>
      <c r="I72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29" t="b">
        <f>((ISNUMBER(Table3[[#This Row],[Quantity]]) )* (Table3[[#This Row],[Quantity]]&gt;0))=1</f>
        <v>0</v>
      </c>
      <c r="K729" t="b">
        <f>((Table3[[#This Row],[Quantity]]&gt;=Table3[[#This Row],[Return Qty]])*(ISNUMBER(Table3[[#This Row],[Quantity]])))=1</f>
        <v>0</v>
      </c>
      <c r="L729" t="b">
        <f>ISNUMBER(Table3[[#This Row],[Unit Price]])</f>
        <v>1</v>
      </c>
      <c r="M729" t="b">
        <f>ISNUMBER(Table3[[#This Row],[Order Date]])</f>
        <v>1</v>
      </c>
      <c r="N729" t="str">
        <f>IFERROR(IF(Table3[[#This Row],[Quantity]]*Table3[[#This Row],[Unit Price]]&lt;0, "N/A", Table3[[#This Row],[Quantity]]*Table3[[#This Row],[Unit Price]]), "N/A")</f>
        <v>N/A</v>
      </c>
      <c r="O729">
        <f>IFERROR(Table3[[#This Row],[Unit Price]]*Table3[[#This Row],[Return Qty]], "N/A")</f>
        <v>0</v>
      </c>
      <c r="P729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72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30" spans="1:17" x14ac:dyDescent="0.2">
      <c r="A730" t="s">
        <v>1102</v>
      </c>
      <c r="B730" t="s">
        <v>25</v>
      </c>
      <c r="C730" t="s">
        <v>70</v>
      </c>
      <c r="D730" s="6">
        <v>17</v>
      </c>
      <c r="E730" s="5">
        <v>28000</v>
      </c>
      <c r="F730" t="s">
        <v>50</v>
      </c>
      <c r="G730" s="7">
        <v>46054</v>
      </c>
      <c r="H730" s="5">
        <v>0</v>
      </c>
      <c r="I73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30" t="b">
        <f>((ISNUMBER(Table3[[#This Row],[Quantity]]) )* (Table3[[#This Row],[Quantity]]&gt;0))=1</f>
        <v>1</v>
      </c>
      <c r="K730" t="b">
        <f>((Table3[[#This Row],[Quantity]]&gt;=Table3[[#This Row],[Return Qty]])*(ISNUMBER(Table3[[#This Row],[Quantity]])))=1</f>
        <v>1</v>
      </c>
      <c r="L730" t="b">
        <f>ISNUMBER(Table3[[#This Row],[Unit Price]])</f>
        <v>1</v>
      </c>
      <c r="M730" t="b">
        <f>ISNUMBER(Table3[[#This Row],[Order Date]])</f>
        <v>1</v>
      </c>
      <c r="N730">
        <f>IFERROR(IF(Table3[[#This Row],[Quantity]]*Table3[[#This Row],[Unit Price]]&lt;0, "N/A", Table3[[#This Row],[Quantity]]*Table3[[#This Row],[Unit Price]]), "N/A")</f>
        <v>476000</v>
      </c>
      <c r="O730">
        <f>IFERROR(Table3[[#This Row],[Unit Price]]*Table3[[#This Row],[Return Qty]], "N/A")</f>
        <v>0</v>
      </c>
      <c r="P730">
        <f>IFERROR(IF((Table3[[#This Row],[Revenue before return]]-Table3[[#This Row],[Amount of order  returned]])&lt;0, "N/A", Table3[[#This Row],[Revenue before return]]-Table3[[#This Row],[Amount of order  returned]]), "N/A")</f>
        <v>476000</v>
      </c>
      <c r="Q73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31" spans="1:17" x14ac:dyDescent="0.2">
      <c r="A731" t="s">
        <v>1103</v>
      </c>
      <c r="B731" t="s">
        <v>21</v>
      </c>
      <c r="C731" t="s">
        <v>32</v>
      </c>
      <c r="D731" s="6" t="s">
        <v>11</v>
      </c>
      <c r="E731" s="5" t="s">
        <v>11</v>
      </c>
      <c r="F731" t="s">
        <v>683</v>
      </c>
      <c r="G731" s="7">
        <v>46098</v>
      </c>
      <c r="H731" s="5">
        <v>2</v>
      </c>
      <c r="I73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31" t="b">
        <f>((ISNUMBER(Table3[[#This Row],[Quantity]]) )* (Table3[[#This Row],[Quantity]]&gt;0))=1</f>
        <v>0</v>
      </c>
      <c r="K731" t="b">
        <f>((Table3[[#This Row],[Quantity]]&gt;=Table3[[#This Row],[Return Qty]])*(ISNUMBER(Table3[[#This Row],[Quantity]])))=1</f>
        <v>0</v>
      </c>
      <c r="L731" t="b">
        <f>ISNUMBER(Table3[[#This Row],[Unit Price]])</f>
        <v>0</v>
      </c>
      <c r="M731" t="b">
        <f>ISNUMBER(Table3[[#This Row],[Order Date]])</f>
        <v>1</v>
      </c>
      <c r="N731" t="str">
        <f>IFERROR(IF(Table3[[#This Row],[Quantity]]*Table3[[#This Row],[Unit Price]]&lt;0, "N/A", Table3[[#This Row],[Quantity]]*Table3[[#This Row],[Unit Price]]), "N/A")</f>
        <v>N/A</v>
      </c>
      <c r="O731" t="str">
        <f>IFERROR(Table3[[#This Row],[Unit Price]]*Table3[[#This Row],[Return Qty]], "N/A")</f>
        <v>N/A</v>
      </c>
      <c r="P731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73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32" spans="1:17" x14ac:dyDescent="0.2">
      <c r="A732" t="s">
        <v>1104</v>
      </c>
      <c r="B732" t="s">
        <v>9</v>
      </c>
      <c r="C732" t="s">
        <v>22</v>
      </c>
      <c r="D732" s="6">
        <v>4</v>
      </c>
      <c r="E732" s="5">
        <v>35000</v>
      </c>
      <c r="F732" t="s">
        <v>11</v>
      </c>
      <c r="G732" s="7">
        <v>46090</v>
      </c>
      <c r="H732" s="5">
        <v>4</v>
      </c>
      <c r="I73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32" t="b">
        <f>((ISNUMBER(Table3[[#This Row],[Quantity]]) )* (Table3[[#This Row],[Quantity]]&gt;0))=1</f>
        <v>1</v>
      </c>
      <c r="K732" t="b">
        <f>((Table3[[#This Row],[Quantity]]&gt;=Table3[[#This Row],[Return Qty]])*(ISNUMBER(Table3[[#This Row],[Quantity]])))=1</f>
        <v>1</v>
      </c>
      <c r="L732" t="b">
        <f>ISNUMBER(Table3[[#This Row],[Unit Price]])</f>
        <v>1</v>
      </c>
      <c r="M732" t="b">
        <f>ISNUMBER(Table3[[#This Row],[Order Date]])</f>
        <v>1</v>
      </c>
      <c r="N732">
        <f>IFERROR(IF(Table3[[#This Row],[Quantity]]*Table3[[#This Row],[Unit Price]]&lt;0, "N/A", Table3[[#This Row],[Quantity]]*Table3[[#This Row],[Unit Price]]), "N/A")</f>
        <v>140000</v>
      </c>
      <c r="O732">
        <f>IFERROR(Table3[[#This Row],[Unit Price]]*Table3[[#This Row],[Return Qty]], "N/A")</f>
        <v>140000</v>
      </c>
      <c r="P732">
        <f>IFERROR(IF((Table3[[#This Row],[Revenue before return]]-Table3[[#This Row],[Amount of order  returned]])&lt;0, "N/A", Table3[[#This Row],[Revenue before return]]-Table3[[#This Row],[Amount of order  returned]]), "N/A")</f>
        <v>0</v>
      </c>
      <c r="Q73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33" spans="1:17" x14ac:dyDescent="0.2">
      <c r="A733" t="s">
        <v>1105</v>
      </c>
      <c r="B733" t="s">
        <v>929</v>
      </c>
      <c r="C733" t="s">
        <v>39</v>
      </c>
      <c r="D733" s="6">
        <v>21</v>
      </c>
      <c r="E733" s="5">
        <v>12000</v>
      </c>
      <c r="F733" t="s">
        <v>95</v>
      </c>
      <c r="G733" s="7">
        <v>46202</v>
      </c>
      <c r="H733" s="5">
        <v>0</v>
      </c>
      <c r="I73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33" t="b">
        <f>((ISNUMBER(Table3[[#This Row],[Quantity]]) )* (Table3[[#This Row],[Quantity]]&gt;0))=1</f>
        <v>1</v>
      </c>
      <c r="K733" t="b">
        <f>((Table3[[#This Row],[Quantity]]&gt;=Table3[[#This Row],[Return Qty]])*(ISNUMBER(Table3[[#This Row],[Quantity]])))=1</f>
        <v>1</v>
      </c>
      <c r="L733" t="b">
        <f>ISNUMBER(Table3[[#This Row],[Unit Price]])</f>
        <v>1</v>
      </c>
      <c r="M733" t="b">
        <f>ISNUMBER(Table3[[#This Row],[Order Date]])</f>
        <v>1</v>
      </c>
      <c r="N733">
        <f>IFERROR(IF(Table3[[#This Row],[Quantity]]*Table3[[#This Row],[Unit Price]]&lt;0, "N/A", Table3[[#This Row],[Quantity]]*Table3[[#This Row],[Unit Price]]), "N/A")</f>
        <v>252000</v>
      </c>
      <c r="O733">
        <f>IFERROR(Table3[[#This Row],[Unit Price]]*Table3[[#This Row],[Return Qty]], "N/A")</f>
        <v>0</v>
      </c>
      <c r="P733">
        <f>IFERROR(IF((Table3[[#This Row],[Revenue before return]]-Table3[[#This Row],[Amount of order  returned]])&lt;0, "N/A", Table3[[#This Row],[Revenue before return]]-Table3[[#This Row],[Amount of order  returned]]), "N/A")</f>
        <v>252000</v>
      </c>
      <c r="Q73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34" spans="1:17" x14ac:dyDescent="0.2">
      <c r="A734" t="s">
        <v>1106</v>
      </c>
      <c r="B734" t="s">
        <v>21</v>
      </c>
      <c r="C734" t="s">
        <v>22</v>
      </c>
      <c r="D734" s="6">
        <v>16</v>
      </c>
      <c r="E734" s="5">
        <v>35000</v>
      </c>
      <c r="F734" t="s">
        <v>244</v>
      </c>
      <c r="G734" s="7">
        <v>46169</v>
      </c>
      <c r="H734" s="5">
        <v>0</v>
      </c>
      <c r="I73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34" t="b">
        <f>((ISNUMBER(Table3[[#This Row],[Quantity]]) )* (Table3[[#This Row],[Quantity]]&gt;0))=1</f>
        <v>1</v>
      </c>
      <c r="K734" t="b">
        <f>((Table3[[#This Row],[Quantity]]&gt;=Table3[[#This Row],[Return Qty]])*(ISNUMBER(Table3[[#This Row],[Quantity]])))=1</f>
        <v>1</v>
      </c>
      <c r="L734" t="b">
        <f>ISNUMBER(Table3[[#This Row],[Unit Price]])</f>
        <v>1</v>
      </c>
      <c r="M734" t="b">
        <f>ISNUMBER(Table3[[#This Row],[Order Date]])</f>
        <v>1</v>
      </c>
      <c r="N734">
        <f>IFERROR(IF(Table3[[#This Row],[Quantity]]*Table3[[#This Row],[Unit Price]]&lt;0, "N/A", Table3[[#This Row],[Quantity]]*Table3[[#This Row],[Unit Price]]), "N/A")</f>
        <v>560000</v>
      </c>
      <c r="O734">
        <f>IFERROR(Table3[[#This Row],[Unit Price]]*Table3[[#This Row],[Return Qty]], "N/A")</f>
        <v>0</v>
      </c>
      <c r="P734">
        <f>IFERROR(IF((Table3[[#This Row],[Revenue before return]]-Table3[[#This Row],[Amount of order  returned]])&lt;0, "N/A", Table3[[#This Row],[Revenue before return]]-Table3[[#This Row],[Amount of order  returned]]), "N/A")</f>
        <v>560000</v>
      </c>
      <c r="Q73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35" spans="1:17" x14ac:dyDescent="0.2">
      <c r="A735" t="s">
        <v>1107</v>
      </c>
      <c r="B735" t="s">
        <v>25</v>
      </c>
      <c r="C735" t="s">
        <v>18</v>
      </c>
      <c r="D735" s="6">
        <v>9</v>
      </c>
      <c r="E735" s="5">
        <v>50000</v>
      </c>
      <c r="F735" t="s">
        <v>364</v>
      </c>
      <c r="G735" s="7">
        <v>46113</v>
      </c>
      <c r="H735" s="5">
        <v>0</v>
      </c>
      <c r="I73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35" t="b">
        <f>((ISNUMBER(Table3[[#This Row],[Quantity]]) )* (Table3[[#This Row],[Quantity]]&gt;0))=1</f>
        <v>1</v>
      </c>
      <c r="K735" t="b">
        <f>((Table3[[#This Row],[Quantity]]&gt;=Table3[[#This Row],[Return Qty]])*(ISNUMBER(Table3[[#This Row],[Quantity]])))=1</f>
        <v>1</v>
      </c>
      <c r="L735" t="b">
        <f>ISNUMBER(Table3[[#This Row],[Unit Price]])</f>
        <v>1</v>
      </c>
      <c r="M735" t="b">
        <f>ISNUMBER(Table3[[#This Row],[Order Date]])</f>
        <v>1</v>
      </c>
      <c r="N735">
        <f>IFERROR(IF(Table3[[#This Row],[Quantity]]*Table3[[#This Row],[Unit Price]]&lt;0, "N/A", Table3[[#This Row],[Quantity]]*Table3[[#This Row],[Unit Price]]), "N/A")</f>
        <v>450000</v>
      </c>
      <c r="O735">
        <f>IFERROR(Table3[[#This Row],[Unit Price]]*Table3[[#This Row],[Return Qty]], "N/A")</f>
        <v>0</v>
      </c>
      <c r="P735">
        <f>IFERROR(IF((Table3[[#This Row],[Revenue before return]]-Table3[[#This Row],[Amount of order  returned]])&lt;0, "N/A", Table3[[#This Row],[Revenue before return]]-Table3[[#This Row],[Amount of order  returned]]), "N/A")</f>
        <v>450000</v>
      </c>
      <c r="Q73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36" spans="1:17" x14ac:dyDescent="0.2">
      <c r="A736" t="s">
        <v>1108</v>
      </c>
      <c r="B736" t="s">
        <v>136</v>
      </c>
      <c r="C736" t="s">
        <v>18</v>
      </c>
      <c r="D736" s="6">
        <v>15</v>
      </c>
      <c r="E736" s="5">
        <v>50000</v>
      </c>
      <c r="F736" t="s">
        <v>480</v>
      </c>
      <c r="G736" s="7">
        <v>46052</v>
      </c>
      <c r="H736" s="5">
        <v>17</v>
      </c>
      <c r="I73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36" t="b">
        <f>((ISNUMBER(Table3[[#This Row],[Quantity]]) )* (Table3[[#This Row],[Quantity]]&gt;0))=1</f>
        <v>1</v>
      </c>
      <c r="K736" t="b">
        <f>((Table3[[#This Row],[Quantity]]&gt;=Table3[[#This Row],[Return Qty]])*(ISNUMBER(Table3[[#This Row],[Quantity]])))=1</f>
        <v>0</v>
      </c>
      <c r="L736" t="b">
        <f>ISNUMBER(Table3[[#This Row],[Unit Price]])</f>
        <v>1</v>
      </c>
      <c r="M736" t="b">
        <f>ISNUMBER(Table3[[#This Row],[Order Date]])</f>
        <v>1</v>
      </c>
      <c r="N736">
        <f>IFERROR(IF(Table3[[#This Row],[Quantity]]*Table3[[#This Row],[Unit Price]]&lt;0, "N/A", Table3[[#This Row],[Quantity]]*Table3[[#This Row],[Unit Price]]), "N/A")</f>
        <v>750000</v>
      </c>
      <c r="O736">
        <f>IFERROR(Table3[[#This Row],[Unit Price]]*Table3[[#This Row],[Return Qty]], "N/A")</f>
        <v>850000</v>
      </c>
      <c r="P736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73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37" spans="1:17" x14ac:dyDescent="0.2">
      <c r="A737" t="s">
        <v>1109</v>
      </c>
      <c r="B737" t="s">
        <v>21</v>
      </c>
      <c r="C737" t="s">
        <v>70</v>
      </c>
      <c r="D737" s="6">
        <v>21</v>
      </c>
      <c r="E737" s="5">
        <v>28000</v>
      </c>
      <c r="F737" t="s">
        <v>809</v>
      </c>
      <c r="G737" s="7">
        <v>46187</v>
      </c>
      <c r="H737" s="5">
        <v>0</v>
      </c>
      <c r="I73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37" t="b">
        <f>((ISNUMBER(Table3[[#This Row],[Quantity]]) )* (Table3[[#This Row],[Quantity]]&gt;0))=1</f>
        <v>1</v>
      </c>
      <c r="K737" t="b">
        <f>((Table3[[#This Row],[Quantity]]&gt;=Table3[[#This Row],[Return Qty]])*(ISNUMBER(Table3[[#This Row],[Quantity]])))=1</f>
        <v>1</v>
      </c>
      <c r="L737" t="b">
        <f>ISNUMBER(Table3[[#This Row],[Unit Price]])</f>
        <v>1</v>
      </c>
      <c r="M737" t="b">
        <f>ISNUMBER(Table3[[#This Row],[Order Date]])</f>
        <v>1</v>
      </c>
      <c r="N737">
        <f>IFERROR(IF(Table3[[#This Row],[Quantity]]*Table3[[#This Row],[Unit Price]]&lt;0, "N/A", Table3[[#This Row],[Quantity]]*Table3[[#This Row],[Unit Price]]), "N/A")</f>
        <v>588000</v>
      </c>
      <c r="O737">
        <f>IFERROR(Table3[[#This Row],[Unit Price]]*Table3[[#This Row],[Return Qty]], "N/A")</f>
        <v>0</v>
      </c>
      <c r="P737">
        <f>IFERROR(IF((Table3[[#This Row],[Revenue before return]]-Table3[[#This Row],[Amount of order  returned]])&lt;0, "N/A", Table3[[#This Row],[Revenue before return]]-Table3[[#This Row],[Amount of order  returned]]), "N/A")</f>
        <v>588000</v>
      </c>
      <c r="Q73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38" spans="1:17" x14ac:dyDescent="0.2">
      <c r="A738" t="s">
        <v>1110</v>
      </c>
      <c r="B738" t="s">
        <v>25</v>
      </c>
      <c r="C738" t="s">
        <v>45</v>
      </c>
      <c r="D738" s="6">
        <v>1</v>
      </c>
      <c r="E738" s="5">
        <v>20000</v>
      </c>
      <c r="F738" t="s">
        <v>940</v>
      </c>
      <c r="G738" s="7">
        <v>46137</v>
      </c>
      <c r="H738" s="5">
        <v>0</v>
      </c>
      <c r="I73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38" t="b">
        <f>((ISNUMBER(Table3[[#This Row],[Quantity]]) )* (Table3[[#This Row],[Quantity]]&gt;0))=1</f>
        <v>1</v>
      </c>
      <c r="K738" t="b">
        <f>((Table3[[#This Row],[Quantity]]&gt;=Table3[[#This Row],[Return Qty]])*(ISNUMBER(Table3[[#This Row],[Quantity]])))=1</f>
        <v>1</v>
      </c>
      <c r="L738" t="b">
        <f>ISNUMBER(Table3[[#This Row],[Unit Price]])</f>
        <v>1</v>
      </c>
      <c r="M738" t="b">
        <f>ISNUMBER(Table3[[#This Row],[Order Date]])</f>
        <v>1</v>
      </c>
      <c r="N738">
        <f>IFERROR(IF(Table3[[#This Row],[Quantity]]*Table3[[#This Row],[Unit Price]]&lt;0, "N/A", Table3[[#This Row],[Quantity]]*Table3[[#This Row],[Unit Price]]), "N/A")</f>
        <v>20000</v>
      </c>
      <c r="O738">
        <f>IFERROR(Table3[[#This Row],[Unit Price]]*Table3[[#This Row],[Return Qty]], "N/A")</f>
        <v>0</v>
      </c>
      <c r="P738">
        <f>IFERROR(IF((Table3[[#This Row],[Revenue before return]]-Table3[[#This Row],[Amount of order  returned]])&lt;0, "N/A", Table3[[#This Row],[Revenue before return]]-Table3[[#This Row],[Amount of order  returned]]), "N/A")</f>
        <v>20000</v>
      </c>
      <c r="Q73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39" spans="1:17" x14ac:dyDescent="0.2">
      <c r="A739" t="s">
        <v>1111</v>
      </c>
      <c r="B739" t="s">
        <v>25</v>
      </c>
      <c r="C739" t="s">
        <v>26</v>
      </c>
      <c r="D739" s="6">
        <v>8</v>
      </c>
      <c r="E739" s="5">
        <v>20000</v>
      </c>
      <c r="F739" t="s">
        <v>770</v>
      </c>
      <c r="G739" s="7">
        <v>46137</v>
      </c>
      <c r="H739" s="5">
        <v>0</v>
      </c>
      <c r="I73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39" t="b">
        <f>((ISNUMBER(Table3[[#This Row],[Quantity]]) )* (Table3[[#This Row],[Quantity]]&gt;0))=1</f>
        <v>1</v>
      </c>
      <c r="K739" t="b">
        <f>((Table3[[#This Row],[Quantity]]&gt;=Table3[[#This Row],[Return Qty]])*(ISNUMBER(Table3[[#This Row],[Quantity]])))=1</f>
        <v>1</v>
      </c>
      <c r="L739" t="b">
        <f>ISNUMBER(Table3[[#This Row],[Unit Price]])</f>
        <v>1</v>
      </c>
      <c r="M739" t="b">
        <f>ISNUMBER(Table3[[#This Row],[Order Date]])</f>
        <v>1</v>
      </c>
      <c r="N739">
        <f>IFERROR(IF(Table3[[#This Row],[Quantity]]*Table3[[#This Row],[Unit Price]]&lt;0, "N/A", Table3[[#This Row],[Quantity]]*Table3[[#This Row],[Unit Price]]), "N/A")</f>
        <v>160000</v>
      </c>
      <c r="O739">
        <f>IFERROR(Table3[[#This Row],[Unit Price]]*Table3[[#This Row],[Return Qty]], "N/A")</f>
        <v>0</v>
      </c>
      <c r="P739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73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40" spans="1:17" x14ac:dyDescent="0.2">
      <c r="A740" t="s">
        <v>1112</v>
      </c>
      <c r="B740" t="s">
        <v>9</v>
      </c>
      <c r="C740" t="s">
        <v>70</v>
      </c>
      <c r="D740" s="6">
        <v>24</v>
      </c>
      <c r="E740" s="5">
        <v>28000</v>
      </c>
      <c r="F740" t="s">
        <v>11</v>
      </c>
      <c r="G740" s="7">
        <v>46026</v>
      </c>
      <c r="H740" s="5">
        <v>0</v>
      </c>
      <c r="I74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40" t="b">
        <f>((ISNUMBER(Table3[[#This Row],[Quantity]]) )* (Table3[[#This Row],[Quantity]]&gt;0))=1</f>
        <v>1</v>
      </c>
      <c r="K740" t="b">
        <f>((Table3[[#This Row],[Quantity]]&gt;=Table3[[#This Row],[Return Qty]])*(ISNUMBER(Table3[[#This Row],[Quantity]])))=1</f>
        <v>1</v>
      </c>
      <c r="L740" t="b">
        <f>ISNUMBER(Table3[[#This Row],[Unit Price]])</f>
        <v>1</v>
      </c>
      <c r="M740" t="b">
        <f>ISNUMBER(Table3[[#This Row],[Order Date]])</f>
        <v>1</v>
      </c>
      <c r="N740">
        <f>IFERROR(IF(Table3[[#This Row],[Quantity]]*Table3[[#This Row],[Unit Price]]&lt;0, "N/A", Table3[[#This Row],[Quantity]]*Table3[[#This Row],[Unit Price]]), "N/A")</f>
        <v>672000</v>
      </c>
      <c r="O740">
        <f>IFERROR(Table3[[#This Row],[Unit Price]]*Table3[[#This Row],[Return Qty]], "N/A")</f>
        <v>0</v>
      </c>
      <c r="P740">
        <f>IFERROR(IF((Table3[[#This Row],[Revenue before return]]-Table3[[#This Row],[Amount of order  returned]])&lt;0, "N/A", Table3[[#This Row],[Revenue before return]]-Table3[[#This Row],[Amount of order  returned]]), "N/A")</f>
        <v>672000</v>
      </c>
      <c r="Q74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41" spans="1:17" x14ac:dyDescent="0.2">
      <c r="A741" t="s">
        <v>1113</v>
      </c>
      <c r="B741" t="s">
        <v>25</v>
      </c>
      <c r="C741" t="s">
        <v>18</v>
      </c>
      <c r="D741" s="6">
        <v>3</v>
      </c>
      <c r="E741" s="5">
        <v>50000</v>
      </c>
      <c r="F741" t="s">
        <v>54</v>
      </c>
      <c r="G741" s="7">
        <v>46144</v>
      </c>
      <c r="H741" s="5">
        <v>0</v>
      </c>
      <c r="I74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41" t="b">
        <f>((ISNUMBER(Table3[[#This Row],[Quantity]]) )* (Table3[[#This Row],[Quantity]]&gt;0))=1</f>
        <v>1</v>
      </c>
      <c r="K741" t="b">
        <f>((Table3[[#This Row],[Quantity]]&gt;=Table3[[#This Row],[Return Qty]])*(ISNUMBER(Table3[[#This Row],[Quantity]])))=1</f>
        <v>1</v>
      </c>
      <c r="L741" t="b">
        <f>ISNUMBER(Table3[[#This Row],[Unit Price]])</f>
        <v>1</v>
      </c>
      <c r="M741" t="b">
        <f>ISNUMBER(Table3[[#This Row],[Order Date]])</f>
        <v>1</v>
      </c>
      <c r="N741">
        <f>IFERROR(IF(Table3[[#This Row],[Quantity]]*Table3[[#This Row],[Unit Price]]&lt;0, "N/A", Table3[[#This Row],[Quantity]]*Table3[[#This Row],[Unit Price]]), "N/A")</f>
        <v>150000</v>
      </c>
      <c r="O741">
        <f>IFERROR(Table3[[#This Row],[Unit Price]]*Table3[[#This Row],[Return Qty]], "N/A")</f>
        <v>0</v>
      </c>
      <c r="P741">
        <f>IFERROR(IF((Table3[[#This Row],[Revenue before return]]-Table3[[#This Row],[Amount of order  returned]])&lt;0, "N/A", Table3[[#This Row],[Revenue before return]]-Table3[[#This Row],[Amount of order  returned]]), "N/A")</f>
        <v>150000</v>
      </c>
      <c r="Q74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42" spans="1:17" x14ac:dyDescent="0.2">
      <c r="A742" t="s">
        <v>1114</v>
      </c>
      <c r="B742" t="s">
        <v>235</v>
      </c>
      <c r="C742" t="s">
        <v>45</v>
      </c>
      <c r="D742" s="6">
        <v>16</v>
      </c>
      <c r="E742" s="5">
        <v>20000</v>
      </c>
      <c r="F742" t="s">
        <v>88</v>
      </c>
      <c r="G742" s="7">
        <v>46068</v>
      </c>
      <c r="H742" s="5">
        <v>0</v>
      </c>
      <c r="I74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0</v>
      </c>
      <c r="J742" t="b">
        <f>((ISNUMBER(Table3[[#This Row],[Quantity]]) )* (Table3[[#This Row],[Quantity]]&gt;0))=1</f>
        <v>1</v>
      </c>
      <c r="K742" t="b">
        <f>((Table3[[#This Row],[Quantity]]&gt;=Table3[[#This Row],[Return Qty]])*(ISNUMBER(Table3[[#This Row],[Quantity]])))=1</f>
        <v>1</v>
      </c>
      <c r="L742" t="b">
        <f>ISNUMBER(Table3[[#This Row],[Unit Price]])</f>
        <v>1</v>
      </c>
      <c r="M742" t="b">
        <f>ISNUMBER(Table3[[#This Row],[Order Date]])</f>
        <v>1</v>
      </c>
      <c r="N742">
        <f>IFERROR(IF(Table3[[#This Row],[Quantity]]*Table3[[#This Row],[Unit Price]]&lt;0, "N/A", Table3[[#This Row],[Quantity]]*Table3[[#This Row],[Unit Price]]), "N/A")</f>
        <v>320000</v>
      </c>
      <c r="O742">
        <f>IFERROR(Table3[[#This Row],[Unit Price]]*Table3[[#This Row],[Return Qty]], "N/A")</f>
        <v>0</v>
      </c>
      <c r="P742">
        <f>IFERROR(IF((Table3[[#This Row],[Revenue before return]]-Table3[[#This Row],[Amount of order  returned]])&lt;0, "N/A", Table3[[#This Row],[Revenue before return]]-Table3[[#This Row],[Amount of order  returned]]), "N/A")</f>
        <v>320000</v>
      </c>
      <c r="Q74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43" spans="1:17" x14ac:dyDescent="0.2">
      <c r="A743" t="s">
        <v>1115</v>
      </c>
      <c r="B743" t="s">
        <v>21</v>
      </c>
      <c r="C743" t="s">
        <v>22</v>
      </c>
      <c r="D743" s="6">
        <v>2</v>
      </c>
      <c r="E743" s="5">
        <v>35000</v>
      </c>
      <c r="F743" t="s">
        <v>443</v>
      </c>
      <c r="G743" s="7">
        <v>46175</v>
      </c>
      <c r="H743" s="5">
        <v>0</v>
      </c>
      <c r="I74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43" t="b">
        <f>((ISNUMBER(Table3[[#This Row],[Quantity]]) )* (Table3[[#This Row],[Quantity]]&gt;0))=1</f>
        <v>1</v>
      </c>
      <c r="K743" t="b">
        <f>((Table3[[#This Row],[Quantity]]&gt;=Table3[[#This Row],[Return Qty]])*(ISNUMBER(Table3[[#This Row],[Quantity]])))=1</f>
        <v>1</v>
      </c>
      <c r="L743" t="b">
        <f>ISNUMBER(Table3[[#This Row],[Unit Price]])</f>
        <v>1</v>
      </c>
      <c r="M743" t="b">
        <f>ISNUMBER(Table3[[#This Row],[Order Date]])</f>
        <v>1</v>
      </c>
      <c r="N743">
        <f>IFERROR(IF(Table3[[#This Row],[Quantity]]*Table3[[#This Row],[Unit Price]]&lt;0, "N/A", Table3[[#This Row],[Quantity]]*Table3[[#This Row],[Unit Price]]), "N/A")</f>
        <v>70000</v>
      </c>
      <c r="O743">
        <f>IFERROR(Table3[[#This Row],[Unit Price]]*Table3[[#This Row],[Return Qty]], "N/A")</f>
        <v>0</v>
      </c>
      <c r="P743">
        <f>IFERROR(IF((Table3[[#This Row],[Revenue before return]]-Table3[[#This Row],[Amount of order  returned]])&lt;0, "N/A", Table3[[#This Row],[Revenue before return]]-Table3[[#This Row],[Amount of order  returned]]), "N/A")</f>
        <v>70000</v>
      </c>
      <c r="Q74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44" spans="1:17" x14ac:dyDescent="0.2">
      <c r="A744" t="s">
        <v>1116</v>
      </c>
      <c r="B744" t="s">
        <v>9</v>
      </c>
      <c r="C744" t="s">
        <v>32</v>
      </c>
      <c r="D744" s="6">
        <v>16</v>
      </c>
      <c r="E744" s="5">
        <v>8000</v>
      </c>
      <c r="F744" t="s">
        <v>1091</v>
      </c>
      <c r="G744" s="7">
        <v>46042</v>
      </c>
      <c r="H744" s="5">
        <v>3</v>
      </c>
      <c r="I74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44" t="b">
        <f>((ISNUMBER(Table3[[#This Row],[Quantity]]) )* (Table3[[#This Row],[Quantity]]&gt;0))=1</f>
        <v>1</v>
      </c>
      <c r="K744" t="b">
        <f>((Table3[[#This Row],[Quantity]]&gt;=Table3[[#This Row],[Return Qty]])*(ISNUMBER(Table3[[#This Row],[Quantity]])))=1</f>
        <v>1</v>
      </c>
      <c r="L744" t="b">
        <f>ISNUMBER(Table3[[#This Row],[Unit Price]])</f>
        <v>1</v>
      </c>
      <c r="M744" t="b">
        <f>ISNUMBER(Table3[[#This Row],[Order Date]])</f>
        <v>1</v>
      </c>
      <c r="N744">
        <f>IFERROR(IF(Table3[[#This Row],[Quantity]]*Table3[[#This Row],[Unit Price]]&lt;0, "N/A", Table3[[#This Row],[Quantity]]*Table3[[#This Row],[Unit Price]]), "N/A")</f>
        <v>128000</v>
      </c>
      <c r="O744">
        <f>IFERROR(Table3[[#This Row],[Unit Price]]*Table3[[#This Row],[Return Qty]], "N/A")</f>
        <v>24000</v>
      </c>
      <c r="P744">
        <f>IFERROR(IF((Table3[[#This Row],[Revenue before return]]-Table3[[#This Row],[Amount of order  returned]])&lt;0, "N/A", Table3[[#This Row],[Revenue before return]]-Table3[[#This Row],[Amount of order  returned]]), "N/A")</f>
        <v>104000</v>
      </c>
      <c r="Q74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45" spans="1:17" x14ac:dyDescent="0.2">
      <c r="A745" t="s">
        <v>1117</v>
      </c>
      <c r="B745" t="s">
        <v>25</v>
      </c>
      <c r="C745" t="s">
        <v>32</v>
      </c>
      <c r="D745" s="6">
        <v>1</v>
      </c>
      <c r="E745" s="5">
        <v>8000</v>
      </c>
      <c r="F745" t="s">
        <v>276</v>
      </c>
      <c r="G745" s="7">
        <v>46061</v>
      </c>
      <c r="H745" s="5">
        <v>0</v>
      </c>
      <c r="I74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45" t="b">
        <f>((ISNUMBER(Table3[[#This Row],[Quantity]]) )* (Table3[[#This Row],[Quantity]]&gt;0))=1</f>
        <v>1</v>
      </c>
      <c r="K745" t="b">
        <f>((Table3[[#This Row],[Quantity]]&gt;=Table3[[#This Row],[Return Qty]])*(ISNUMBER(Table3[[#This Row],[Quantity]])))=1</f>
        <v>1</v>
      </c>
      <c r="L745" t="b">
        <f>ISNUMBER(Table3[[#This Row],[Unit Price]])</f>
        <v>1</v>
      </c>
      <c r="M745" t="b">
        <f>ISNUMBER(Table3[[#This Row],[Order Date]])</f>
        <v>1</v>
      </c>
      <c r="N745">
        <f>IFERROR(IF(Table3[[#This Row],[Quantity]]*Table3[[#This Row],[Unit Price]]&lt;0, "N/A", Table3[[#This Row],[Quantity]]*Table3[[#This Row],[Unit Price]]), "N/A")</f>
        <v>8000</v>
      </c>
      <c r="O745">
        <f>IFERROR(Table3[[#This Row],[Unit Price]]*Table3[[#This Row],[Return Qty]], "N/A")</f>
        <v>0</v>
      </c>
      <c r="P745">
        <f>IFERROR(IF((Table3[[#This Row],[Revenue before return]]-Table3[[#This Row],[Amount of order  returned]])&lt;0, "N/A", Table3[[#This Row],[Revenue before return]]-Table3[[#This Row],[Amount of order  returned]]), "N/A")</f>
        <v>8000</v>
      </c>
      <c r="Q74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46" spans="1:17" x14ac:dyDescent="0.2">
      <c r="A746" t="s">
        <v>1118</v>
      </c>
      <c r="B746" t="s">
        <v>25</v>
      </c>
      <c r="C746" t="s">
        <v>26</v>
      </c>
      <c r="D746" s="6">
        <v>9</v>
      </c>
      <c r="E746" s="5">
        <v>20000</v>
      </c>
      <c r="F746" t="s">
        <v>381</v>
      </c>
      <c r="G746" s="7">
        <v>46125</v>
      </c>
      <c r="H746" s="5">
        <v>1</v>
      </c>
      <c r="I74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46" t="b">
        <f>((ISNUMBER(Table3[[#This Row],[Quantity]]) )* (Table3[[#This Row],[Quantity]]&gt;0))=1</f>
        <v>1</v>
      </c>
      <c r="K746" t="b">
        <f>((Table3[[#This Row],[Quantity]]&gt;=Table3[[#This Row],[Return Qty]])*(ISNUMBER(Table3[[#This Row],[Quantity]])))=1</f>
        <v>1</v>
      </c>
      <c r="L746" t="b">
        <f>ISNUMBER(Table3[[#This Row],[Unit Price]])</f>
        <v>1</v>
      </c>
      <c r="M746" t="b">
        <f>ISNUMBER(Table3[[#This Row],[Order Date]])</f>
        <v>1</v>
      </c>
      <c r="N746">
        <f>IFERROR(IF(Table3[[#This Row],[Quantity]]*Table3[[#This Row],[Unit Price]]&lt;0, "N/A", Table3[[#This Row],[Quantity]]*Table3[[#This Row],[Unit Price]]), "N/A")</f>
        <v>180000</v>
      </c>
      <c r="O746">
        <f>IFERROR(Table3[[#This Row],[Unit Price]]*Table3[[#This Row],[Return Qty]], "N/A")</f>
        <v>20000</v>
      </c>
      <c r="P746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74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47" spans="1:17" x14ac:dyDescent="0.2">
      <c r="A747" t="s">
        <v>1119</v>
      </c>
      <c r="B747" t="s">
        <v>14</v>
      </c>
      <c r="C747" t="s">
        <v>70</v>
      </c>
      <c r="D747" s="6">
        <v>15</v>
      </c>
      <c r="E747" s="5">
        <v>28000</v>
      </c>
      <c r="F747" t="s">
        <v>1120</v>
      </c>
      <c r="G747" s="7">
        <v>46067</v>
      </c>
      <c r="H747" s="5">
        <v>0</v>
      </c>
      <c r="I74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47" t="b">
        <f>((ISNUMBER(Table3[[#This Row],[Quantity]]) )* (Table3[[#This Row],[Quantity]]&gt;0))=1</f>
        <v>1</v>
      </c>
      <c r="K747" t="b">
        <f>((Table3[[#This Row],[Quantity]]&gt;=Table3[[#This Row],[Return Qty]])*(ISNUMBER(Table3[[#This Row],[Quantity]])))=1</f>
        <v>1</v>
      </c>
      <c r="L747" t="b">
        <f>ISNUMBER(Table3[[#This Row],[Unit Price]])</f>
        <v>1</v>
      </c>
      <c r="M747" t="b">
        <f>ISNUMBER(Table3[[#This Row],[Order Date]])</f>
        <v>1</v>
      </c>
      <c r="N747">
        <f>IFERROR(IF(Table3[[#This Row],[Quantity]]*Table3[[#This Row],[Unit Price]]&lt;0, "N/A", Table3[[#This Row],[Quantity]]*Table3[[#This Row],[Unit Price]]), "N/A")</f>
        <v>420000</v>
      </c>
      <c r="O747">
        <f>IFERROR(Table3[[#This Row],[Unit Price]]*Table3[[#This Row],[Return Qty]], "N/A")</f>
        <v>0</v>
      </c>
      <c r="P747">
        <f>IFERROR(IF((Table3[[#This Row],[Revenue before return]]-Table3[[#This Row],[Amount of order  returned]])&lt;0, "N/A", Table3[[#This Row],[Revenue before return]]-Table3[[#This Row],[Amount of order  returned]]), "N/A")</f>
        <v>420000</v>
      </c>
      <c r="Q74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48" spans="1:17" x14ac:dyDescent="0.2">
      <c r="A748" t="s">
        <v>1121</v>
      </c>
      <c r="B748" t="s">
        <v>25</v>
      </c>
      <c r="C748" t="s">
        <v>45</v>
      </c>
      <c r="D748" s="6">
        <v>24</v>
      </c>
      <c r="E748" s="5">
        <v>20000</v>
      </c>
      <c r="F748" t="s">
        <v>391</v>
      </c>
      <c r="G748" s="7">
        <v>46137</v>
      </c>
      <c r="H748" s="5">
        <v>0</v>
      </c>
      <c r="I74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48" t="b">
        <f>((ISNUMBER(Table3[[#This Row],[Quantity]]) )* (Table3[[#This Row],[Quantity]]&gt;0))=1</f>
        <v>1</v>
      </c>
      <c r="K748" t="b">
        <f>((Table3[[#This Row],[Quantity]]&gt;=Table3[[#This Row],[Return Qty]])*(ISNUMBER(Table3[[#This Row],[Quantity]])))=1</f>
        <v>1</v>
      </c>
      <c r="L748" t="b">
        <f>ISNUMBER(Table3[[#This Row],[Unit Price]])</f>
        <v>1</v>
      </c>
      <c r="M748" t="b">
        <f>ISNUMBER(Table3[[#This Row],[Order Date]])</f>
        <v>1</v>
      </c>
      <c r="N748">
        <f>IFERROR(IF(Table3[[#This Row],[Quantity]]*Table3[[#This Row],[Unit Price]]&lt;0, "N/A", Table3[[#This Row],[Quantity]]*Table3[[#This Row],[Unit Price]]), "N/A")</f>
        <v>480000</v>
      </c>
      <c r="O748">
        <f>IFERROR(Table3[[#This Row],[Unit Price]]*Table3[[#This Row],[Return Qty]], "N/A")</f>
        <v>0</v>
      </c>
      <c r="P748">
        <f>IFERROR(IF((Table3[[#This Row],[Revenue before return]]-Table3[[#This Row],[Amount of order  returned]])&lt;0, "N/A", Table3[[#This Row],[Revenue before return]]-Table3[[#This Row],[Amount of order  returned]]), "N/A")</f>
        <v>480000</v>
      </c>
      <c r="Q74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49" spans="1:17" x14ac:dyDescent="0.2">
      <c r="A749" t="s">
        <v>1122</v>
      </c>
      <c r="B749" t="s">
        <v>9</v>
      </c>
      <c r="C749" t="s">
        <v>26</v>
      </c>
      <c r="D749" s="6">
        <v>21</v>
      </c>
      <c r="E749" s="5">
        <v>20000</v>
      </c>
      <c r="F749" t="s">
        <v>142</v>
      </c>
      <c r="G749" s="7">
        <v>46190</v>
      </c>
      <c r="H749" s="5">
        <v>3</v>
      </c>
      <c r="I74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49" t="b">
        <f>((ISNUMBER(Table3[[#This Row],[Quantity]]) )* (Table3[[#This Row],[Quantity]]&gt;0))=1</f>
        <v>1</v>
      </c>
      <c r="K749" t="b">
        <f>((Table3[[#This Row],[Quantity]]&gt;=Table3[[#This Row],[Return Qty]])*(ISNUMBER(Table3[[#This Row],[Quantity]])))=1</f>
        <v>1</v>
      </c>
      <c r="L749" t="b">
        <f>ISNUMBER(Table3[[#This Row],[Unit Price]])</f>
        <v>1</v>
      </c>
      <c r="M749" t="b">
        <f>ISNUMBER(Table3[[#This Row],[Order Date]])</f>
        <v>1</v>
      </c>
      <c r="N749">
        <f>IFERROR(IF(Table3[[#This Row],[Quantity]]*Table3[[#This Row],[Unit Price]]&lt;0, "N/A", Table3[[#This Row],[Quantity]]*Table3[[#This Row],[Unit Price]]), "N/A")</f>
        <v>420000</v>
      </c>
      <c r="O749">
        <f>IFERROR(Table3[[#This Row],[Unit Price]]*Table3[[#This Row],[Return Qty]], "N/A")</f>
        <v>60000</v>
      </c>
      <c r="P749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74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50" spans="1:17" x14ac:dyDescent="0.2">
      <c r="A750" t="s">
        <v>1123</v>
      </c>
      <c r="B750" t="s">
        <v>21</v>
      </c>
      <c r="C750" t="s">
        <v>18</v>
      </c>
      <c r="D750" s="6">
        <v>2</v>
      </c>
      <c r="E750" s="5">
        <v>50000</v>
      </c>
      <c r="F750" t="s">
        <v>82</v>
      </c>
      <c r="G750" s="7">
        <v>46144</v>
      </c>
      <c r="H750" s="5">
        <v>0</v>
      </c>
      <c r="I75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50" t="b">
        <f>((ISNUMBER(Table3[[#This Row],[Quantity]]) )* (Table3[[#This Row],[Quantity]]&gt;0))=1</f>
        <v>1</v>
      </c>
      <c r="K750" t="b">
        <f>((Table3[[#This Row],[Quantity]]&gt;=Table3[[#This Row],[Return Qty]])*(ISNUMBER(Table3[[#This Row],[Quantity]])))=1</f>
        <v>1</v>
      </c>
      <c r="L750" t="b">
        <f>ISNUMBER(Table3[[#This Row],[Unit Price]])</f>
        <v>1</v>
      </c>
      <c r="M750" t="b">
        <f>ISNUMBER(Table3[[#This Row],[Order Date]])</f>
        <v>1</v>
      </c>
      <c r="N750">
        <f>IFERROR(IF(Table3[[#This Row],[Quantity]]*Table3[[#This Row],[Unit Price]]&lt;0, "N/A", Table3[[#This Row],[Quantity]]*Table3[[#This Row],[Unit Price]]), "N/A")</f>
        <v>100000</v>
      </c>
      <c r="O750">
        <f>IFERROR(Table3[[#This Row],[Unit Price]]*Table3[[#This Row],[Return Qty]], "N/A")</f>
        <v>0</v>
      </c>
      <c r="P750">
        <f>IFERROR(IF((Table3[[#This Row],[Revenue before return]]-Table3[[#This Row],[Amount of order  returned]])&lt;0, "N/A", Table3[[#This Row],[Revenue before return]]-Table3[[#This Row],[Amount of order  returned]]), "N/A")</f>
        <v>100000</v>
      </c>
      <c r="Q75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51" spans="1:17" x14ac:dyDescent="0.2">
      <c r="A751" t="s">
        <v>1124</v>
      </c>
      <c r="B751" t="s">
        <v>14</v>
      </c>
      <c r="C751" t="s">
        <v>32</v>
      </c>
      <c r="D751" s="6">
        <v>18</v>
      </c>
      <c r="E751" s="5">
        <v>8000</v>
      </c>
      <c r="F751" t="s">
        <v>1125</v>
      </c>
      <c r="G751" s="7">
        <v>46074</v>
      </c>
      <c r="H751" s="5">
        <v>0</v>
      </c>
      <c r="I75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51" t="b">
        <f>((ISNUMBER(Table3[[#This Row],[Quantity]]) )* (Table3[[#This Row],[Quantity]]&gt;0))=1</f>
        <v>1</v>
      </c>
      <c r="K751" t="b">
        <f>((Table3[[#This Row],[Quantity]]&gt;=Table3[[#This Row],[Return Qty]])*(ISNUMBER(Table3[[#This Row],[Quantity]])))=1</f>
        <v>1</v>
      </c>
      <c r="L751" t="b">
        <f>ISNUMBER(Table3[[#This Row],[Unit Price]])</f>
        <v>1</v>
      </c>
      <c r="M751" t="b">
        <f>ISNUMBER(Table3[[#This Row],[Order Date]])</f>
        <v>1</v>
      </c>
      <c r="N751">
        <f>IFERROR(IF(Table3[[#This Row],[Quantity]]*Table3[[#This Row],[Unit Price]]&lt;0, "N/A", Table3[[#This Row],[Quantity]]*Table3[[#This Row],[Unit Price]]), "N/A")</f>
        <v>144000</v>
      </c>
      <c r="O751">
        <f>IFERROR(Table3[[#This Row],[Unit Price]]*Table3[[#This Row],[Return Qty]], "N/A")</f>
        <v>0</v>
      </c>
      <c r="P751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75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52" spans="1:17" x14ac:dyDescent="0.2">
      <c r="A752" t="s">
        <v>1126</v>
      </c>
      <c r="B752" t="s">
        <v>9</v>
      </c>
      <c r="C752" t="s">
        <v>22</v>
      </c>
      <c r="D752" s="6">
        <v>14</v>
      </c>
      <c r="E752" s="5">
        <v>35000</v>
      </c>
      <c r="F752" t="s">
        <v>73</v>
      </c>
      <c r="G752" s="7">
        <v>46190</v>
      </c>
      <c r="H752" s="5">
        <v>0</v>
      </c>
      <c r="I75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52" t="b">
        <f>((ISNUMBER(Table3[[#This Row],[Quantity]]) )* (Table3[[#This Row],[Quantity]]&gt;0))=1</f>
        <v>1</v>
      </c>
      <c r="K752" t="b">
        <f>((Table3[[#This Row],[Quantity]]&gt;=Table3[[#This Row],[Return Qty]])*(ISNUMBER(Table3[[#This Row],[Quantity]])))=1</f>
        <v>1</v>
      </c>
      <c r="L752" t="b">
        <f>ISNUMBER(Table3[[#This Row],[Unit Price]])</f>
        <v>1</v>
      </c>
      <c r="M752" t="b">
        <f>ISNUMBER(Table3[[#This Row],[Order Date]])</f>
        <v>1</v>
      </c>
      <c r="N752">
        <f>IFERROR(IF(Table3[[#This Row],[Quantity]]*Table3[[#This Row],[Unit Price]]&lt;0, "N/A", Table3[[#This Row],[Quantity]]*Table3[[#This Row],[Unit Price]]), "N/A")</f>
        <v>490000</v>
      </c>
      <c r="O752">
        <f>IFERROR(Table3[[#This Row],[Unit Price]]*Table3[[#This Row],[Return Qty]], "N/A")</f>
        <v>0</v>
      </c>
      <c r="P752">
        <f>IFERROR(IF((Table3[[#This Row],[Revenue before return]]-Table3[[#This Row],[Amount of order  returned]])&lt;0, "N/A", Table3[[#This Row],[Revenue before return]]-Table3[[#This Row],[Amount of order  returned]]), "N/A")</f>
        <v>490000</v>
      </c>
      <c r="Q75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53" spans="1:17" x14ac:dyDescent="0.2">
      <c r="A753" t="s">
        <v>1127</v>
      </c>
      <c r="B753" t="s">
        <v>25</v>
      </c>
      <c r="C753" t="s">
        <v>32</v>
      </c>
      <c r="D753" s="6">
        <v>9</v>
      </c>
      <c r="E753" s="5">
        <v>8000</v>
      </c>
      <c r="F753" t="s">
        <v>456</v>
      </c>
      <c r="G753" s="7">
        <v>46162</v>
      </c>
      <c r="H753" s="5">
        <v>0</v>
      </c>
      <c r="I75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53" t="b">
        <f>((ISNUMBER(Table3[[#This Row],[Quantity]]) )* (Table3[[#This Row],[Quantity]]&gt;0))=1</f>
        <v>1</v>
      </c>
      <c r="K753" t="b">
        <f>((Table3[[#This Row],[Quantity]]&gt;=Table3[[#This Row],[Return Qty]])*(ISNUMBER(Table3[[#This Row],[Quantity]])))=1</f>
        <v>1</v>
      </c>
      <c r="L753" t="b">
        <f>ISNUMBER(Table3[[#This Row],[Unit Price]])</f>
        <v>1</v>
      </c>
      <c r="M753" t="b">
        <f>ISNUMBER(Table3[[#This Row],[Order Date]])</f>
        <v>1</v>
      </c>
      <c r="N753">
        <f>IFERROR(IF(Table3[[#This Row],[Quantity]]*Table3[[#This Row],[Unit Price]]&lt;0, "N/A", Table3[[#This Row],[Quantity]]*Table3[[#This Row],[Unit Price]]), "N/A")</f>
        <v>72000</v>
      </c>
      <c r="O753">
        <f>IFERROR(Table3[[#This Row],[Unit Price]]*Table3[[#This Row],[Return Qty]], "N/A")</f>
        <v>0</v>
      </c>
      <c r="P753">
        <f>IFERROR(IF((Table3[[#This Row],[Revenue before return]]-Table3[[#This Row],[Amount of order  returned]])&lt;0, "N/A", Table3[[#This Row],[Revenue before return]]-Table3[[#This Row],[Amount of order  returned]]), "N/A")</f>
        <v>72000</v>
      </c>
      <c r="Q75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54" spans="1:17" x14ac:dyDescent="0.2">
      <c r="A754" t="s">
        <v>1128</v>
      </c>
      <c r="B754" t="s">
        <v>14</v>
      </c>
      <c r="C754" t="s">
        <v>10</v>
      </c>
      <c r="D754" s="6">
        <v>3</v>
      </c>
      <c r="E754" s="5">
        <v>15000</v>
      </c>
      <c r="F754" t="s">
        <v>352</v>
      </c>
      <c r="G754" s="7">
        <v>46130</v>
      </c>
      <c r="H754" s="5">
        <v>0</v>
      </c>
      <c r="I75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54" t="b">
        <f>((ISNUMBER(Table3[[#This Row],[Quantity]]) )* (Table3[[#This Row],[Quantity]]&gt;0))=1</f>
        <v>1</v>
      </c>
      <c r="K754" t="b">
        <f>((Table3[[#This Row],[Quantity]]&gt;=Table3[[#This Row],[Return Qty]])*(ISNUMBER(Table3[[#This Row],[Quantity]])))=1</f>
        <v>1</v>
      </c>
      <c r="L754" t="b">
        <f>ISNUMBER(Table3[[#This Row],[Unit Price]])</f>
        <v>1</v>
      </c>
      <c r="M754" t="b">
        <f>ISNUMBER(Table3[[#This Row],[Order Date]])</f>
        <v>1</v>
      </c>
      <c r="N754">
        <f>IFERROR(IF(Table3[[#This Row],[Quantity]]*Table3[[#This Row],[Unit Price]]&lt;0, "N/A", Table3[[#This Row],[Quantity]]*Table3[[#This Row],[Unit Price]]), "N/A")</f>
        <v>45000</v>
      </c>
      <c r="O754">
        <f>IFERROR(Table3[[#This Row],[Unit Price]]*Table3[[#This Row],[Return Qty]], "N/A")</f>
        <v>0</v>
      </c>
      <c r="P754">
        <f>IFERROR(IF((Table3[[#This Row],[Revenue before return]]-Table3[[#This Row],[Amount of order  returned]])&lt;0, "N/A", Table3[[#This Row],[Revenue before return]]-Table3[[#This Row],[Amount of order  returned]]), "N/A")</f>
        <v>45000</v>
      </c>
      <c r="Q75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55" spans="1:17" x14ac:dyDescent="0.2">
      <c r="A755" t="s">
        <v>1129</v>
      </c>
      <c r="B755" t="s">
        <v>14</v>
      </c>
      <c r="C755" t="s">
        <v>18</v>
      </c>
      <c r="D755" s="6">
        <v>-4</v>
      </c>
      <c r="E755" s="5">
        <v>50000</v>
      </c>
      <c r="F755" t="s">
        <v>477</v>
      </c>
      <c r="G755" s="7">
        <v>46100</v>
      </c>
      <c r="H755" s="5">
        <v>4</v>
      </c>
      <c r="I75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55" t="b">
        <f>((ISNUMBER(Table3[[#This Row],[Quantity]]) )* (Table3[[#This Row],[Quantity]]&gt;0))=1</f>
        <v>0</v>
      </c>
      <c r="K755" t="b">
        <f>((Table3[[#This Row],[Quantity]]&gt;=Table3[[#This Row],[Return Qty]])*(ISNUMBER(Table3[[#This Row],[Quantity]])))=1</f>
        <v>0</v>
      </c>
      <c r="L755" t="b">
        <f>ISNUMBER(Table3[[#This Row],[Unit Price]])</f>
        <v>1</v>
      </c>
      <c r="M755" t="b">
        <f>ISNUMBER(Table3[[#This Row],[Order Date]])</f>
        <v>1</v>
      </c>
      <c r="N755" t="str">
        <f>IFERROR(IF(Table3[[#This Row],[Quantity]]*Table3[[#This Row],[Unit Price]]&lt;0, "N/A", Table3[[#This Row],[Quantity]]*Table3[[#This Row],[Unit Price]]), "N/A")</f>
        <v>N/A</v>
      </c>
      <c r="O755">
        <f>IFERROR(Table3[[#This Row],[Unit Price]]*Table3[[#This Row],[Return Qty]], "N/A")</f>
        <v>200000</v>
      </c>
      <c r="P755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75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56" spans="1:17" x14ac:dyDescent="0.2">
      <c r="A756" t="s">
        <v>1130</v>
      </c>
      <c r="B756" t="s">
        <v>14</v>
      </c>
      <c r="C756" t="s">
        <v>10</v>
      </c>
      <c r="D756" s="6">
        <v>2</v>
      </c>
      <c r="E756" s="5">
        <v>15000</v>
      </c>
      <c r="F756" t="s">
        <v>1091</v>
      </c>
      <c r="G756" s="7">
        <v>46056</v>
      </c>
      <c r="H756" s="5">
        <v>2</v>
      </c>
      <c r="I75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56" t="b">
        <f>((ISNUMBER(Table3[[#This Row],[Quantity]]) )* (Table3[[#This Row],[Quantity]]&gt;0))=1</f>
        <v>1</v>
      </c>
      <c r="K756" t="b">
        <f>((Table3[[#This Row],[Quantity]]&gt;=Table3[[#This Row],[Return Qty]])*(ISNUMBER(Table3[[#This Row],[Quantity]])))=1</f>
        <v>1</v>
      </c>
      <c r="L756" t="b">
        <f>ISNUMBER(Table3[[#This Row],[Unit Price]])</f>
        <v>1</v>
      </c>
      <c r="M756" t="b">
        <f>ISNUMBER(Table3[[#This Row],[Order Date]])</f>
        <v>1</v>
      </c>
      <c r="N756">
        <f>IFERROR(IF(Table3[[#This Row],[Quantity]]*Table3[[#This Row],[Unit Price]]&lt;0, "N/A", Table3[[#This Row],[Quantity]]*Table3[[#This Row],[Unit Price]]), "N/A")</f>
        <v>30000</v>
      </c>
      <c r="O756">
        <f>IFERROR(Table3[[#This Row],[Unit Price]]*Table3[[#This Row],[Return Qty]], "N/A")</f>
        <v>30000</v>
      </c>
      <c r="P756">
        <f>IFERROR(IF((Table3[[#This Row],[Revenue before return]]-Table3[[#This Row],[Amount of order  returned]])&lt;0, "N/A", Table3[[#This Row],[Revenue before return]]-Table3[[#This Row],[Amount of order  returned]]), "N/A")</f>
        <v>0</v>
      </c>
      <c r="Q75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57" spans="1:17" x14ac:dyDescent="0.2">
      <c r="A757" t="s">
        <v>1131</v>
      </c>
      <c r="B757" t="s">
        <v>14</v>
      </c>
      <c r="C757" t="s">
        <v>22</v>
      </c>
      <c r="D757" s="6">
        <v>22</v>
      </c>
      <c r="E757" s="5">
        <v>35000</v>
      </c>
      <c r="F757" t="s">
        <v>11</v>
      </c>
      <c r="G757" s="7">
        <v>46063</v>
      </c>
      <c r="H757" s="5">
        <v>0</v>
      </c>
      <c r="I75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57" t="b">
        <f>((ISNUMBER(Table3[[#This Row],[Quantity]]) )* (Table3[[#This Row],[Quantity]]&gt;0))=1</f>
        <v>1</v>
      </c>
      <c r="K757" t="b">
        <f>((Table3[[#This Row],[Quantity]]&gt;=Table3[[#This Row],[Return Qty]])*(ISNUMBER(Table3[[#This Row],[Quantity]])))=1</f>
        <v>1</v>
      </c>
      <c r="L757" t="b">
        <f>ISNUMBER(Table3[[#This Row],[Unit Price]])</f>
        <v>1</v>
      </c>
      <c r="M757" t="b">
        <f>ISNUMBER(Table3[[#This Row],[Order Date]])</f>
        <v>1</v>
      </c>
      <c r="N757">
        <f>IFERROR(IF(Table3[[#This Row],[Quantity]]*Table3[[#This Row],[Unit Price]]&lt;0, "N/A", Table3[[#This Row],[Quantity]]*Table3[[#This Row],[Unit Price]]), "N/A")</f>
        <v>770000</v>
      </c>
      <c r="O757">
        <f>IFERROR(Table3[[#This Row],[Unit Price]]*Table3[[#This Row],[Return Qty]], "N/A")</f>
        <v>0</v>
      </c>
      <c r="P757">
        <f>IFERROR(IF((Table3[[#This Row],[Revenue before return]]-Table3[[#This Row],[Amount of order  returned]])&lt;0, "N/A", Table3[[#This Row],[Revenue before return]]-Table3[[#This Row],[Amount of order  returned]]), "N/A")</f>
        <v>770000</v>
      </c>
      <c r="Q75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58" spans="1:17" x14ac:dyDescent="0.2">
      <c r="A758" t="s">
        <v>1132</v>
      </c>
      <c r="B758" t="s">
        <v>25</v>
      </c>
      <c r="C758" t="s">
        <v>26</v>
      </c>
      <c r="D758" s="6">
        <v>20</v>
      </c>
      <c r="E758" s="5">
        <v>20000</v>
      </c>
      <c r="F758" t="s">
        <v>11</v>
      </c>
      <c r="G758" s="7">
        <v>46091</v>
      </c>
      <c r="H758" s="5">
        <v>4</v>
      </c>
      <c r="I75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58" t="b">
        <f>((ISNUMBER(Table3[[#This Row],[Quantity]]) )* (Table3[[#This Row],[Quantity]]&gt;0))=1</f>
        <v>1</v>
      </c>
      <c r="K758" t="b">
        <f>((Table3[[#This Row],[Quantity]]&gt;=Table3[[#This Row],[Return Qty]])*(ISNUMBER(Table3[[#This Row],[Quantity]])))=1</f>
        <v>1</v>
      </c>
      <c r="L758" t="b">
        <f>ISNUMBER(Table3[[#This Row],[Unit Price]])</f>
        <v>1</v>
      </c>
      <c r="M758" t="b">
        <f>ISNUMBER(Table3[[#This Row],[Order Date]])</f>
        <v>1</v>
      </c>
      <c r="N758">
        <f>IFERROR(IF(Table3[[#This Row],[Quantity]]*Table3[[#This Row],[Unit Price]]&lt;0, "N/A", Table3[[#This Row],[Quantity]]*Table3[[#This Row],[Unit Price]]), "N/A")</f>
        <v>400000</v>
      </c>
      <c r="O758">
        <f>IFERROR(Table3[[#This Row],[Unit Price]]*Table3[[#This Row],[Return Qty]], "N/A")</f>
        <v>80000</v>
      </c>
      <c r="P758">
        <f>IFERROR(IF((Table3[[#This Row],[Revenue before return]]-Table3[[#This Row],[Amount of order  returned]])&lt;0, "N/A", Table3[[#This Row],[Revenue before return]]-Table3[[#This Row],[Amount of order  returned]]), "N/A")</f>
        <v>320000</v>
      </c>
      <c r="Q75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59" spans="1:17" x14ac:dyDescent="0.2">
      <c r="A759" t="s">
        <v>1133</v>
      </c>
      <c r="B759" t="s">
        <v>9</v>
      </c>
      <c r="C759" t="s">
        <v>32</v>
      </c>
      <c r="D759" s="6">
        <v>13</v>
      </c>
      <c r="E759" s="5">
        <v>8000</v>
      </c>
      <c r="F759" t="s">
        <v>829</v>
      </c>
      <c r="G759" s="7">
        <v>46185</v>
      </c>
      <c r="H759" s="5">
        <v>0</v>
      </c>
      <c r="I75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59" t="b">
        <f>((ISNUMBER(Table3[[#This Row],[Quantity]]) )* (Table3[[#This Row],[Quantity]]&gt;0))=1</f>
        <v>1</v>
      </c>
      <c r="K759" t="b">
        <f>((Table3[[#This Row],[Quantity]]&gt;=Table3[[#This Row],[Return Qty]])*(ISNUMBER(Table3[[#This Row],[Quantity]])))=1</f>
        <v>1</v>
      </c>
      <c r="L759" t="b">
        <f>ISNUMBER(Table3[[#This Row],[Unit Price]])</f>
        <v>1</v>
      </c>
      <c r="M759" t="b">
        <f>ISNUMBER(Table3[[#This Row],[Order Date]])</f>
        <v>1</v>
      </c>
      <c r="N759">
        <f>IFERROR(IF(Table3[[#This Row],[Quantity]]*Table3[[#This Row],[Unit Price]]&lt;0, "N/A", Table3[[#This Row],[Quantity]]*Table3[[#This Row],[Unit Price]]), "N/A")</f>
        <v>104000</v>
      </c>
      <c r="O759">
        <f>IFERROR(Table3[[#This Row],[Unit Price]]*Table3[[#This Row],[Return Qty]], "N/A")</f>
        <v>0</v>
      </c>
      <c r="P759">
        <f>IFERROR(IF((Table3[[#This Row],[Revenue before return]]-Table3[[#This Row],[Amount of order  returned]])&lt;0, "N/A", Table3[[#This Row],[Revenue before return]]-Table3[[#This Row],[Amount of order  returned]]), "N/A")</f>
        <v>104000</v>
      </c>
      <c r="Q75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60" spans="1:17" x14ac:dyDescent="0.2">
      <c r="A760" t="s">
        <v>1134</v>
      </c>
      <c r="B760" t="s">
        <v>25</v>
      </c>
      <c r="C760" t="s">
        <v>10</v>
      </c>
      <c r="D760" s="6">
        <v>1</v>
      </c>
      <c r="E760" s="5">
        <v>15000</v>
      </c>
      <c r="F760" t="s">
        <v>646</v>
      </c>
      <c r="G760" s="7">
        <v>46085</v>
      </c>
      <c r="H760" s="5">
        <v>0</v>
      </c>
      <c r="I76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60" t="b">
        <f>((ISNUMBER(Table3[[#This Row],[Quantity]]) )* (Table3[[#This Row],[Quantity]]&gt;0))=1</f>
        <v>1</v>
      </c>
      <c r="K760" t="b">
        <f>((Table3[[#This Row],[Quantity]]&gt;=Table3[[#This Row],[Return Qty]])*(ISNUMBER(Table3[[#This Row],[Quantity]])))=1</f>
        <v>1</v>
      </c>
      <c r="L760" t="b">
        <f>ISNUMBER(Table3[[#This Row],[Unit Price]])</f>
        <v>1</v>
      </c>
      <c r="M760" t="b">
        <f>ISNUMBER(Table3[[#This Row],[Order Date]])</f>
        <v>1</v>
      </c>
      <c r="N760">
        <f>IFERROR(IF(Table3[[#This Row],[Quantity]]*Table3[[#This Row],[Unit Price]]&lt;0, "N/A", Table3[[#This Row],[Quantity]]*Table3[[#This Row],[Unit Price]]), "N/A")</f>
        <v>15000</v>
      </c>
      <c r="O760">
        <f>IFERROR(Table3[[#This Row],[Unit Price]]*Table3[[#This Row],[Return Qty]], "N/A")</f>
        <v>0</v>
      </c>
      <c r="P760">
        <f>IFERROR(IF((Table3[[#This Row],[Revenue before return]]-Table3[[#This Row],[Amount of order  returned]])&lt;0, "N/A", Table3[[#This Row],[Revenue before return]]-Table3[[#This Row],[Amount of order  returned]]), "N/A")</f>
        <v>15000</v>
      </c>
      <c r="Q76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61" spans="1:17" x14ac:dyDescent="0.2">
      <c r="A761" t="s">
        <v>1135</v>
      </c>
      <c r="B761" t="s">
        <v>21</v>
      </c>
      <c r="C761" t="s">
        <v>45</v>
      </c>
      <c r="D761" s="6">
        <v>17</v>
      </c>
      <c r="E761" s="5">
        <v>20000</v>
      </c>
      <c r="F761" t="s">
        <v>748</v>
      </c>
      <c r="G761" s="7">
        <v>46165</v>
      </c>
      <c r="H761" s="5">
        <v>0</v>
      </c>
      <c r="I76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61" t="b">
        <f>((ISNUMBER(Table3[[#This Row],[Quantity]]) )* (Table3[[#This Row],[Quantity]]&gt;0))=1</f>
        <v>1</v>
      </c>
      <c r="K761" t="b">
        <f>((Table3[[#This Row],[Quantity]]&gt;=Table3[[#This Row],[Return Qty]])*(ISNUMBER(Table3[[#This Row],[Quantity]])))=1</f>
        <v>1</v>
      </c>
      <c r="L761" t="b">
        <f>ISNUMBER(Table3[[#This Row],[Unit Price]])</f>
        <v>1</v>
      </c>
      <c r="M761" t="b">
        <f>ISNUMBER(Table3[[#This Row],[Order Date]])</f>
        <v>1</v>
      </c>
      <c r="N761">
        <f>IFERROR(IF(Table3[[#This Row],[Quantity]]*Table3[[#This Row],[Unit Price]]&lt;0, "N/A", Table3[[#This Row],[Quantity]]*Table3[[#This Row],[Unit Price]]), "N/A")</f>
        <v>340000</v>
      </c>
      <c r="O761">
        <f>IFERROR(Table3[[#This Row],[Unit Price]]*Table3[[#This Row],[Return Qty]], "N/A")</f>
        <v>0</v>
      </c>
      <c r="P761">
        <f>IFERROR(IF((Table3[[#This Row],[Revenue before return]]-Table3[[#This Row],[Amount of order  returned]])&lt;0, "N/A", Table3[[#This Row],[Revenue before return]]-Table3[[#This Row],[Amount of order  returned]]), "N/A")</f>
        <v>340000</v>
      </c>
      <c r="Q76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62" spans="1:17" x14ac:dyDescent="0.2">
      <c r="A762" t="s">
        <v>1136</v>
      </c>
      <c r="B762" t="s">
        <v>21</v>
      </c>
      <c r="C762" t="s">
        <v>32</v>
      </c>
      <c r="D762" s="6">
        <v>10</v>
      </c>
      <c r="E762" s="5">
        <v>8000</v>
      </c>
      <c r="F762" t="s">
        <v>1039</v>
      </c>
      <c r="G762" s="7">
        <v>46107</v>
      </c>
      <c r="H762" s="5">
        <v>0</v>
      </c>
      <c r="I76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62" t="b">
        <f>((ISNUMBER(Table3[[#This Row],[Quantity]]) )* (Table3[[#This Row],[Quantity]]&gt;0))=1</f>
        <v>1</v>
      </c>
      <c r="K762" t="b">
        <f>((Table3[[#This Row],[Quantity]]&gt;=Table3[[#This Row],[Return Qty]])*(ISNUMBER(Table3[[#This Row],[Quantity]])))=1</f>
        <v>1</v>
      </c>
      <c r="L762" t="b">
        <f>ISNUMBER(Table3[[#This Row],[Unit Price]])</f>
        <v>1</v>
      </c>
      <c r="M762" t="b">
        <f>ISNUMBER(Table3[[#This Row],[Order Date]])</f>
        <v>1</v>
      </c>
      <c r="N762">
        <f>IFERROR(IF(Table3[[#This Row],[Quantity]]*Table3[[#This Row],[Unit Price]]&lt;0, "N/A", Table3[[#This Row],[Quantity]]*Table3[[#This Row],[Unit Price]]), "N/A")</f>
        <v>80000</v>
      </c>
      <c r="O762">
        <f>IFERROR(Table3[[#This Row],[Unit Price]]*Table3[[#This Row],[Return Qty]], "N/A")</f>
        <v>0</v>
      </c>
      <c r="P762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76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63" spans="1:17" x14ac:dyDescent="0.2">
      <c r="A763" t="s">
        <v>1137</v>
      </c>
      <c r="B763" t="s">
        <v>9</v>
      </c>
      <c r="C763" t="s">
        <v>10</v>
      </c>
      <c r="D763" s="6">
        <v>5</v>
      </c>
      <c r="E763" s="5">
        <v>15000</v>
      </c>
      <c r="F763" t="s">
        <v>595</v>
      </c>
      <c r="G763" s="7">
        <v>46138</v>
      </c>
      <c r="H763" s="5">
        <v>5</v>
      </c>
      <c r="I76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63" t="b">
        <f>((ISNUMBER(Table3[[#This Row],[Quantity]]) )* (Table3[[#This Row],[Quantity]]&gt;0))=1</f>
        <v>1</v>
      </c>
      <c r="K763" t="b">
        <f>((Table3[[#This Row],[Quantity]]&gt;=Table3[[#This Row],[Return Qty]])*(ISNUMBER(Table3[[#This Row],[Quantity]])))=1</f>
        <v>1</v>
      </c>
      <c r="L763" t="b">
        <f>ISNUMBER(Table3[[#This Row],[Unit Price]])</f>
        <v>1</v>
      </c>
      <c r="M763" t="b">
        <f>ISNUMBER(Table3[[#This Row],[Order Date]])</f>
        <v>1</v>
      </c>
      <c r="N763">
        <f>IFERROR(IF(Table3[[#This Row],[Quantity]]*Table3[[#This Row],[Unit Price]]&lt;0, "N/A", Table3[[#This Row],[Quantity]]*Table3[[#This Row],[Unit Price]]), "N/A")</f>
        <v>75000</v>
      </c>
      <c r="O763">
        <f>IFERROR(Table3[[#This Row],[Unit Price]]*Table3[[#This Row],[Return Qty]], "N/A")</f>
        <v>75000</v>
      </c>
      <c r="P763">
        <f>IFERROR(IF((Table3[[#This Row],[Revenue before return]]-Table3[[#This Row],[Amount of order  returned]])&lt;0, "N/A", Table3[[#This Row],[Revenue before return]]-Table3[[#This Row],[Amount of order  returned]]), "N/A")</f>
        <v>0</v>
      </c>
      <c r="Q76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64" spans="1:17" x14ac:dyDescent="0.2">
      <c r="A764" t="s">
        <v>1138</v>
      </c>
      <c r="B764" t="s">
        <v>25</v>
      </c>
      <c r="C764" t="s">
        <v>10</v>
      </c>
      <c r="D764" s="6">
        <v>22</v>
      </c>
      <c r="E764" s="5">
        <v>15000</v>
      </c>
      <c r="F764" t="s">
        <v>642</v>
      </c>
      <c r="G764" s="7" t="s">
        <v>11</v>
      </c>
      <c r="H764" s="5">
        <v>0</v>
      </c>
      <c r="I76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64" t="b">
        <f>((ISNUMBER(Table3[[#This Row],[Quantity]]) )* (Table3[[#This Row],[Quantity]]&gt;0))=1</f>
        <v>1</v>
      </c>
      <c r="K764" t="b">
        <f>((Table3[[#This Row],[Quantity]]&gt;=Table3[[#This Row],[Return Qty]])*(ISNUMBER(Table3[[#This Row],[Quantity]])))=1</f>
        <v>1</v>
      </c>
      <c r="L764" t="b">
        <f>ISNUMBER(Table3[[#This Row],[Unit Price]])</f>
        <v>1</v>
      </c>
      <c r="M764" t="b">
        <f>ISNUMBER(Table3[[#This Row],[Order Date]])</f>
        <v>0</v>
      </c>
      <c r="N764">
        <f>IFERROR(IF(Table3[[#This Row],[Quantity]]*Table3[[#This Row],[Unit Price]]&lt;0, "N/A", Table3[[#This Row],[Quantity]]*Table3[[#This Row],[Unit Price]]), "N/A")</f>
        <v>330000</v>
      </c>
      <c r="O764">
        <f>IFERROR(Table3[[#This Row],[Unit Price]]*Table3[[#This Row],[Return Qty]], "N/A")</f>
        <v>0</v>
      </c>
      <c r="P764">
        <f>IFERROR(IF((Table3[[#This Row],[Revenue before return]]-Table3[[#This Row],[Amount of order  returned]])&lt;0, "N/A", Table3[[#This Row],[Revenue before return]]-Table3[[#This Row],[Amount of order  returned]]), "N/A")</f>
        <v>330000</v>
      </c>
      <c r="Q76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65" spans="1:17" x14ac:dyDescent="0.2">
      <c r="A765" t="s">
        <v>1139</v>
      </c>
      <c r="B765" t="s">
        <v>9</v>
      </c>
      <c r="C765" t="s">
        <v>39</v>
      </c>
      <c r="D765" s="6">
        <v>10</v>
      </c>
      <c r="E765" s="5">
        <v>12000</v>
      </c>
      <c r="F765" t="s">
        <v>324</v>
      </c>
      <c r="G765" s="7">
        <v>46150</v>
      </c>
      <c r="H765" s="5">
        <v>0</v>
      </c>
      <c r="I76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65" t="b">
        <f>((ISNUMBER(Table3[[#This Row],[Quantity]]) )* (Table3[[#This Row],[Quantity]]&gt;0))=1</f>
        <v>1</v>
      </c>
      <c r="K765" t="b">
        <f>((Table3[[#This Row],[Quantity]]&gt;=Table3[[#This Row],[Return Qty]])*(ISNUMBER(Table3[[#This Row],[Quantity]])))=1</f>
        <v>1</v>
      </c>
      <c r="L765" t="b">
        <f>ISNUMBER(Table3[[#This Row],[Unit Price]])</f>
        <v>1</v>
      </c>
      <c r="M765" t="b">
        <f>ISNUMBER(Table3[[#This Row],[Order Date]])</f>
        <v>1</v>
      </c>
      <c r="N765">
        <f>IFERROR(IF(Table3[[#This Row],[Quantity]]*Table3[[#This Row],[Unit Price]]&lt;0, "N/A", Table3[[#This Row],[Quantity]]*Table3[[#This Row],[Unit Price]]), "N/A")</f>
        <v>120000</v>
      </c>
      <c r="O765">
        <f>IFERROR(Table3[[#This Row],[Unit Price]]*Table3[[#This Row],[Return Qty]], "N/A")</f>
        <v>0</v>
      </c>
      <c r="P765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76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66" spans="1:17" x14ac:dyDescent="0.2">
      <c r="A766" t="s">
        <v>1140</v>
      </c>
      <c r="B766" t="s">
        <v>9</v>
      </c>
      <c r="C766" t="s">
        <v>45</v>
      </c>
      <c r="D766" s="6" t="s">
        <v>11</v>
      </c>
      <c r="E766" s="5">
        <v>20000</v>
      </c>
      <c r="F766" t="s">
        <v>216</v>
      </c>
      <c r="G766" s="7">
        <v>46092</v>
      </c>
      <c r="H766" s="5">
        <v>0</v>
      </c>
      <c r="I76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66" t="b">
        <f>((ISNUMBER(Table3[[#This Row],[Quantity]]) )* (Table3[[#This Row],[Quantity]]&gt;0))=1</f>
        <v>0</v>
      </c>
      <c r="K766" t="b">
        <f>((Table3[[#This Row],[Quantity]]&gt;=Table3[[#This Row],[Return Qty]])*(ISNUMBER(Table3[[#This Row],[Quantity]])))=1</f>
        <v>0</v>
      </c>
      <c r="L766" t="b">
        <f>ISNUMBER(Table3[[#This Row],[Unit Price]])</f>
        <v>1</v>
      </c>
      <c r="M766" t="b">
        <f>ISNUMBER(Table3[[#This Row],[Order Date]])</f>
        <v>1</v>
      </c>
      <c r="N766" t="str">
        <f>IFERROR(IF(Table3[[#This Row],[Quantity]]*Table3[[#This Row],[Unit Price]]&lt;0, "N/A", Table3[[#This Row],[Quantity]]*Table3[[#This Row],[Unit Price]]), "N/A")</f>
        <v>N/A</v>
      </c>
      <c r="O766">
        <f>IFERROR(Table3[[#This Row],[Unit Price]]*Table3[[#This Row],[Return Qty]], "N/A")</f>
        <v>0</v>
      </c>
      <c r="P766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76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67" spans="1:17" x14ac:dyDescent="0.2">
      <c r="A767" t="s">
        <v>1141</v>
      </c>
      <c r="B767" t="s">
        <v>21</v>
      </c>
      <c r="C767" t="s">
        <v>32</v>
      </c>
      <c r="D767" s="6">
        <v>16</v>
      </c>
      <c r="E767" s="5">
        <v>8000</v>
      </c>
      <c r="F767" t="s">
        <v>507</v>
      </c>
      <c r="G767" s="7">
        <v>46065</v>
      </c>
      <c r="H767" s="5">
        <v>3</v>
      </c>
      <c r="I76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67" t="b">
        <f>((ISNUMBER(Table3[[#This Row],[Quantity]]) )* (Table3[[#This Row],[Quantity]]&gt;0))=1</f>
        <v>1</v>
      </c>
      <c r="K767" t="b">
        <f>((Table3[[#This Row],[Quantity]]&gt;=Table3[[#This Row],[Return Qty]])*(ISNUMBER(Table3[[#This Row],[Quantity]])))=1</f>
        <v>1</v>
      </c>
      <c r="L767" t="b">
        <f>ISNUMBER(Table3[[#This Row],[Unit Price]])</f>
        <v>1</v>
      </c>
      <c r="M767" t="b">
        <f>ISNUMBER(Table3[[#This Row],[Order Date]])</f>
        <v>1</v>
      </c>
      <c r="N767">
        <f>IFERROR(IF(Table3[[#This Row],[Quantity]]*Table3[[#This Row],[Unit Price]]&lt;0, "N/A", Table3[[#This Row],[Quantity]]*Table3[[#This Row],[Unit Price]]), "N/A")</f>
        <v>128000</v>
      </c>
      <c r="O767">
        <f>IFERROR(Table3[[#This Row],[Unit Price]]*Table3[[#This Row],[Return Qty]], "N/A")</f>
        <v>24000</v>
      </c>
      <c r="P767">
        <f>IFERROR(IF((Table3[[#This Row],[Revenue before return]]-Table3[[#This Row],[Amount of order  returned]])&lt;0, "N/A", Table3[[#This Row],[Revenue before return]]-Table3[[#This Row],[Amount of order  returned]]), "N/A")</f>
        <v>104000</v>
      </c>
      <c r="Q76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68" spans="1:17" x14ac:dyDescent="0.2">
      <c r="A768" t="s">
        <v>1142</v>
      </c>
      <c r="B768" t="s">
        <v>9</v>
      </c>
      <c r="C768" t="s">
        <v>32</v>
      </c>
      <c r="D768" s="6">
        <v>23</v>
      </c>
      <c r="E768" s="5">
        <v>8000</v>
      </c>
      <c r="F768" t="s">
        <v>337</v>
      </c>
      <c r="G768" s="7">
        <v>46165</v>
      </c>
      <c r="H768" s="5">
        <v>0</v>
      </c>
      <c r="I76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68" t="b">
        <f>((ISNUMBER(Table3[[#This Row],[Quantity]]) )* (Table3[[#This Row],[Quantity]]&gt;0))=1</f>
        <v>1</v>
      </c>
      <c r="K768" t="b">
        <f>((Table3[[#This Row],[Quantity]]&gt;=Table3[[#This Row],[Return Qty]])*(ISNUMBER(Table3[[#This Row],[Quantity]])))=1</f>
        <v>1</v>
      </c>
      <c r="L768" t="b">
        <f>ISNUMBER(Table3[[#This Row],[Unit Price]])</f>
        <v>1</v>
      </c>
      <c r="M768" t="b">
        <f>ISNUMBER(Table3[[#This Row],[Order Date]])</f>
        <v>1</v>
      </c>
      <c r="N768">
        <f>IFERROR(IF(Table3[[#This Row],[Quantity]]*Table3[[#This Row],[Unit Price]]&lt;0, "N/A", Table3[[#This Row],[Quantity]]*Table3[[#This Row],[Unit Price]]), "N/A")</f>
        <v>184000</v>
      </c>
      <c r="O768">
        <f>IFERROR(Table3[[#This Row],[Unit Price]]*Table3[[#This Row],[Return Qty]], "N/A")</f>
        <v>0</v>
      </c>
      <c r="P768">
        <f>IFERROR(IF((Table3[[#This Row],[Revenue before return]]-Table3[[#This Row],[Amount of order  returned]])&lt;0, "N/A", Table3[[#This Row],[Revenue before return]]-Table3[[#This Row],[Amount of order  returned]]), "N/A")</f>
        <v>184000</v>
      </c>
      <c r="Q76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69" spans="1:17" x14ac:dyDescent="0.2">
      <c r="A769" t="s">
        <v>1143</v>
      </c>
      <c r="B769" t="s">
        <v>21</v>
      </c>
      <c r="C769" t="s">
        <v>39</v>
      </c>
      <c r="D769" s="6">
        <v>23</v>
      </c>
      <c r="E769" s="5">
        <v>12000</v>
      </c>
      <c r="F769" t="s">
        <v>296</v>
      </c>
      <c r="G769" s="7">
        <v>46063</v>
      </c>
      <c r="H769" s="5">
        <v>0</v>
      </c>
      <c r="I76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69" t="b">
        <f>((ISNUMBER(Table3[[#This Row],[Quantity]]) )* (Table3[[#This Row],[Quantity]]&gt;0))=1</f>
        <v>1</v>
      </c>
      <c r="K769" t="b">
        <f>((Table3[[#This Row],[Quantity]]&gt;=Table3[[#This Row],[Return Qty]])*(ISNUMBER(Table3[[#This Row],[Quantity]])))=1</f>
        <v>1</v>
      </c>
      <c r="L769" t="b">
        <f>ISNUMBER(Table3[[#This Row],[Unit Price]])</f>
        <v>1</v>
      </c>
      <c r="M769" t="b">
        <f>ISNUMBER(Table3[[#This Row],[Order Date]])</f>
        <v>1</v>
      </c>
      <c r="N769">
        <f>IFERROR(IF(Table3[[#This Row],[Quantity]]*Table3[[#This Row],[Unit Price]]&lt;0, "N/A", Table3[[#This Row],[Quantity]]*Table3[[#This Row],[Unit Price]]), "N/A")</f>
        <v>276000</v>
      </c>
      <c r="O769">
        <f>IFERROR(Table3[[#This Row],[Unit Price]]*Table3[[#This Row],[Return Qty]], "N/A")</f>
        <v>0</v>
      </c>
      <c r="P769">
        <f>IFERROR(IF((Table3[[#This Row],[Revenue before return]]-Table3[[#This Row],[Amount of order  returned]])&lt;0, "N/A", Table3[[#This Row],[Revenue before return]]-Table3[[#This Row],[Amount of order  returned]]), "N/A")</f>
        <v>276000</v>
      </c>
      <c r="Q76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70" spans="1:17" x14ac:dyDescent="0.2">
      <c r="A770" t="s">
        <v>1144</v>
      </c>
      <c r="B770" t="s">
        <v>9</v>
      </c>
      <c r="C770" t="s">
        <v>70</v>
      </c>
      <c r="D770" s="6">
        <v>14</v>
      </c>
      <c r="E770" s="5">
        <v>28000</v>
      </c>
      <c r="F770" t="s">
        <v>456</v>
      </c>
      <c r="G770" s="7">
        <v>46123</v>
      </c>
      <c r="H770" s="5">
        <v>0</v>
      </c>
      <c r="I77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70" t="b">
        <f>((ISNUMBER(Table3[[#This Row],[Quantity]]) )* (Table3[[#This Row],[Quantity]]&gt;0))=1</f>
        <v>1</v>
      </c>
      <c r="K770" t="b">
        <f>((Table3[[#This Row],[Quantity]]&gt;=Table3[[#This Row],[Return Qty]])*(ISNUMBER(Table3[[#This Row],[Quantity]])))=1</f>
        <v>1</v>
      </c>
      <c r="L770" t="b">
        <f>ISNUMBER(Table3[[#This Row],[Unit Price]])</f>
        <v>1</v>
      </c>
      <c r="M770" t="b">
        <f>ISNUMBER(Table3[[#This Row],[Order Date]])</f>
        <v>1</v>
      </c>
      <c r="N770">
        <f>IFERROR(IF(Table3[[#This Row],[Quantity]]*Table3[[#This Row],[Unit Price]]&lt;0, "N/A", Table3[[#This Row],[Quantity]]*Table3[[#This Row],[Unit Price]]), "N/A")</f>
        <v>392000</v>
      </c>
      <c r="O770">
        <f>IFERROR(Table3[[#This Row],[Unit Price]]*Table3[[#This Row],[Return Qty]], "N/A")</f>
        <v>0</v>
      </c>
      <c r="P770">
        <f>IFERROR(IF((Table3[[#This Row],[Revenue before return]]-Table3[[#This Row],[Amount of order  returned]])&lt;0, "N/A", Table3[[#This Row],[Revenue before return]]-Table3[[#This Row],[Amount of order  returned]]), "N/A")</f>
        <v>392000</v>
      </c>
      <c r="Q77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71" spans="1:17" x14ac:dyDescent="0.2">
      <c r="A771" t="s">
        <v>1145</v>
      </c>
      <c r="B771" t="s">
        <v>21</v>
      </c>
      <c r="C771" t="s">
        <v>22</v>
      </c>
      <c r="D771" s="6">
        <v>5</v>
      </c>
      <c r="E771" s="5">
        <v>35000</v>
      </c>
      <c r="F771" t="s">
        <v>11</v>
      </c>
      <c r="G771" s="7">
        <v>46037</v>
      </c>
      <c r="H771" s="5">
        <v>0</v>
      </c>
      <c r="I77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71" t="b">
        <f>((ISNUMBER(Table3[[#This Row],[Quantity]]) )* (Table3[[#This Row],[Quantity]]&gt;0))=1</f>
        <v>1</v>
      </c>
      <c r="K771" t="b">
        <f>((Table3[[#This Row],[Quantity]]&gt;=Table3[[#This Row],[Return Qty]])*(ISNUMBER(Table3[[#This Row],[Quantity]])))=1</f>
        <v>1</v>
      </c>
      <c r="L771" t="b">
        <f>ISNUMBER(Table3[[#This Row],[Unit Price]])</f>
        <v>1</v>
      </c>
      <c r="M771" t="b">
        <f>ISNUMBER(Table3[[#This Row],[Order Date]])</f>
        <v>1</v>
      </c>
      <c r="N771">
        <f>IFERROR(IF(Table3[[#This Row],[Quantity]]*Table3[[#This Row],[Unit Price]]&lt;0, "N/A", Table3[[#This Row],[Quantity]]*Table3[[#This Row],[Unit Price]]), "N/A")</f>
        <v>175000</v>
      </c>
      <c r="O771">
        <f>IFERROR(Table3[[#This Row],[Unit Price]]*Table3[[#This Row],[Return Qty]], "N/A")</f>
        <v>0</v>
      </c>
      <c r="P771">
        <f>IFERROR(IF((Table3[[#This Row],[Revenue before return]]-Table3[[#This Row],[Amount of order  returned]])&lt;0, "N/A", Table3[[#This Row],[Revenue before return]]-Table3[[#This Row],[Amount of order  returned]]), "N/A")</f>
        <v>175000</v>
      </c>
      <c r="Q77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72" spans="1:17" x14ac:dyDescent="0.2">
      <c r="A772" t="s">
        <v>1146</v>
      </c>
      <c r="B772" t="s">
        <v>9</v>
      </c>
      <c r="C772" t="s">
        <v>70</v>
      </c>
      <c r="D772" s="6">
        <v>24</v>
      </c>
      <c r="E772" s="5">
        <v>28000</v>
      </c>
      <c r="F772" t="s">
        <v>190</v>
      </c>
      <c r="G772" s="7">
        <v>46202</v>
      </c>
      <c r="H772" s="5">
        <v>0</v>
      </c>
      <c r="I77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72" t="b">
        <f>((ISNUMBER(Table3[[#This Row],[Quantity]]) )* (Table3[[#This Row],[Quantity]]&gt;0))=1</f>
        <v>1</v>
      </c>
      <c r="K772" t="b">
        <f>((Table3[[#This Row],[Quantity]]&gt;=Table3[[#This Row],[Return Qty]])*(ISNUMBER(Table3[[#This Row],[Quantity]])))=1</f>
        <v>1</v>
      </c>
      <c r="L772" t="b">
        <f>ISNUMBER(Table3[[#This Row],[Unit Price]])</f>
        <v>1</v>
      </c>
      <c r="M772" t="b">
        <f>ISNUMBER(Table3[[#This Row],[Order Date]])</f>
        <v>1</v>
      </c>
      <c r="N772">
        <f>IFERROR(IF(Table3[[#This Row],[Quantity]]*Table3[[#This Row],[Unit Price]]&lt;0, "N/A", Table3[[#This Row],[Quantity]]*Table3[[#This Row],[Unit Price]]), "N/A")</f>
        <v>672000</v>
      </c>
      <c r="O772">
        <f>IFERROR(Table3[[#This Row],[Unit Price]]*Table3[[#This Row],[Return Qty]], "N/A")</f>
        <v>0</v>
      </c>
      <c r="P772">
        <f>IFERROR(IF((Table3[[#This Row],[Revenue before return]]-Table3[[#This Row],[Amount of order  returned]])&lt;0, "N/A", Table3[[#This Row],[Revenue before return]]-Table3[[#This Row],[Amount of order  returned]]), "N/A")</f>
        <v>672000</v>
      </c>
      <c r="Q77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73" spans="1:17" x14ac:dyDescent="0.2">
      <c r="A773" t="s">
        <v>1147</v>
      </c>
      <c r="B773" t="s">
        <v>9</v>
      </c>
      <c r="C773" t="s">
        <v>10</v>
      </c>
      <c r="D773" s="6">
        <v>-8</v>
      </c>
      <c r="E773" s="5">
        <v>15000</v>
      </c>
      <c r="F773" t="s">
        <v>1072</v>
      </c>
      <c r="G773" s="7">
        <v>46107</v>
      </c>
      <c r="H773" s="5">
        <v>0</v>
      </c>
      <c r="I77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73" t="b">
        <f>((ISNUMBER(Table3[[#This Row],[Quantity]]) )* (Table3[[#This Row],[Quantity]]&gt;0))=1</f>
        <v>0</v>
      </c>
      <c r="K773" t="b">
        <f>((Table3[[#This Row],[Quantity]]&gt;=Table3[[#This Row],[Return Qty]])*(ISNUMBER(Table3[[#This Row],[Quantity]])))=1</f>
        <v>0</v>
      </c>
      <c r="L773" t="b">
        <f>ISNUMBER(Table3[[#This Row],[Unit Price]])</f>
        <v>1</v>
      </c>
      <c r="M773" t="b">
        <f>ISNUMBER(Table3[[#This Row],[Order Date]])</f>
        <v>1</v>
      </c>
      <c r="N773" t="str">
        <f>IFERROR(IF(Table3[[#This Row],[Quantity]]*Table3[[#This Row],[Unit Price]]&lt;0, "N/A", Table3[[#This Row],[Quantity]]*Table3[[#This Row],[Unit Price]]), "N/A")</f>
        <v>N/A</v>
      </c>
      <c r="O773">
        <f>IFERROR(Table3[[#This Row],[Unit Price]]*Table3[[#This Row],[Return Qty]], "N/A")</f>
        <v>0</v>
      </c>
      <c r="P773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77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74" spans="1:17" x14ac:dyDescent="0.2">
      <c r="A774" t="s">
        <v>1148</v>
      </c>
      <c r="B774" t="s">
        <v>25</v>
      </c>
      <c r="C774" t="s">
        <v>22</v>
      </c>
      <c r="D774" s="6">
        <v>20</v>
      </c>
      <c r="E774" s="5">
        <v>35000</v>
      </c>
      <c r="F774" t="s">
        <v>820</v>
      </c>
      <c r="G774" s="7">
        <v>46024</v>
      </c>
      <c r="H774" s="5">
        <v>0</v>
      </c>
      <c r="I77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74" t="b">
        <f>((ISNUMBER(Table3[[#This Row],[Quantity]]) )* (Table3[[#This Row],[Quantity]]&gt;0))=1</f>
        <v>1</v>
      </c>
      <c r="K774" t="b">
        <f>((Table3[[#This Row],[Quantity]]&gt;=Table3[[#This Row],[Return Qty]])*(ISNUMBER(Table3[[#This Row],[Quantity]])))=1</f>
        <v>1</v>
      </c>
      <c r="L774" t="b">
        <f>ISNUMBER(Table3[[#This Row],[Unit Price]])</f>
        <v>1</v>
      </c>
      <c r="M774" t="b">
        <f>ISNUMBER(Table3[[#This Row],[Order Date]])</f>
        <v>1</v>
      </c>
      <c r="N774">
        <f>IFERROR(IF(Table3[[#This Row],[Quantity]]*Table3[[#This Row],[Unit Price]]&lt;0, "N/A", Table3[[#This Row],[Quantity]]*Table3[[#This Row],[Unit Price]]), "N/A")</f>
        <v>700000</v>
      </c>
      <c r="O774">
        <f>IFERROR(Table3[[#This Row],[Unit Price]]*Table3[[#This Row],[Return Qty]], "N/A")</f>
        <v>0</v>
      </c>
      <c r="P774">
        <f>IFERROR(IF((Table3[[#This Row],[Revenue before return]]-Table3[[#This Row],[Amount of order  returned]])&lt;0, "N/A", Table3[[#This Row],[Revenue before return]]-Table3[[#This Row],[Amount of order  returned]]), "N/A")</f>
        <v>700000</v>
      </c>
      <c r="Q77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75" spans="1:17" x14ac:dyDescent="0.2">
      <c r="A775" t="s">
        <v>1149</v>
      </c>
      <c r="B775" t="s">
        <v>25</v>
      </c>
      <c r="C775" t="s">
        <v>39</v>
      </c>
      <c r="D775" s="6">
        <v>13</v>
      </c>
      <c r="E775" s="5">
        <v>12000</v>
      </c>
      <c r="F775" t="s">
        <v>646</v>
      </c>
      <c r="G775" s="7">
        <v>46067</v>
      </c>
      <c r="H775" s="5">
        <v>0</v>
      </c>
      <c r="I77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75" t="b">
        <f>((ISNUMBER(Table3[[#This Row],[Quantity]]) )* (Table3[[#This Row],[Quantity]]&gt;0))=1</f>
        <v>1</v>
      </c>
      <c r="K775" t="b">
        <f>((Table3[[#This Row],[Quantity]]&gt;=Table3[[#This Row],[Return Qty]])*(ISNUMBER(Table3[[#This Row],[Quantity]])))=1</f>
        <v>1</v>
      </c>
      <c r="L775" t="b">
        <f>ISNUMBER(Table3[[#This Row],[Unit Price]])</f>
        <v>1</v>
      </c>
      <c r="M775" t="b">
        <f>ISNUMBER(Table3[[#This Row],[Order Date]])</f>
        <v>1</v>
      </c>
      <c r="N775">
        <f>IFERROR(IF(Table3[[#This Row],[Quantity]]*Table3[[#This Row],[Unit Price]]&lt;0, "N/A", Table3[[#This Row],[Quantity]]*Table3[[#This Row],[Unit Price]]), "N/A")</f>
        <v>156000</v>
      </c>
      <c r="O775">
        <f>IFERROR(Table3[[#This Row],[Unit Price]]*Table3[[#This Row],[Return Qty]], "N/A")</f>
        <v>0</v>
      </c>
      <c r="P775">
        <f>IFERROR(IF((Table3[[#This Row],[Revenue before return]]-Table3[[#This Row],[Amount of order  returned]])&lt;0, "N/A", Table3[[#This Row],[Revenue before return]]-Table3[[#This Row],[Amount of order  returned]]), "N/A")</f>
        <v>156000</v>
      </c>
      <c r="Q77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76" spans="1:17" x14ac:dyDescent="0.2">
      <c r="A776" t="s">
        <v>1150</v>
      </c>
      <c r="B776" t="s">
        <v>21</v>
      </c>
      <c r="C776" t="s">
        <v>26</v>
      </c>
      <c r="D776" s="6">
        <v>18</v>
      </c>
      <c r="E776" s="5">
        <v>20000</v>
      </c>
      <c r="F776" t="s">
        <v>211</v>
      </c>
      <c r="G776" s="7">
        <v>46114</v>
      </c>
      <c r="H776" s="5">
        <v>0</v>
      </c>
      <c r="I77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76" t="b">
        <f>((ISNUMBER(Table3[[#This Row],[Quantity]]) )* (Table3[[#This Row],[Quantity]]&gt;0))=1</f>
        <v>1</v>
      </c>
      <c r="K776" t="b">
        <f>((Table3[[#This Row],[Quantity]]&gt;=Table3[[#This Row],[Return Qty]])*(ISNUMBER(Table3[[#This Row],[Quantity]])))=1</f>
        <v>1</v>
      </c>
      <c r="L776" t="b">
        <f>ISNUMBER(Table3[[#This Row],[Unit Price]])</f>
        <v>1</v>
      </c>
      <c r="M776" t="b">
        <f>ISNUMBER(Table3[[#This Row],[Order Date]])</f>
        <v>1</v>
      </c>
      <c r="N776">
        <f>IFERROR(IF(Table3[[#This Row],[Quantity]]*Table3[[#This Row],[Unit Price]]&lt;0, "N/A", Table3[[#This Row],[Quantity]]*Table3[[#This Row],[Unit Price]]), "N/A")</f>
        <v>360000</v>
      </c>
      <c r="O776">
        <f>IFERROR(Table3[[#This Row],[Unit Price]]*Table3[[#This Row],[Return Qty]], "N/A")</f>
        <v>0</v>
      </c>
      <c r="P776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77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77" spans="1:17" x14ac:dyDescent="0.2">
      <c r="A777" t="s">
        <v>1151</v>
      </c>
      <c r="B777" t="s">
        <v>14</v>
      </c>
      <c r="C777" t="s">
        <v>39</v>
      </c>
      <c r="D777" s="6">
        <v>19</v>
      </c>
      <c r="E777" s="5">
        <v>12000</v>
      </c>
      <c r="F777" t="s">
        <v>848</v>
      </c>
      <c r="G777" s="7">
        <v>46067</v>
      </c>
      <c r="H777" s="5">
        <v>0</v>
      </c>
      <c r="I77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77" t="b">
        <f>((ISNUMBER(Table3[[#This Row],[Quantity]]) )* (Table3[[#This Row],[Quantity]]&gt;0))=1</f>
        <v>1</v>
      </c>
      <c r="K777" t="b">
        <f>((Table3[[#This Row],[Quantity]]&gt;=Table3[[#This Row],[Return Qty]])*(ISNUMBER(Table3[[#This Row],[Quantity]])))=1</f>
        <v>1</v>
      </c>
      <c r="L777" t="b">
        <f>ISNUMBER(Table3[[#This Row],[Unit Price]])</f>
        <v>1</v>
      </c>
      <c r="M777" t="b">
        <f>ISNUMBER(Table3[[#This Row],[Order Date]])</f>
        <v>1</v>
      </c>
      <c r="N777">
        <f>IFERROR(IF(Table3[[#This Row],[Quantity]]*Table3[[#This Row],[Unit Price]]&lt;0, "N/A", Table3[[#This Row],[Quantity]]*Table3[[#This Row],[Unit Price]]), "N/A")</f>
        <v>228000</v>
      </c>
      <c r="O777">
        <f>IFERROR(Table3[[#This Row],[Unit Price]]*Table3[[#This Row],[Return Qty]], "N/A")</f>
        <v>0</v>
      </c>
      <c r="P777">
        <f>IFERROR(IF((Table3[[#This Row],[Revenue before return]]-Table3[[#This Row],[Amount of order  returned]])&lt;0, "N/A", Table3[[#This Row],[Revenue before return]]-Table3[[#This Row],[Amount of order  returned]]), "N/A")</f>
        <v>228000</v>
      </c>
      <c r="Q77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78" spans="1:17" x14ac:dyDescent="0.2">
      <c r="A778" t="s">
        <v>1152</v>
      </c>
      <c r="B778" t="s">
        <v>14</v>
      </c>
      <c r="C778" t="s">
        <v>70</v>
      </c>
      <c r="D778" s="6">
        <v>1</v>
      </c>
      <c r="E778" s="5">
        <v>28000</v>
      </c>
      <c r="F778" t="s">
        <v>207</v>
      </c>
      <c r="G778" s="7">
        <v>46159</v>
      </c>
      <c r="H778" s="5">
        <v>0</v>
      </c>
      <c r="I77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78" t="b">
        <f>((ISNUMBER(Table3[[#This Row],[Quantity]]) )* (Table3[[#This Row],[Quantity]]&gt;0))=1</f>
        <v>1</v>
      </c>
      <c r="K778" t="b">
        <f>((Table3[[#This Row],[Quantity]]&gt;=Table3[[#This Row],[Return Qty]])*(ISNUMBER(Table3[[#This Row],[Quantity]])))=1</f>
        <v>1</v>
      </c>
      <c r="L778" t="b">
        <f>ISNUMBER(Table3[[#This Row],[Unit Price]])</f>
        <v>1</v>
      </c>
      <c r="M778" t="b">
        <f>ISNUMBER(Table3[[#This Row],[Order Date]])</f>
        <v>1</v>
      </c>
      <c r="N778">
        <f>IFERROR(IF(Table3[[#This Row],[Quantity]]*Table3[[#This Row],[Unit Price]]&lt;0, "N/A", Table3[[#This Row],[Quantity]]*Table3[[#This Row],[Unit Price]]), "N/A")</f>
        <v>28000</v>
      </c>
      <c r="O778">
        <f>IFERROR(Table3[[#This Row],[Unit Price]]*Table3[[#This Row],[Return Qty]], "N/A")</f>
        <v>0</v>
      </c>
      <c r="P778">
        <f>IFERROR(IF((Table3[[#This Row],[Revenue before return]]-Table3[[#This Row],[Amount of order  returned]])&lt;0, "N/A", Table3[[#This Row],[Revenue before return]]-Table3[[#This Row],[Amount of order  returned]]), "N/A")</f>
        <v>28000</v>
      </c>
      <c r="Q77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79" spans="1:17" x14ac:dyDescent="0.2">
      <c r="A779" t="s">
        <v>1153</v>
      </c>
      <c r="B779" t="s">
        <v>25</v>
      </c>
      <c r="C779" t="s">
        <v>26</v>
      </c>
      <c r="D779" s="6">
        <v>3</v>
      </c>
      <c r="E779" s="5">
        <v>20000</v>
      </c>
      <c r="F779" t="s">
        <v>308</v>
      </c>
      <c r="G779" s="7">
        <v>46156</v>
      </c>
      <c r="H779" s="5">
        <v>0</v>
      </c>
      <c r="I77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79" t="b">
        <f>((ISNUMBER(Table3[[#This Row],[Quantity]]) )* (Table3[[#This Row],[Quantity]]&gt;0))=1</f>
        <v>1</v>
      </c>
      <c r="K779" t="b">
        <f>((Table3[[#This Row],[Quantity]]&gt;=Table3[[#This Row],[Return Qty]])*(ISNUMBER(Table3[[#This Row],[Quantity]])))=1</f>
        <v>1</v>
      </c>
      <c r="L779" t="b">
        <f>ISNUMBER(Table3[[#This Row],[Unit Price]])</f>
        <v>1</v>
      </c>
      <c r="M779" t="b">
        <f>ISNUMBER(Table3[[#This Row],[Order Date]])</f>
        <v>1</v>
      </c>
      <c r="N779">
        <f>IFERROR(IF(Table3[[#This Row],[Quantity]]*Table3[[#This Row],[Unit Price]]&lt;0, "N/A", Table3[[#This Row],[Quantity]]*Table3[[#This Row],[Unit Price]]), "N/A")</f>
        <v>60000</v>
      </c>
      <c r="O779">
        <f>IFERROR(Table3[[#This Row],[Unit Price]]*Table3[[#This Row],[Return Qty]], "N/A")</f>
        <v>0</v>
      </c>
      <c r="P779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77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80" spans="1:17" x14ac:dyDescent="0.2">
      <c r="A780" t="s">
        <v>1154</v>
      </c>
      <c r="B780" t="s">
        <v>25</v>
      </c>
      <c r="C780" t="s">
        <v>18</v>
      </c>
      <c r="D780" s="6">
        <v>15</v>
      </c>
      <c r="E780" s="5">
        <v>50000</v>
      </c>
      <c r="F780" t="s">
        <v>320</v>
      </c>
      <c r="G780" s="7">
        <v>46026</v>
      </c>
      <c r="H780" s="5">
        <v>0</v>
      </c>
      <c r="I78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80" t="b">
        <f>((ISNUMBER(Table3[[#This Row],[Quantity]]) )* (Table3[[#This Row],[Quantity]]&gt;0))=1</f>
        <v>1</v>
      </c>
      <c r="K780" t="b">
        <f>((Table3[[#This Row],[Quantity]]&gt;=Table3[[#This Row],[Return Qty]])*(ISNUMBER(Table3[[#This Row],[Quantity]])))=1</f>
        <v>1</v>
      </c>
      <c r="L780" t="b">
        <f>ISNUMBER(Table3[[#This Row],[Unit Price]])</f>
        <v>1</v>
      </c>
      <c r="M780" t="b">
        <f>ISNUMBER(Table3[[#This Row],[Order Date]])</f>
        <v>1</v>
      </c>
      <c r="N780">
        <f>IFERROR(IF(Table3[[#This Row],[Quantity]]*Table3[[#This Row],[Unit Price]]&lt;0, "N/A", Table3[[#This Row],[Quantity]]*Table3[[#This Row],[Unit Price]]), "N/A")</f>
        <v>750000</v>
      </c>
      <c r="O780">
        <f>IFERROR(Table3[[#This Row],[Unit Price]]*Table3[[#This Row],[Return Qty]], "N/A")</f>
        <v>0</v>
      </c>
      <c r="P780">
        <f>IFERROR(IF((Table3[[#This Row],[Revenue before return]]-Table3[[#This Row],[Amount of order  returned]])&lt;0, "N/A", Table3[[#This Row],[Revenue before return]]-Table3[[#This Row],[Amount of order  returned]]), "N/A")</f>
        <v>750000</v>
      </c>
      <c r="Q78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81" spans="1:17" x14ac:dyDescent="0.2">
      <c r="A781" t="s">
        <v>1155</v>
      </c>
      <c r="B781" t="s">
        <v>25</v>
      </c>
      <c r="C781" t="s">
        <v>26</v>
      </c>
      <c r="D781" s="6">
        <v>5</v>
      </c>
      <c r="E781" s="5">
        <v>20000</v>
      </c>
      <c r="F781" t="s">
        <v>599</v>
      </c>
      <c r="G781" s="7">
        <v>46186</v>
      </c>
      <c r="H781" s="5">
        <v>3</v>
      </c>
      <c r="I78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81" t="b">
        <f>((ISNUMBER(Table3[[#This Row],[Quantity]]) )* (Table3[[#This Row],[Quantity]]&gt;0))=1</f>
        <v>1</v>
      </c>
      <c r="K781" t="b">
        <f>((Table3[[#This Row],[Quantity]]&gt;=Table3[[#This Row],[Return Qty]])*(ISNUMBER(Table3[[#This Row],[Quantity]])))=1</f>
        <v>1</v>
      </c>
      <c r="L781" t="b">
        <f>ISNUMBER(Table3[[#This Row],[Unit Price]])</f>
        <v>1</v>
      </c>
      <c r="M781" t="b">
        <f>ISNUMBER(Table3[[#This Row],[Order Date]])</f>
        <v>1</v>
      </c>
      <c r="N781">
        <f>IFERROR(IF(Table3[[#This Row],[Quantity]]*Table3[[#This Row],[Unit Price]]&lt;0, "N/A", Table3[[#This Row],[Quantity]]*Table3[[#This Row],[Unit Price]]), "N/A")</f>
        <v>100000</v>
      </c>
      <c r="O781">
        <f>IFERROR(Table3[[#This Row],[Unit Price]]*Table3[[#This Row],[Return Qty]], "N/A")</f>
        <v>60000</v>
      </c>
      <c r="P781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78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82" spans="1:17" x14ac:dyDescent="0.2">
      <c r="A782" t="s">
        <v>1156</v>
      </c>
      <c r="B782" t="s">
        <v>21</v>
      </c>
      <c r="C782" t="s">
        <v>26</v>
      </c>
      <c r="D782" s="6">
        <v>7</v>
      </c>
      <c r="E782" s="5">
        <v>20000</v>
      </c>
      <c r="F782" t="s">
        <v>752</v>
      </c>
      <c r="G782" s="7">
        <v>46135</v>
      </c>
      <c r="H782" s="5">
        <v>0</v>
      </c>
      <c r="I78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82" t="b">
        <f>((ISNUMBER(Table3[[#This Row],[Quantity]]) )* (Table3[[#This Row],[Quantity]]&gt;0))=1</f>
        <v>1</v>
      </c>
      <c r="K782" t="b">
        <f>((Table3[[#This Row],[Quantity]]&gt;=Table3[[#This Row],[Return Qty]])*(ISNUMBER(Table3[[#This Row],[Quantity]])))=1</f>
        <v>1</v>
      </c>
      <c r="L782" t="b">
        <f>ISNUMBER(Table3[[#This Row],[Unit Price]])</f>
        <v>1</v>
      </c>
      <c r="M782" t="b">
        <f>ISNUMBER(Table3[[#This Row],[Order Date]])</f>
        <v>1</v>
      </c>
      <c r="N782">
        <f>IFERROR(IF(Table3[[#This Row],[Quantity]]*Table3[[#This Row],[Unit Price]]&lt;0, "N/A", Table3[[#This Row],[Quantity]]*Table3[[#This Row],[Unit Price]]), "N/A")</f>
        <v>140000</v>
      </c>
      <c r="O782">
        <f>IFERROR(Table3[[#This Row],[Unit Price]]*Table3[[#This Row],[Return Qty]], "N/A")</f>
        <v>0</v>
      </c>
      <c r="P782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78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83" spans="1:17" x14ac:dyDescent="0.2">
      <c r="A783" t="s">
        <v>1157</v>
      </c>
      <c r="B783" t="s">
        <v>21</v>
      </c>
      <c r="C783" t="s">
        <v>70</v>
      </c>
      <c r="D783" s="6">
        <v>18</v>
      </c>
      <c r="E783" s="5">
        <v>28000</v>
      </c>
      <c r="F783" t="s">
        <v>1158</v>
      </c>
      <c r="G783" s="7">
        <v>46028</v>
      </c>
      <c r="H783" s="5">
        <v>0</v>
      </c>
      <c r="I78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83" t="b">
        <f>((ISNUMBER(Table3[[#This Row],[Quantity]]) )* (Table3[[#This Row],[Quantity]]&gt;0))=1</f>
        <v>1</v>
      </c>
      <c r="K783" t="b">
        <f>((Table3[[#This Row],[Quantity]]&gt;=Table3[[#This Row],[Return Qty]])*(ISNUMBER(Table3[[#This Row],[Quantity]])))=1</f>
        <v>1</v>
      </c>
      <c r="L783" t="b">
        <f>ISNUMBER(Table3[[#This Row],[Unit Price]])</f>
        <v>1</v>
      </c>
      <c r="M783" t="b">
        <f>ISNUMBER(Table3[[#This Row],[Order Date]])</f>
        <v>1</v>
      </c>
      <c r="N783">
        <f>IFERROR(IF(Table3[[#This Row],[Quantity]]*Table3[[#This Row],[Unit Price]]&lt;0, "N/A", Table3[[#This Row],[Quantity]]*Table3[[#This Row],[Unit Price]]), "N/A")</f>
        <v>504000</v>
      </c>
      <c r="O783">
        <f>IFERROR(Table3[[#This Row],[Unit Price]]*Table3[[#This Row],[Return Qty]], "N/A")</f>
        <v>0</v>
      </c>
      <c r="P783">
        <f>IFERROR(IF((Table3[[#This Row],[Revenue before return]]-Table3[[#This Row],[Amount of order  returned]])&lt;0, "N/A", Table3[[#This Row],[Revenue before return]]-Table3[[#This Row],[Amount of order  returned]]), "N/A")</f>
        <v>504000</v>
      </c>
      <c r="Q78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84" spans="1:17" x14ac:dyDescent="0.2">
      <c r="A784" t="s">
        <v>1159</v>
      </c>
      <c r="B784" t="s">
        <v>426</v>
      </c>
      <c r="C784" t="s">
        <v>10</v>
      </c>
      <c r="D784" s="6">
        <v>22</v>
      </c>
      <c r="E784" s="5">
        <v>15000</v>
      </c>
      <c r="F784" t="s">
        <v>539</v>
      </c>
      <c r="G784" s="7">
        <v>46173</v>
      </c>
      <c r="H784" s="5">
        <v>0</v>
      </c>
      <c r="I78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84" t="b">
        <f>((ISNUMBER(Table3[[#This Row],[Quantity]]) )* (Table3[[#This Row],[Quantity]]&gt;0))=1</f>
        <v>1</v>
      </c>
      <c r="K784" t="b">
        <f>((Table3[[#This Row],[Quantity]]&gt;=Table3[[#This Row],[Return Qty]])*(ISNUMBER(Table3[[#This Row],[Quantity]])))=1</f>
        <v>1</v>
      </c>
      <c r="L784" t="b">
        <f>ISNUMBER(Table3[[#This Row],[Unit Price]])</f>
        <v>1</v>
      </c>
      <c r="M784" t="b">
        <f>ISNUMBER(Table3[[#This Row],[Order Date]])</f>
        <v>1</v>
      </c>
      <c r="N784">
        <f>IFERROR(IF(Table3[[#This Row],[Quantity]]*Table3[[#This Row],[Unit Price]]&lt;0, "N/A", Table3[[#This Row],[Quantity]]*Table3[[#This Row],[Unit Price]]), "N/A")</f>
        <v>330000</v>
      </c>
      <c r="O784">
        <f>IFERROR(Table3[[#This Row],[Unit Price]]*Table3[[#This Row],[Return Qty]], "N/A")</f>
        <v>0</v>
      </c>
      <c r="P784">
        <f>IFERROR(IF((Table3[[#This Row],[Revenue before return]]-Table3[[#This Row],[Amount of order  returned]])&lt;0, "N/A", Table3[[#This Row],[Revenue before return]]-Table3[[#This Row],[Amount of order  returned]]), "N/A")</f>
        <v>330000</v>
      </c>
      <c r="Q78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85" spans="1:17" x14ac:dyDescent="0.2">
      <c r="A785" t="s">
        <v>1160</v>
      </c>
      <c r="B785" t="s">
        <v>9</v>
      </c>
      <c r="C785" t="s">
        <v>10</v>
      </c>
      <c r="D785" s="6">
        <v>10</v>
      </c>
      <c r="E785" s="5">
        <v>15000</v>
      </c>
      <c r="F785" t="s">
        <v>543</v>
      </c>
      <c r="G785" s="7">
        <v>46108</v>
      </c>
      <c r="H785" s="5">
        <v>0</v>
      </c>
      <c r="I78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85" t="b">
        <f>((ISNUMBER(Table3[[#This Row],[Quantity]]) )* (Table3[[#This Row],[Quantity]]&gt;0))=1</f>
        <v>1</v>
      </c>
      <c r="K785" t="b">
        <f>((Table3[[#This Row],[Quantity]]&gt;=Table3[[#This Row],[Return Qty]])*(ISNUMBER(Table3[[#This Row],[Quantity]])))=1</f>
        <v>1</v>
      </c>
      <c r="L785" t="b">
        <f>ISNUMBER(Table3[[#This Row],[Unit Price]])</f>
        <v>1</v>
      </c>
      <c r="M785" t="b">
        <f>ISNUMBER(Table3[[#This Row],[Order Date]])</f>
        <v>1</v>
      </c>
      <c r="N785">
        <f>IFERROR(IF(Table3[[#This Row],[Quantity]]*Table3[[#This Row],[Unit Price]]&lt;0, "N/A", Table3[[#This Row],[Quantity]]*Table3[[#This Row],[Unit Price]]), "N/A")</f>
        <v>150000</v>
      </c>
      <c r="O785">
        <f>IFERROR(Table3[[#This Row],[Unit Price]]*Table3[[#This Row],[Return Qty]], "N/A")</f>
        <v>0</v>
      </c>
      <c r="P785">
        <f>IFERROR(IF((Table3[[#This Row],[Revenue before return]]-Table3[[#This Row],[Amount of order  returned]])&lt;0, "N/A", Table3[[#This Row],[Revenue before return]]-Table3[[#This Row],[Amount of order  returned]]), "N/A")</f>
        <v>150000</v>
      </c>
      <c r="Q78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86" spans="1:17" x14ac:dyDescent="0.2">
      <c r="A786" t="s">
        <v>1161</v>
      </c>
      <c r="B786" t="s">
        <v>14</v>
      </c>
      <c r="C786" t="s">
        <v>26</v>
      </c>
      <c r="D786" s="6">
        <v>3</v>
      </c>
      <c r="E786" s="5">
        <v>20000</v>
      </c>
      <c r="F786" t="s">
        <v>352</v>
      </c>
      <c r="G786" s="7">
        <v>46027</v>
      </c>
      <c r="H786" s="5">
        <v>1</v>
      </c>
      <c r="I78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86" t="b">
        <f>((ISNUMBER(Table3[[#This Row],[Quantity]]) )* (Table3[[#This Row],[Quantity]]&gt;0))=1</f>
        <v>1</v>
      </c>
      <c r="K786" t="b">
        <f>((Table3[[#This Row],[Quantity]]&gt;=Table3[[#This Row],[Return Qty]])*(ISNUMBER(Table3[[#This Row],[Quantity]])))=1</f>
        <v>1</v>
      </c>
      <c r="L786" t="b">
        <f>ISNUMBER(Table3[[#This Row],[Unit Price]])</f>
        <v>1</v>
      </c>
      <c r="M786" t="b">
        <f>ISNUMBER(Table3[[#This Row],[Order Date]])</f>
        <v>1</v>
      </c>
      <c r="N786">
        <f>IFERROR(IF(Table3[[#This Row],[Quantity]]*Table3[[#This Row],[Unit Price]]&lt;0, "N/A", Table3[[#This Row],[Quantity]]*Table3[[#This Row],[Unit Price]]), "N/A")</f>
        <v>60000</v>
      </c>
      <c r="O786">
        <f>IFERROR(Table3[[#This Row],[Unit Price]]*Table3[[#This Row],[Return Qty]], "N/A")</f>
        <v>20000</v>
      </c>
      <c r="P786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78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87" spans="1:17" x14ac:dyDescent="0.2">
      <c r="A787" t="s">
        <v>1162</v>
      </c>
      <c r="B787" t="s">
        <v>21</v>
      </c>
      <c r="C787" t="s">
        <v>26</v>
      </c>
      <c r="D787" s="6">
        <v>25</v>
      </c>
      <c r="E787" s="5">
        <v>20000</v>
      </c>
      <c r="F787" t="s">
        <v>946</v>
      </c>
      <c r="G787" s="7">
        <v>46198</v>
      </c>
      <c r="H787" s="5">
        <v>0</v>
      </c>
      <c r="I78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87" t="b">
        <f>((ISNUMBER(Table3[[#This Row],[Quantity]]) )* (Table3[[#This Row],[Quantity]]&gt;0))=1</f>
        <v>1</v>
      </c>
      <c r="K787" t="b">
        <f>((Table3[[#This Row],[Quantity]]&gt;=Table3[[#This Row],[Return Qty]])*(ISNUMBER(Table3[[#This Row],[Quantity]])))=1</f>
        <v>1</v>
      </c>
      <c r="L787" t="b">
        <f>ISNUMBER(Table3[[#This Row],[Unit Price]])</f>
        <v>1</v>
      </c>
      <c r="M787" t="b">
        <f>ISNUMBER(Table3[[#This Row],[Order Date]])</f>
        <v>1</v>
      </c>
      <c r="N787">
        <f>IFERROR(IF(Table3[[#This Row],[Quantity]]*Table3[[#This Row],[Unit Price]]&lt;0, "N/A", Table3[[#This Row],[Quantity]]*Table3[[#This Row],[Unit Price]]), "N/A")</f>
        <v>500000</v>
      </c>
      <c r="O787">
        <f>IFERROR(Table3[[#This Row],[Unit Price]]*Table3[[#This Row],[Return Qty]], "N/A")</f>
        <v>0</v>
      </c>
      <c r="P787">
        <f>IFERROR(IF((Table3[[#This Row],[Revenue before return]]-Table3[[#This Row],[Amount of order  returned]])&lt;0, "N/A", Table3[[#This Row],[Revenue before return]]-Table3[[#This Row],[Amount of order  returned]]), "N/A")</f>
        <v>500000</v>
      </c>
      <c r="Q78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88" spans="1:17" x14ac:dyDescent="0.2">
      <c r="A788" t="s">
        <v>1163</v>
      </c>
      <c r="B788" t="s">
        <v>25</v>
      </c>
      <c r="C788" t="s">
        <v>18</v>
      </c>
      <c r="D788" s="6">
        <v>8</v>
      </c>
      <c r="E788" s="5">
        <v>50000</v>
      </c>
      <c r="F788" t="s">
        <v>539</v>
      </c>
      <c r="G788" s="7">
        <v>46130</v>
      </c>
      <c r="H788" s="5">
        <v>0</v>
      </c>
      <c r="I78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88" t="b">
        <f>((ISNUMBER(Table3[[#This Row],[Quantity]]) )* (Table3[[#This Row],[Quantity]]&gt;0))=1</f>
        <v>1</v>
      </c>
      <c r="K788" t="b">
        <f>((Table3[[#This Row],[Quantity]]&gt;=Table3[[#This Row],[Return Qty]])*(ISNUMBER(Table3[[#This Row],[Quantity]])))=1</f>
        <v>1</v>
      </c>
      <c r="L788" t="b">
        <f>ISNUMBER(Table3[[#This Row],[Unit Price]])</f>
        <v>1</v>
      </c>
      <c r="M788" t="b">
        <f>ISNUMBER(Table3[[#This Row],[Order Date]])</f>
        <v>1</v>
      </c>
      <c r="N788">
        <f>IFERROR(IF(Table3[[#This Row],[Quantity]]*Table3[[#This Row],[Unit Price]]&lt;0, "N/A", Table3[[#This Row],[Quantity]]*Table3[[#This Row],[Unit Price]]), "N/A")</f>
        <v>400000</v>
      </c>
      <c r="O788">
        <f>IFERROR(Table3[[#This Row],[Unit Price]]*Table3[[#This Row],[Return Qty]], "N/A")</f>
        <v>0</v>
      </c>
      <c r="P788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78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89" spans="1:17" x14ac:dyDescent="0.2">
      <c r="A789" t="s">
        <v>1164</v>
      </c>
      <c r="B789" t="s">
        <v>9</v>
      </c>
      <c r="C789" t="s">
        <v>39</v>
      </c>
      <c r="D789" s="6">
        <v>12</v>
      </c>
      <c r="E789" s="5">
        <v>12000</v>
      </c>
      <c r="F789" t="s">
        <v>377</v>
      </c>
      <c r="G789" s="7">
        <v>46052</v>
      </c>
      <c r="H789" s="5">
        <v>2</v>
      </c>
      <c r="I78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89" t="b">
        <f>((ISNUMBER(Table3[[#This Row],[Quantity]]) )* (Table3[[#This Row],[Quantity]]&gt;0))=1</f>
        <v>1</v>
      </c>
      <c r="K789" t="b">
        <f>((Table3[[#This Row],[Quantity]]&gt;=Table3[[#This Row],[Return Qty]])*(ISNUMBER(Table3[[#This Row],[Quantity]])))=1</f>
        <v>1</v>
      </c>
      <c r="L789" t="b">
        <f>ISNUMBER(Table3[[#This Row],[Unit Price]])</f>
        <v>1</v>
      </c>
      <c r="M789" t="b">
        <f>ISNUMBER(Table3[[#This Row],[Order Date]])</f>
        <v>1</v>
      </c>
      <c r="N789">
        <f>IFERROR(IF(Table3[[#This Row],[Quantity]]*Table3[[#This Row],[Unit Price]]&lt;0, "N/A", Table3[[#This Row],[Quantity]]*Table3[[#This Row],[Unit Price]]), "N/A")</f>
        <v>144000</v>
      </c>
      <c r="O789">
        <f>IFERROR(Table3[[#This Row],[Unit Price]]*Table3[[#This Row],[Return Qty]], "N/A")</f>
        <v>24000</v>
      </c>
      <c r="P789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78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90" spans="1:17" x14ac:dyDescent="0.2">
      <c r="A790" t="s">
        <v>1165</v>
      </c>
      <c r="B790" t="s">
        <v>21</v>
      </c>
      <c r="C790" t="s">
        <v>10</v>
      </c>
      <c r="D790" s="6">
        <v>15</v>
      </c>
      <c r="E790" s="5">
        <v>15000</v>
      </c>
      <c r="F790" t="s">
        <v>153</v>
      </c>
      <c r="G790" s="7">
        <v>46140</v>
      </c>
      <c r="H790" s="5">
        <v>0</v>
      </c>
      <c r="I79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90" t="b">
        <f>((ISNUMBER(Table3[[#This Row],[Quantity]]) )* (Table3[[#This Row],[Quantity]]&gt;0))=1</f>
        <v>1</v>
      </c>
      <c r="K790" t="b">
        <f>((Table3[[#This Row],[Quantity]]&gt;=Table3[[#This Row],[Return Qty]])*(ISNUMBER(Table3[[#This Row],[Quantity]])))=1</f>
        <v>1</v>
      </c>
      <c r="L790" t="b">
        <f>ISNUMBER(Table3[[#This Row],[Unit Price]])</f>
        <v>1</v>
      </c>
      <c r="M790" t="b">
        <f>ISNUMBER(Table3[[#This Row],[Order Date]])</f>
        <v>1</v>
      </c>
      <c r="N790">
        <f>IFERROR(IF(Table3[[#This Row],[Quantity]]*Table3[[#This Row],[Unit Price]]&lt;0, "N/A", Table3[[#This Row],[Quantity]]*Table3[[#This Row],[Unit Price]]), "N/A")</f>
        <v>225000</v>
      </c>
      <c r="O790">
        <f>IFERROR(Table3[[#This Row],[Unit Price]]*Table3[[#This Row],[Return Qty]], "N/A")</f>
        <v>0</v>
      </c>
      <c r="P790">
        <f>IFERROR(IF((Table3[[#This Row],[Revenue before return]]-Table3[[#This Row],[Amount of order  returned]])&lt;0, "N/A", Table3[[#This Row],[Revenue before return]]-Table3[[#This Row],[Amount of order  returned]]), "N/A")</f>
        <v>225000</v>
      </c>
      <c r="Q79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91" spans="1:17" x14ac:dyDescent="0.2">
      <c r="A791" t="s">
        <v>1166</v>
      </c>
      <c r="B791" t="s">
        <v>21</v>
      </c>
      <c r="C791" t="s">
        <v>26</v>
      </c>
      <c r="D791" s="6">
        <v>4</v>
      </c>
      <c r="E791" s="5">
        <v>20000</v>
      </c>
      <c r="F791" t="s">
        <v>218</v>
      </c>
      <c r="G791" s="7" t="s">
        <v>11</v>
      </c>
      <c r="H791" s="5">
        <v>0</v>
      </c>
      <c r="I79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91" t="b">
        <f>((ISNUMBER(Table3[[#This Row],[Quantity]]) )* (Table3[[#This Row],[Quantity]]&gt;0))=1</f>
        <v>1</v>
      </c>
      <c r="K791" t="b">
        <f>((Table3[[#This Row],[Quantity]]&gt;=Table3[[#This Row],[Return Qty]])*(ISNUMBER(Table3[[#This Row],[Quantity]])))=1</f>
        <v>1</v>
      </c>
      <c r="L791" t="b">
        <f>ISNUMBER(Table3[[#This Row],[Unit Price]])</f>
        <v>1</v>
      </c>
      <c r="M791" t="b">
        <f>ISNUMBER(Table3[[#This Row],[Order Date]])</f>
        <v>0</v>
      </c>
      <c r="N791">
        <f>IFERROR(IF(Table3[[#This Row],[Quantity]]*Table3[[#This Row],[Unit Price]]&lt;0, "N/A", Table3[[#This Row],[Quantity]]*Table3[[#This Row],[Unit Price]]), "N/A")</f>
        <v>80000</v>
      </c>
      <c r="O791">
        <f>IFERROR(Table3[[#This Row],[Unit Price]]*Table3[[#This Row],[Return Qty]], "N/A")</f>
        <v>0</v>
      </c>
      <c r="P791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79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92" spans="1:17" x14ac:dyDescent="0.2">
      <c r="A792" t="s">
        <v>1167</v>
      </c>
      <c r="B792" t="s">
        <v>14</v>
      </c>
      <c r="C792" t="s">
        <v>22</v>
      </c>
      <c r="D792" s="6">
        <v>-9</v>
      </c>
      <c r="E792" s="5">
        <v>35000</v>
      </c>
      <c r="F792" t="s">
        <v>997</v>
      </c>
      <c r="G792" s="7">
        <v>46146</v>
      </c>
      <c r="H792" s="5">
        <v>0</v>
      </c>
      <c r="I79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92" t="b">
        <f>((ISNUMBER(Table3[[#This Row],[Quantity]]) )* (Table3[[#This Row],[Quantity]]&gt;0))=1</f>
        <v>0</v>
      </c>
      <c r="K792" t="b">
        <f>((Table3[[#This Row],[Quantity]]&gt;=Table3[[#This Row],[Return Qty]])*(ISNUMBER(Table3[[#This Row],[Quantity]])))=1</f>
        <v>0</v>
      </c>
      <c r="L792" t="b">
        <f>ISNUMBER(Table3[[#This Row],[Unit Price]])</f>
        <v>1</v>
      </c>
      <c r="M792" t="b">
        <f>ISNUMBER(Table3[[#This Row],[Order Date]])</f>
        <v>1</v>
      </c>
      <c r="N792" t="str">
        <f>IFERROR(IF(Table3[[#This Row],[Quantity]]*Table3[[#This Row],[Unit Price]]&lt;0, "N/A", Table3[[#This Row],[Quantity]]*Table3[[#This Row],[Unit Price]]), "N/A")</f>
        <v>N/A</v>
      </c>
      <c r="O792">
        <f>IFERROR(Table3[[#This Row],[Unit Price]]*Table3[[#This Row],[Return Qty]], "N/A")</f>
        <v>0</v>
      </c>
      <c r="P792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79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93" spans="1:17" x14ac:dyDescent="0.2">
      <c r="A793" t="s">
        <v>1168</v>
      </c>
      <c r="B793" t="s">
        <v>14</v>
      </c>
      <c r="C793" t="s">
        <v>39</v>
      </c>
      <c r="D793" s="6">
        <v>4</v>
      </c>
      <c r="E793" s="5">
        <v>12000</v>
      </c>
      <c r="F793" t="s">
        <v>1169</v>
      </c>
      <c r="G793" s="7">
        <v>46109</v>
      </c>
      <c r="H793" s="5">
        <v>7</v>
      </c>
      <c r="I79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93" t="b">
        <f>((ISNUMBER(Table3[[#This Row],[Quantity]]) )* (Table3[[#This Row],[Quantity]]&gt;0))=1</f>
        <v>1</v>
      </c>
      <c r="K793" t="b">
        <f>((Table3[[#This Row],[Quantity]]&gt;=Table3[[#This Row],[Return Qty]])*(ISNUMBER(Table3[[#This Row],[Quantity]])))=1</f>
        <v>0</v>
      </c>
      <c r="L793" t="b">
        <f>ISNUMBER(Table3[[#This Row],[Unit Price]])</f>
        <v>1</v>
      </c>
      <c r="M793" t="b">
        <f>ISNUMBER(Table3[[#This Row],[Order Date]])</f>
        <v>1</v>
      </c>
      <c r="N793">
        <f>IFERROR(IF(Table3[[#This Row],[Quantity]]*Table3[[#This Row],[Unit Price]]&lt;0, "N/A", Table3[[#This Row],[Quantity]]*Table3[[#This Row],[Unit Price]]), "N/A")</f>
        <v>48000</v>
      </c>
      <c r="O793">
        <f>IFERROR(Table3[[#This Row],[Unit Price]]*Table3[[#This Row],[Return Qty]], "N/A")</f>
        <v>84000</v>
      </c>
      <c r="P793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79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94" spans="1:17" x14ac:dyDescent="0.2">
      <c r="A794" t="s">
        <v>1170</v>
      </c>
      <c r="B794" t="s">
        <v>9</v>
      </c>
      <c r="C794" t="s">
        <v>26</v>
      </c>
      <c r="D794" s="6">
        <v>6</v>
      </c>
      <c r="E794" s="5">
        <v>20000</v>
      </c>
      <c r="F794" t="s">
        <v>42</v>
      </c>
      <c r="G794" s="7">
        <v>46176</v>
      </c>
      <c r="H794" s="5">
        <v>0</v>
      </c>
      <c r="I79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94" t="b">
        <f>((ISNUMBER(Table3[[#This Row],[Quantity]]) )* (Table3[[#This Row],[Quantity]]&gt;0))=1</f>
        <v>1</v>
      </c>
      <c r="K794" t="b">
        <f>((Table3[[#This Row],[Quantity]]&gt;=Table3[[#This Row],[Return Qty]])*(ISNUMBER(Table3[[#This Row],[Quantity]])))=1</f>
        <v>1</v>
      </c>
      <c r="L794" t="b">
        <f>ISNUMBER(Table3[[#This Row],[Unit Price]])</f>
        <v>1</v>
      </c>
      <c r="M794" t="b">
        <f>ISNUMBER(Table3[[#This Row],[Order Date]])</f>
        <v>1</v>
      </c>
      <c r="N794">
        <f>IFERROR(IF(Table3[[#This Row],[Quantity]]*Table3[[#This Row],[Unit Price]]&lt;0, "N/A", Table3[[#This Row],[Quantity]]*Table3[[#This Row],[Unit Price]]), "N/A")</f>
        <v>120000</v>
      </c>
      <c r="O794">
        <f>IFERROR(Table3[[#This Row],[Unit Price]]*Table3[[#This Row],[Return Qty]], "N/A")</f>
        <v>0</v>
      </c>
      <c r="P794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79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95" spans="1:17" x14ac:dyDescent="0.2">
      <c r="A795" t="s">
        <v>1171</v>
      </c>
      <c r="B795" t="s">
        <v>14</v>
      </c>
      <c r="C795" t="s">
        <v>18</v>
      </c>
      <c r="D795" s="6">
        <v>1</v>
      </c>
      <c r="E795" s="5">
        <v>50000</v>
      </c>
      <c r="F795" t="s">
        <v>499</v>
      </c>
      <c r="G795" s="7">
        <v>46067</v>
      </c>
      <c r="H795" s="5">
        <v>0</v>
      </c>
      <c r="I79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95" t="b">
        <f>((ISNUMBER(Table3[[#This Row],[Quantity]]) )* (Table3[[#This Row],[Quantity]]&gt;0))=1</f>
        <v>1</v>
      </c>
      <c r="K795" t="b">
        <f>((Table3[[#This Row],[Quantity]]&gt;=Table3[[#This Row],[Return Qty]])*(ISNUMBER(Table3[[#This Row],[Quantity]])))=1</f>
        <v>1</v>
      </c>
      <c r="L795" t="b">
        <f>ISNUMBER(Table3[[#This Row],[Unit Price]])</f>
        <v>1</v>
      </c>
      <c r="M795" t="b">
        <f>ISNUMBER(Table3[[#This Row],[Order Date]])</f>
        <v>1</v>
      </c>
      <c r="N795">
        <f>IFERROR(IF(Table3[[#This Row],[Quantity]]*Table3[[#This Row],[Unit Price]]&lt;0, "N/A", Table3[[#This Row],[Quantity]]*Table3[[#This Row],[Unit Price]]), "N/A")</f>
        <v>50000</v>
      </c>
      <c r="O795">
        <f>IFERROR(Table3[[#This Row],[Unit Price]]*Table3[[#This Row],[Return Qty]], "N/A")</f>
        <v>0</v>
      </c>
      <c r="P795">
        <f>IFERROR(IF((Table3[[#This Row],[Revenue before return]]-Table3[[#This Row],[Amount of order  returned]])&lt;0, "N/A", Table3[[#This Row],[Revenue before return]]-Table3[[#This Row],[Amount of order  returned]]), "N/A")</f>
        <v>50000</v>
      </c>
      <c r="Q79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96" spans="1:17" x14ac:dyDescent="0.2">
      <c r="A796" t="s">
        <v>1173</v>
      </c>
      <c r="B796" t="s">
        <v>9</v>
      </c>
      <c r="C796" t="s">
        <v>22</v>
      </c>
      <c r="D796" s="6">
        <v>19</v>
      </c>
      <c r="E796" s="5">
        <v>35000</v>
      </c>
      <c r="F796" t="s">
        <v>895</v>
      </c>
      <c r="G796" s="7">
        <v>46075</v>
      </c>
      <c r="H796" s="5">
        <v>5</v>
      </c>
      <c r="I79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96" t="b">
        <f>((ISNUMBER(Table3[[#This Row],[Quantity]]) )* (Table3[[#This Row],[Quantity]]&gt;0))=1</f>
        <v>1</v>
      </c>
      <c r="K796" t="b">
        <f>((Table3[[#This Row],[Quantity]]&gt;=Table3[[#This Row],[Return Qty]])*(ISNUMBER(Table3[[#This Row],[Quantity]])))=1</f>
        <v>1</v>
      </c>
      <c r="L796" t="b">
        <f>ISNUMBER(Table3[[#This Row],[Unit Price]])</f>
        <v>1</v>
      </c>
      <c r="M796" t="b">
        <f>ISNUMBER(Table3[[#This Row],[Order Date]])</f>
        <v>1</v>
      </c>
      <c r="N796">
        <f>IFERROR(IF(Table3[[#This Row],[Quantity]]*Table3[[#This Row],[Unit Price]]&lt;0, "N/A", Table3[[#This Row],[Quantity]]*Table3[[#This Row],[Unit Price]]), "N/A")</f>
        <v>665000</v>
      </c>
      <c r="O796">
        <f>IFERROR(Table3[[#This Row],[Unit Price]]*Table3[[#This Row],[Return Qty]], "N/A")</f>
        <v>175000</v>
      </c>
      <c r="P796">
        <f>IFERROR(IF((Table3[[#This Row],[Revenue before return]]-Table3[[#This Row],[Amount of order  returned]])&lt;0, "N/A", Table3[[#This Row],[Revenue before return]]-Table3[[#This Row],[Amount of order  returned]]), "N/A")</f>
        <v>490000</v>
      </c>
      <c r="Q79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97" spans="1:17" x14ac:dyDescent="0.2">
      <c r="A797" t="s">
        <v>1174</v>
      </c>
      <c r="B797" t="s">
        <v>679</v>
      </c>
      <c r="C797" t="s">
        <v>32</v>
      </c>
      <c r="D797" s="6">
        <v>11</v>
      </c>
      <c r="E797" s="5">
        <v>8000</v>
      </c>
      <c r="F797" t="s">
        <v>346</v>
      </c>
      <c r="G797" s="7">
        <v>46113</v>
      </c>
      <c r="H797" s="5">
        <v>0</v>
      </c>
      <c r="I79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0</v>
      </c>
      <c r="J797" t="b">
        <f>((ISNUMBER(Table3[[#This Row],[Quantity]]) )* (Table3[[#This Row],[Quantity]]&gt;0))=1</f>
        <v>1</v>
      </c>
      <c r="K797" t="b">
        <f>((Table3[[#This Row],[Quantity]]&gt;=Table3[[#This Row],[Return Qty]])*(ISNUMBER(Table3[[#This Row],[Quantity]])))=1</f>
        <v>1</v>
      </c>
      <c r="L797" t="b">
        <f>ISNUMBER(Table3[[#This Row],[Unit Price]])</f>
        <v>1</v>
      </c>
      <c r="M797" t="b">
        <f>ISNUMBER(Table3[[#This Row],[Order Date]])</f>
        <v>1</v>
      </c>
      <c r="N797">
        <f>IFERROR(IF(Table3[[#This Row],[Quantity]]*Table3[[#This Row],[Unit Price]]&lt;0, "N/A", Table3[[#This Row],[Quantity]]*Table3[[#This Row],[Unit Price]]), "N/A")</f>
        <v>88000</v>
      </c>
      <c r="O797">
        <f>IFERROR(Table3[[#This Row],[Unit Price]]*Table3[[#This Row],[Return Qty]], "N/A")</f>
        <v>0</v>
      </c>
      <c r="P797">
        <f>IFERROR(IF((Table3[[#This Row],[Revenue before return]]-Table3[[#This Row],[Amount of order  returned]])&lt;0, "N/A", Table3[[#This Row],[Revenue before return]]-Table3[[#This Row],[Amount of order  returned]]), "N/A")</f>
        <v>88000</v>
      </c>
      <c r="Q79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798" spans="1:17" x14ac:dyDescent="0.2">
      <c r="A798" t="s">
        <v>1175</v>
      </c>
      <c r="B798" t="s">
        <v>25</v>
      </c>
      <c r="C798" t="s">
        <v>26</v>
      </c>
      <c r="D798" s="6">
        <v>6</v>
      </c>
      <c r="E798" s="5">
        <v>20000</v>
      </c>
      <c r="F798" t="s">
        <v>276</v>
      </c>
      <c r="G798" s="7">
        <v>46041</v>
      </c>
      <c r="H798" s="5">
        <v>0</v>
      </c>
      <c r="I79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98" t="b">
        <f>((ISNUMBER(Table3[[#This Row],[Quantity]]) )* (Table3[[#This Row],[Quantity]]&gt;0))=1</f>
        <v>1</v>
      </c>
      <c r="K798" t="b">
        <f>((Table3[[#This Row],[Quantity]]&gt;=Table3[[#This Row],[Return Qty]])*(ISNUMBER(Table3[[#This Row],[Quantity]])))=1</f>
        <v>1</v>
      </c>
      <c r="L798" t="b">
        <f>ISNUMBER(Table3[[#This Row],[Unit Price]])</f>
        <v>1</v>
      </c>
      <c r="M798" t="b">
        <f>ISNUMBER(Table3[[#This Row],[Order Date]])</f>
        <v>1</v>
      </c>
      <c r="N798">
        <f>IFERROR(IF(Table3[[#This Row],[Quantity]]*Table3[[#This Row],[Unit Price]]&lt;0, "N/A", Table3[[#This Row],[Quantity]]*Table3[[#This Row],[Unit Price]]), "N/A")</f>
        <v>120000</v>
      </c>
      <c r="O798">
        <f>IFERROR(Table3[[#This Row],[Unit Price]]*Table3[[#This Row],[Return Qty]], "N/A")</f>
        <v>0</v>
      </c>
      <c r="P798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79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799" spans="1:17" x14ac:dyDescent="0.2">
      <c r="A799" t="s">
        <v>1176</v>
      </c>
      <c r="B799" t="s">
        <v>25</v>
      </c>
      <c r="C799" t="s">
        <v>26</v>
      </c>
      <c r="D799" s="6">
        <v>19</v>
      </c>
      <c r="E799" s="5">
        <v>20000</v>
      </c>
      <c r="F799" t="s">
        <v>1177</v>
      </c>
      <c r="G799" s="7">
        <v>46184</v>
      </c>
      <c r="H799" s="5">
        <v>4</v>
      </c>
      <c r="I79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799" t="b">
        <f>((ISNUMBER(Table3[[#This Row],[Quantity]]) )* (Table3[[#This Row],[Quantity]]&gt;0))=1</f>
        <v>1</v>
      </c>
      <c r="K799" t="b">
        <f>((Table3[[#This Row],[Quantity]]&gt;=Table3[[#This Row],[Return Qty]])*(ISNUMBER(Table3[[#This Row],[Quantity]])))=1</f>
        <v>1</v>
      </c>
      <c r="L799" t="b">
        <f>ISNUMBER(Table3[[#This Row],[Unit Price]])</f>
        <v>1</v>
      </c>
      <c r="M799" t="b">
        <f>ISNUMBER(Table3[[#This Row],[Order Date]])</f>
        <v>1</v>
      </c>
      <c r="N799">
        <f>IFERROR(IF(Table3[[#This Row],[Quantity]]*Table3[[#This Row],[Unit Price]]&lt;0, "N/A", Table3[[#This Row],[Quantity]]*Table3[[#This Row],[Unit Price]]), "N/A")</f>
        <v>380000</v>
      </c>
      <c r="O799">
        <f>IFERROR(Table3[[#This Row],[Unit Price]]*Table3[[#This Row],[Return Qty]], "N/A")</f>
        <v>80000</v>
      </c>
      <c r="P799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79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00" spans="1:17" x14ac:dyDescent="0.2">
      <c r="A800" t="s">
        <v>1178</v>
      </c>
      <c r="B800" t="s">
        <v>25</v>
      </c>
      <c r="C800" t="s">
        <v>70</v>
      </c>
      <c r="D800" s="6">
        <v>5</v>
      </c>
      <c r="E800" s="5">
        <v>28000</v>
      </c>
      <c r="F800" t="s">
        <v>1179</v>
      </c>
      <c r="G800" s="7">
        <v>46063</v>
      </c>
      <c r="H800" s="5">
        <v>0</v>
      </c>
      <c r="I80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00" t="b">
        <f>((ISNUMBER(Table3[[#This Row],[Quantity]]) )* (Table3[[#This Row],[Quantity]]&gt;0))=1</f>
        <v>1</v>
      </c>
      <c r="K800" t="b">
        <f>((Table3[[#This Row],[Quantity]]&gt;=Table3[[#This Row],[Return Qty]])*(ISNUMBER(Table3[[#This Row],[Quantity]])))=1</f>
        <v>1</v>
      </c>
      <c r="L800" t="b">
        <f>ISNUMBER(Table3[[#This Row],[Unit Price]])</f>
        <v>1</v>
      </c>
      <c r="M800" t="b">
        <f>ISNUMBER(Table3[[#This Row],[Order Date]])</f>
        <v>1</v>
      </c>
      <c r="N800">
        <f>IFERROR(IF(Table3[[#This Row],[Quantity]]*Table3[[#This Row],[Unit Price]]&lt;0, "N/A", Table3[[#This Row],[Quantity]]*Table3[[#This Row],[Unit Price]]), "N/A")</f>
        <v>140000</v>
      </c>
      <c r="O800">
        <f>IFERROR(Table3[[#This Row],[Unit Price]]*Table3[[#This Row],[Return Qty]], "N/A")</f>
        <v>0</v>
      </c>
      <c r="P800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80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01" spans="1:17" x14ac:dyDescent="0.2">
      <c r="A801" t="s">
        <v>1180</v>
      </c>
      <c r="B801" t="s">
        <v>14</v>
      </c>
      <c r="C801" t="s">
        <v>22</v>
      </c>
      <c r="D801" s="6">
        <v>23</v>
      </c>
      <c r="E801" s="5">
        <v>35000</v>
      </c>
      <c r="F801" t="s">
        <v>482</v>
      </c>
      <c r="G801" s="7">
        <v>46085</v>
      </c>
      <c r="H801" s="5">
        <v>0</v>
      </c>
      <c r="I80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01" t="b">
        <f>((ISNUMBER(Table3[[#This Row],[Quantity]]) )* (Table3[[#This Row],[Quantity]]&gt;0))=1</f>
        <v>1</v>
      </c>
      <c r="K801" t="b">
        <f>((Table3[[#This Row],[Quantity]]&gt;=Table3[[#This Row],[Return Qty]])*(ISNUMBER(Table3[[#This Row],[Quantity]])))=1</f>
        <v>1</v>
      </c>
      <c r="L801" t="b">
        <f>ISNUMBER(Table3[[#This Row],[Unit Price]])</f>
        <v>1</v>
      </c>
      <c r="M801" t="b">
        <f>ISNUMBER(Table3[[#This Row],[Order Date]])</f>
        <v>1</v>
      </c>
      <c r="N801">
        <f>IFERROR(IF(Table3[[#This Row],[Quantity]]*Table3[[#This Row],[Unit Price]]&lt;0, "N/A", Table3[[#This Row],[Quantity]]*Table3[[#This Row],[Unit Price]]), "N/A")</f>
        <v>805000</v>
      </c>
      <c r="O801">
        <f>IFERROR(Table3[[#This Row],[Unit Price]]*Table3[[#This Row],[Return Qty]], "N/A")</f>
        <v>0</v>
      </c>
      <c r="P801">
        <f>IFERROR(IF((Table3[[#This Row],[Revenue before return]]-Table3[[#This Row],[Amount of order  returned]])&lt;0, "N/A", Table3[[#This Row],[Revenue before return]]-Table3[[#This Row],[Amount of order  returned]]), "N/A")</f>
        <v>805000</v>
      </c>
      <c r="Q80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02" spans="1:17" x14ac:dyDescent="0.2">
      <c r="A802" t="s">
        <v>1181</v>
      </c>
      <c r="B802" t="s">
        <v>358</v>
      </c>
      <c r="C802" t="s">
        <v>32</v>
      </c>
      <c r="D802" s="6">
        <v>11</v>
      </c>
      <c r="E802" s="5">
        <v>8000</v>
      </c>
      <c r="F802" t="s">
        <v>230</v>
      </c>
      <c r="G802" s="7">
        <v>46200</v>
      </c>
      <c r="H802" s="5">
        <v>4</v>
      </c>
      <c r="I80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02" t="b">
        <f>((ISNUMBER(Table3[[#This Row],[Quantity]]) )* (Table3[[#This Row],[Quantity]]&gt;0))=1</f>
        <v>1</v>
      </c>
      <c r="K802" t="b">
        <f>((Table3[[#This Row],[Quantity]]&gt;=Table3[[#This Row],[Return Qty]])*(ISNUMBER(Table3[[#This Row],[Quantity]])))=1</f>
        <v>1</v>
      </c>
      <c r="L802" t="b">
        <f>ISNUMBER(Table3[[#This Row],[Unit Price]])</f>
        <v>1</v>
      </c>
      <c r="M802" t="b">
        <f>ISNUMBER(Table3[[#This Row],[Order Date]])</f>
        <v>1</v>
      </c>
      <c r="N802">
        <f>IFERROR(IF(Table3[[#This Row],[Quantity]]*Table3[[#This Row],[Unit Price]]&lt;0, "N/A", Table3[[#This Row],[Quantity]]*Table3[[#This Row],[Unit Price]]), "N/A")</f>
        <v>88000</v>
      </c>
      <c r="O802">
        <f>IFERROR(Table3[[#This Row],[Unit Price]]*Table3[[#This Row],[Return Qty]], "N/A")</f>
        <v>32000</v>
      </c>
      <c r="P802">
        <f>IFERROR(IF((Table3[[#This Row],[Revenue before return]]-Table3[[#This Row],[Amount of order  returned]])&lt;0, "N/A", Table3[[#This Row],[Revenue before return]]-Table3[[#This Row],[Amount of order  returned]]), "N/A")</f>
        <v>56000</v>
      </c>
      <c r="Q80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03" spans="1:17" x14ac:dyDescent="0.2">
      <c r="A803" t="s">
        <v>1182</v>
      </c>
      <c r="B803" t="s">
        <v>21</v>
      </c>
      <c r="C803" t="s">
        <v>18</v>
      </c>
      <c r="D803" s="6">
        <v>15</v>
      </c>
      <c r="E803" s="5">
        <v>50000</v>
      </c>
      <c r="F803" t="s">
        <v>368</v>
      </c>
      <c r="G803" s="7">
        <v>46105</v>
      </c>
      <c r="H803" s="5">
        <v>0</v>
      </c>
      <c r="I80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03" t="b">
        <f>((ISNUMBER(Table3[[#This Row],[Quantity]]) )* (Table3[[#This Row],[Quantity]]&gt;0))=1</f>
        <v>1</v>
      </c>
      <c r="K803" t="b">
        <f>((Table3[[#This Row],[Quantity]]&gt;=Table3[[#This Row],[Return Qty]])*(ISNUMBER(Table3[[#This Row],[Quantity]])))=1</f>
        <v>1</v>
      </c>
      <c r="L803" t="b">
        <f>ISNUMBER(Table3[[#This Row],[Unit Price]])</f>
        <v>1</v>
      </c>
      <c r="M803" t="b">
        <f>ISNUMBER(Table3[[#This Row],[Order Date]])</f>
        <v>1</v>
      </c>
      <c r="N803">
        <f>IFERROR(IF(Table3[[#This Row],[Quantity]]*Table3[[#This Row],[Unit Price]]&lt;0, "N/A", Table3[[#This Row],[Quantity]]*Table3[[#This Row],[Unit Price]]), "N/A")</f>
        <v>750000</v>
      </c>
      <c r="O803">
        <f>IFERROR(Table3[[#This Row],[Unit Price]]*Table3[[#This Row],[Return Qty]], "N/A")</f>
        <v>0</v>
      </c>
      <c r="P803">
        <f>IFERROR(IF((Table3[[#This Row],[Revenue before return]]-Table3[[#This Row],[Amount of order  returned]])&lt;0, "N/A", Table3[[#This Row],[Revenue before return]]-Table3[[#This Row],[Amount of order  returned]]), "N/A")</f>
        <v>750000</v>
      </c>
      <c r="Q80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04" spans="1:17" x14ac:dyDescent="0.2">
      <c r="A804" t="s">
        <v>1183</v>
      </c>
      <c r="B804" t="s">
        <v>9</v>
      </c>
      <c r="C804" t="s">
        <v>22</v>
      </c>
      <c r="D804" s="6">
        <v>16</v>
      </c>
      <c r="E804" s="5">
        <v>35000</v>
      </c>
      <c r="F804" t="s">
        <v>712</v>
      </c>
      <c r="G804" s="7">
        <v>46157</v>
      </c>
      <c r="H804" s="5">
        <v>0</v>
      </c>
      <c r="I80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04" t="b">
        <f>((ISNUMBER(Table3[[#This Row],[Quantity]]) )* (Table3[[#This Row],[Quantity]]&gt;0))=1</f>
        <v>1</v>
      </c>
      <c r="K804" t="b">
        <f>((Table3[[#This Row],[Quantity]]&gt;=Table3[[#This Row],[Return Qty]])*(ISNUMBER(Table3[[#This Row],[Quantity]])))=1</f>
        <v>1</v>
      </c>
      <c r="L804" t="b">
        <f>ISNUMBER(Table3[[#This Row],[Unit Price]])</f>
        <v>1</v>
      </c>
      <c r="M804" t="b">
        <f>ISNUMBER(Table3[[#This Row],[Order Date]])</f>
        <v>1</v>
      </c>
      <c r="N804">
        <f>IFERROR(IF(Table3[[#This Row],[Quantity]]*Table3[[#This Row],[Unit Price]]&lt;0, "N/A", Table3[[#This Row],[Quantity]]*Table3[[#This Row],[Unit Price]]), "N/A")</f>
        <v>560000</v>
      </c>
      <c r="O804">
        <f>IFERROR(Table3[[#This Row],[Unit Price]]*Table3[[#This Row],[Return Qty]], "N/A")</f>
        <v>0</v>
      </c>
      <c r="P804">
        <f>IFERROR(IF((Table3[[#This Row],[Revenue before return]]-Table3[[#This Row],[Amount of order  returned]])&lt;0, "N/A", Table3[[#This Row],[Revenue before return]]-Table3[[#This Row],[Amount of order  returned]]), "N/A")</f>
        <v>560000</v>
      </c>
      <c r="Q80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05" spans="1:17" x14ac:dyDescent="0.2">
      <c r="A805" t="s">
        <v>1184</v>
      </c>
      <c r="B805" t="s">
        <v>14</v>
      </c>
      <c r="C805" t="s">
        <v>70</v>
      </c>
      <c r="D805" s="6">
        <v>300</v>
      </c>
      <c r="E805" s="5">
        <v>28000</v>
      </c>
      <c r="F805" t="s">
        <v>266</v>
      </c>
      <c r="G805" s="7">
        <v>46151</v>
      </c>
      <c r="H805" s="5">
        <v>0</v>
      </c>
      <c r="I80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05" t="b">
        <f>((ISNUMBER(Table3[[#This Row],[Quantity]]) )* (Table3[[#This Row],[Quantity]]&gt;0))=1</f>
        <v>1</v>
      </c>
      <c r="K805" t="b">
        <f>((Table3[[#This Row],[Quantity]]&gt;=Table3[[#This Row],[Return Qty]])*(ISNUMBER(Table3[[#This Row],[Quantity]])))=1</f>
        <v>1</v>
      </c>
      <c r="L805" t="b">
        <f>ISNUMBER(Table3[[#This Row],[Unit Price]])</f>
        <v>1</v>
      </c>
      <c r="M805" t="b">
        <f>ISNUMBER(Table3[[#This Row],[Order Date]])</f>
        <v>1</v>
      </c>
      <c r="N805">
        <f>IFERROR(IF(Table3[[#This Row],[Quantity]]*Table3[[#This Row],[Unit Price]]&lt;0, "N/A", Table3[[#This Row],[Quantity]]*Table3[[#This Row],[Unit Price]]), "N/A")</f>
        <v>8400000</v>
      </c>
      <c r="O805">
        <f>IFERROR(Table3[[#This Row],[Unit Price]]*Table3[[#This Row],[Return Qty]], "N/A")</f>
        <v>0</v>
      </c>
      <c r="P805">
        <f>IFERROR(IF((Table3[[#This Row],[Revenue before return]]-Table3[[#This Row],[Amount of order  returned]])&lt;0, "N/A", Table3[[#This Row],[Revenue before return]]-Table3[[#This Row],[Amount of order  returned]]), "N/A")</f>
        <v>8400000</v>
      </c>
      <c r="Q80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06" spans="1:17" x14ac:dyDescent="0.2">
      <c r="A806" t="s">
        <v>1185</v>
      </c>
      <c r="B806" t="s">
        <v>426</v>
      </c>
      <c r="C806" t="s">
        <v>39</v>
      </c>
      <c r="D806" s="6">
        <v>21</v>
      </c>
      <c r="E806" s="5">
        <v>12000</v>
      </c>
      <c r="F806" t="s">
        <v>838</v>
      </c>
      <c r="G806" s="7">
        <v>46135</v>
      </c>
      <c r="H806" s="5">
        <v>0</v>
      </c>
      <c r="I80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06" t="b">
        <f>((ISNUMBER(Table3[[#This Row],[Quantity]]) )* (Table3[[#This Row],[Quantity]]&gt;0))=1</f>
        <v>1</v>
      </c>
      <c r="K806" t="b">
        <f>((Table3[[#This Row],[Quantity]]&gt;=Table3[[#This Row],[Return Qty]])*(ISNUMBER(Table3[[#This Row],[Quantity]])))=1</f>
        <v>1</v>
      </c>
      <c r="L806" t="b">
        <f>ISNUMBER(Table3[[#This Row],[Unit Price]])</f>
        <v>1</v>
      </c>
      <c r="M806" t="b">
        <f>ISNUMBER(Table3[[#This Row],[Order Date]])</f>
        <v>1</v>
      </c>
      <c r="N806">
        <f>IFERROR(IF(Table3[[#This Row],[Quantity]]*Table3[[#This Row],[Unit Price]]&lt;0, "N/A", Table3[[#This Row],[Quantity]]*Table3[[#This Row],[Unit Price]]), "N/A")</f>
        <v>252000</v>
      </c>
      <c r="O806">
        <f>IFERROR(Table3[[#This Row],[Unit Price]]*Table3[[#This Row],[Return Qty]], "N/A")</f>
        <v>0</v>
      </c>
      <c r="P806">
        <f>IFERROR(IF((Table3[[#This Row],[Revenue before return]]-Table3[[#This Row],[Amount of order  returned]])&lt;0, "N/A", Table3[[#This Row],[Revenue before return]]-Table3[[#This Row],[Amount of order  returned]]), "N/A")</f>
        <v>252000</v>
      </c>
      <c r="Q80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07" spans="1:17" x14ac:dyDescent="0.2">
      <c r="A807" t="s">
        <v>1186</v>
      </c>
      <c r="B807" t="s">
        <v>21</v>
      </c>
      <c r="C807" t="s">
        <v>26</v>
      </c>
      <c r="D807" s="6">
        <v>4</v>
      </c>
      <c r="E807" s="5">
        <v>20000</v>
      </c>
      <c r="F807" t="s">
        <v>848</v>
      </c>
      <c r="G807" s="7">
        <v>46116</v>
      </c>
      <c r="H807" s="5">
        <v>0</v>
      </c>
      <c r="I80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07" t="b">
        <f>((ISNUMBER(Table3[[#This Row],[Quantity]]) )* (Table3[[#This Row],[Quantity]]&gt;0))=1</f>
        <v>1</v>
      </c>
      <c r="K807" t="b">
        <f>((Table3[[#This Row],[Quantity]]&gt;=Table3[[#This Row],[Return Qty]])*(ISNUMBER(Table3[[#This Row],[Quantity]])))=1</f>
        <v>1</v>
      </c>
      <c r="L807" t="b">
        <f>ISNUMBER(Table3[[#This Row],[Unit Price]])</f>
        <v>1</v>
      </c>
      <c r="M807" t="b">
        <f>ISNUMBER(Table3[[#This Row],[Order Date]])</f>
        <v>1</v>
      </c>
      <c r="N807">
        <f>IFERROR(IF(Table3[[#This Row],[Quantity]]*Table3[[#This Row],[Unit Price]]&lt;0, "N/A", Table3[[#This Row],[Quantity]]*Table3[[#This Row],[Unit Price]]), "N/A")</f>
        <v>80000</v>
      </c>
      <c r="O807">
        <f>IFERROR(Table3[[#This Row],[Unit Price]]*Table3[[#This Row],[Return Qty]], "N/A")</f>
        <v>0</v>
      </c>
      <c r="P807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80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08" spans="1:17" x14ac:dyDescent="0.2">
      <c r="A808" t="s">
        <v>1188</v>
      </c>
      <c r="B808" t="s">
        <v>9</v>
      </c>
      <c r="C808" t="s">
        <v>45</v>
      </c>
      <c r="D808" s="6" t="s">
        <v>11</v>
      </c>
      <c r="E808" s="5">
        <v>20000</v>
      </c>
      <c r="F808" t="s">
        <v>412</v>
      </c>
      <c r="G808" s="7">
        <v>46128</v>
      </c>
      <c r="H808" s="5">
        <v>0</v>
      </c>
      <c r="I80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08" t="b">
        <f>((ISNUMBER(Table3[[#This Row],[Quantity]]) )* (Table3[[#This Row],[Quantity]]&gt;0))=1</f>
        <v>0</v>
      </c>
      <c r="K808" t="b">
        <f>((Table3[[#This Row],[Quantity]]&gt;=Table3[[#This Row],[Return Qty]])*(ISNUMBER(Table3[[#This Row],[Quantity]])))=1</f>
        <v>0</v>
      </c>
      <c r="L808" t="b">
        <f>ISNUMBER(Table3[[#This Row],[Unit Price]])</f>
        <v>1</v>
      </c>
      <c r="M808" t="b">
        <f>ISNUMBER(Table3[[#This Row],[Order Date]])</f>
        <v>1</v>
      </c>
      <c r="N808" t="str">
        <f>IFERROR(IF(Table3[[#This Row],[Quantity]]*Table3[[#This Row],[Unit Price]]&lt;0, "N/A", Table3[[#This Row],[Quantity]]*Table3[[#This Row],[Unit Price]]), "N/A")</f>
        <v>N/A</v>
      </c>
      <c r="O808">
        <f>IFERROR(Table3[[#This Row],[Unit Price]]*Table3[[#This Row],[Return Qty]], "N/A")</f>
        <v>0</v>
      </c>
      <c r="P808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80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809" spans="1:17" x14ac:dyDescent="0.2">
      <c r="A809" t="s">
        <v>1189</v>
      </c>
      <c r="B809" t="s">
        <v>25</v>
      </c>
      <c r="C809" t="s">
        <v>26</v>
      </c>
      <c r="D809" s="6">
        <v>25</v>
      </c>
      <c r="E809" s="5">
        <v>20000</v>
      </c>
      <c r="F809" t="s">
        <v>484</v>
      </c>
      <c r="G809" s="7" t="s">
        <v>11</v>
      </c>
      <c r="H809" s="5">
        <v>0</v>
      </c>
      <c r="I80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09" t="b">
        <f>((ISNUMBER(Table3[[#This Row],[Quantity]]) )* (Table3[[#This Row],[Quantity]]&gt;0))=1</f>
        <v>1</v>
      </c>
      <c r="K809" t="b">
        <f>((Table3[[#This Row],[Quantity]]&gt;=Table3[[#This Row],[Return Qty]])*(ISNUMBER(Table3[[#This Row],[Quantity]])))=1</f>
        <v>1</v>
      </c>
      <c r="L809" t="b">
        <f>ISNUMBER(Table3[[#This Row],[Unit Price]])</f>
        <v>1</v>
      </c>
      <c r="M809" t="b">
        <f>ISNUMBER(Table3[[#This Row],[Order Date]])</f>
        <v>0</v>
      </c>
      <c r="N809">
        <f>IFERROR(IF(Table3[[#This Row],[Quantity]]*Table3[[#This Row],[Unit Price]]&lt;0, "N/A", Table3[[#This Row],[Quantity]]*Table3[[#This Row],[Unit Price]]), "N/A")</f>
        <v>500000</v>
      </c>
      <c r="O809">
        <f>IFERROR(Table3[[#This Row],[Unit Price]]*Table3[[#This Row],[Return Qty]], "N/A")</f>
        <v>0</v>
      </c>
      <c r="P809">
        <f>IFERROR(IF((Table3[[#This Row],[Revenue before return]]-Table3[[#This Row],[Amount of order  returned]])&lt;0, "N/A", Table3[[#This Row],[Revenue before return]]-Table3[[#This Row],[Amount of order  returned]]), "N/A")</f>
        <v>500000</v>
      </c>
      <c r="Q80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810" spans="1:17" x14ac:dyDescent="0.2">
      <c r="A810" t="s">
        <v>1190</v>
      </c>
      <c r="B810" t="s">
        <v>14</v>
      </c>
      <c r="C810" t="s">
        <v>32</v>
      </c>
      <c r="D810" s="6">
        <v>10</v>
      </c>
      <c r="E810" s="5">
        <v>8000</v>
      </c>
      <c r="F810" t="s">
        <v>412</v>
      </c>
      <c r="G810" s="7">
        <v>46192</v>
      </c>
      <c r="H810" s="5">
        <v>0</v>
      </c>
      <c r="I81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10" t="b">
        <f>((ISNUMBER(Table3[[#This Row],[Quantity]]) )* (Table3[[#This Row],[Quantity]]&gt;0))=1</f>
        <v>1</v>
      </c>
      <c r="K810" t="b">
        <f>((Table3[[#This Row],[Quantity]]&gt;=Table3[[#This Row],[Return Qty]])*(ISNUMBER(Table3[[#This Row],[Quantity]])))=1</f>
        <v>1</v>
      </c>
      <c r="L810" t="b">
        <f>ISNUMBER(Table3[[#This Row],[Unit Price]])</f>
        <v>1</v>
      </c>
      <c r="M810" t="b">
        <f>ISNUMBER(Table3[[#This Row],[Order Date]])</f>
        <v>1</v>
      </c>
      <c r="N810">
        <f>IFERROR(IF(Table3[[#This Row],[Quantity]]*Table3[[#This Row],[Unit Price]]&lt;0, "N/A", Table3[[#This Row],[Quantity]]*Table3[[#This Row],[Unit Price]]), "N/A")</f>
        <v>80000</v>
      </c>
      <c r="O810">
        <f>IFERROR(Table3[[#This Row],[Unit Price]]*Table3[[#This Row],[Return Qty]], "N/A")</f>
        <v>0</v>
      </c>
      <c r="P810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81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11" spans="1:17" x14ac:dyDescent="0.2">
      <c r="A811" t="s">
        <v>1191</v>
      </c>
      <c r="B811" t="s">
        <v>25</v>
      </c>
      <c r="C811" t="s">
        <v>70</v>
      </c>
      <c r="D811" s="6">
        <v>1</v>
      </c>
      <c r="E811" s="5">
        <v>28000</v>
      </c>
      <c r="F811" t="s">
        <v>261</v>
      </c>
      <c r="G811" s="7">
        <v>46162</v>
      </c>
      <c r="H811" s="5">
        <v>0</v>
      </c>
      <c r="I81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11" t="b">
        <f>((ISNUMBER(Table3[[#This Row],[Quantity]]) )* (Table3[[#This Row],[Quantity]]&gt;0))=1</f>
        <v>1</v>
      </c>
      <c r="K811" t="b">
        <f>((Table3[[#This Row],[Quantity]]&gt;=Table3[[#This Row],[Return Qty]])*(ISNUMBER(Table3[[#This Row],[Quantity]])))=1</f>
        <v>1</v>
      </c>
      <c r="L811" t="b">
        <f>ISNUMBER(Table3[[#This Row],[Unit Price]])</f>
        <v>1</v>
      </c>
      <c r="M811" t="b">
        <f>ISNUMBER(Table3[[#This Row],[Order Date]])</f>
        <v>1</v>
      </c>
      <c r="N811">
        <f>IFERROR(IF(Table3[[#This Row],[Quantity]]*Table3[[#This Row],[Unit Price]]&lt;0, "N/A", Table3[[#This Row],[Quantity]]*Table3[[#This Row],[Unit Price]]), "N/A")</f>
        <v>28000</v>
      </c>
      <c r="O811">
        <f>IFERROR(Table3[[#This Row],[Unit Price]]*Table3[[#This Row],[Return Qty]], "N/A")</f>
        <v>0</v>
      </c>
      <c r="P811">
        <f>IFERROR(IF((Table3[[#This Row],[Revenue before return]]-Table3[[#This Row],[Amount of order  returned]])&lt;0, "N/A", Table3[[#This Row],[Revenue before return]]-Table3[[#This Row],[Amount of order  returned]]), "N/A")</f>
        <v>28000</v>
      </c>
      <c r="Q81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12" spans="1:17" x14ac:dyDescent="0.2">
      <c r="A812" t="s">
        <v>1192</v>
      </c>
      <c r="B812" t="s">
        <v>25</v>
      </c>
      <c r="C812" t="s">
        <v>39</v>
      </c>
      <c r="D812" s="6">
        <v>17</v>
      </c>
      <c r="E812" s="5">
        <v>12000</v>
      </c>
      <c r="F812" t="s">
        <v>355</v>
      </c>
      <c r="G812" s="7">
        <v>46061</v>
      </c>
      <c r="H812" s="5">
        <v>0</v>
      </c>
      <c r="I81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12" t="b">
        <f>((ISNUMBER(Table3[[#This Row],[Quantity]]) )* (Table3[[#This Row],[Quantity]]&gt;0))=1</f>
        <v>1</v>
      </c>
      <c r="K812" t="b">
        <f>((Table3[[#This Row],[Quantity]]&gt;=Table3[[#This Row],[Return Qty]])*(ISNUMBER(Table3[[#This Row],[Quantity]])))=1</f>
        <v>1</v>
      </c>
      <c r="L812" t="b">
        <f>ISNUMBER(Table3[[#This Row],[Unit Price]])</f>
        <v>1</v>
      </c>
      <c r="M812" t="b">
        <f>ISNUMBER(Table3[[#This Row],[Order Date]])</f>
        <v>1</v>
      </c>
      <c r="N812">
        <f>IFERROR(IF(Table3[[#This Row],[Quantity]]*Table3[[#This Row],[Unit Price]]&lt;0, "N/A", Table3[[#This Row],[Quantity]]*Table3[[#This Row],[Unit Price]]), "N/A")</f>
        <v>204000</v>
      </c>
      <c r="O812">
        <f>IFERROR(Table3[[#This Row],[Unit Price]]*Table3[[#This Row],[Return Qty]], "N/A")</f>
        <v>0</v>
      </c>
      <c r="P812">
        <f>IFERROR(IF((Table3[[#This Row],[Revenue before return]]-Table3[[#This Row],[Amount of order  returned]])&lt;0, "N/A", Table3[[#This Row],[Revenue before return]]-Table3[[#This Row],[Amount of order  returned]]), "N/A")</f>
        <v>204000</v>
      </c>
      <c r="Q81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13" spans="1:17" x14ac:dyDescent="0.2">
      <c r="A813" t="s">
        <v>1193</v>
      </c>
      <c r="B813" t="s">
        <v>25</v>
      </c>
      <c r="C813" t="s">
        <v>39</v>
      </c>
      <c r="D813" s="6">
        <v>1</v>
      </c>
      <c r="E813" s="5">
        <v>12000</v>
      </c>
      <c r="F813" t="s">
        <v>86</v>
      </c>
      <c r="G813" s="7">
        <v>46039</v>
      </c>
      <c r="H813" s="5">
        <v>0</v>
      </c>
      <c r="I81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13" t="b">
        <f>((ISNUMBER(Table3[[#This Row],[Quantity]]) )* (Table3[[#This Row],[Quantity]]&gt;0))=1</f>
        <v>1</v>
      </c>
      <c r="K813" t="b">
        <f>((Table3[[#This Row],[Quantity]]&gt;=Table3[[#This Row],[Return Qty]])*(ISNUMBER(Table3[[#This Row],[Quantity]])))=1</f>
        <v>1</v>
      </c>
      <c r="L813" t="b">
        <f>ISNUMBER(Table3[[#This Row],[Unit Price]])</f>
        <v>1</v>
      </c>
      <c r="M813" t="b">
        <f>ISNUMBER(Table3[[#This Row],[Order Date]])</f>
        <v>1</v>
      </c>
      <c r="N813">
        <f>IFERROR(IF(Table3[[#This Row],[Quantity]]*Table3[[#This Row],[Unit Price]]&lt;0, "N/A", Table3[[#This Row],[Quantity]]*Table3[[#This Row],[Unit Price]]), "N/A")</f>
        <v>12000</v>
      </c>
      <c r="O813">
        <f>IFERROR(Table3[[#This Row],[Unit Price]]*Table3[[#This Row],[Return Qty]], "N/A")</f>
        <v>0</v>
      </c>
      <c r="P813">
        <f>IFERROR(IF((Table3[[#This Row],[Revenue before return]]-Table3[[#This Row],[Amount of order  returned]])&lt;0, "N/A", Table3[[#This Row],[Revenue before return]]-Table3[[#This Row],[Amount of order  returned]]), "N/A")</f>
        <v>12000</v>
      </c>
      <c r="Q81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14" spans="1:17" x14ac:dyDescent="0.2">
      <c r="A814" t="s">
        <v>1195</v>
      </c>
      <c r="B814" t="s">
        <v>21</v>
      </c>
      <c r="C814" t="s">
        <v>26</v>
      </c>
      <c r="D814" s="6">
        <v>18</v>
      </c>
      <c r="E814" s="5">
        <v>20000</v>
      </c>
      <c r="F814" t="s">
        <v>121</v>
      </c>
      <c r="G814" s="7">
        <v>46130</v>
      </c>
      <c r="H814" s="5">
        <v>0</v>
      </c>
      <c r="I81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14" t="b">
        <f>((ISNUMBER(Table3[[#This Row],[Quantity]]) )* (Table3[[#This Row],[Quantity]]&gt;0))=1</f>
        <v>1</v>
      </c>
      <c r="K814" t="b">
        <f>((Table3[[#This Row],[Quantity]]&gt;=Table3[[#This Row],[Return Qty]])*(ISNUMBER(Table3[[#This Row],[Quantity]])))=1</f>
        <v>1</v>
      </c>
      <c r="L814" t="b">
        <f>ISNUMBER(Table3[[#This Row],[Unit Price]])</f>
        <v>1</v>
      </c>
      <c r="M814" t="b">
        <f>ISNUMBER(Table3[[#This Row],[Order Date]])</f>
        <v>1</v>
      </c>
      <c r="N814">
        <f>IFERROR(IF(Table3[[#This Row],[Quantity]]*Table3[[#This Row],[Unit Price]]&lt;0, "N/A", Table3[[#This Row],[Quantity]]*Table3[[#This Row],[Unit Price]]), "N/A")</f>
        <v>360000</v>
      </c>
      <c r="O814">
        <f>IFERROR(Table3[[#This Row],[Unit Price]]*Table3[[#This Row],[Return Qty]], "N/A")</f>
        <v>0</v>
      </c>
      <c r="P814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81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15" spans="1:17" x14ac:dyDescent="0.2">
      <c r="A815" t="s">
        <v>1196</v>
      </c>
      <c r="B815" t="s">
        <v>14</v>
      </c>
      <c r="C815" t="s">
        <v>18</v>
      </c>
      <c r="D815" s="6">
        <v>17</v>
      </c>
      <c r="E815" s="5">
        <v>50000</v>
      </c>
      <c r="F815" t="s">
        <v>101</v>
      </c>
      <c r="G815" s="7">
        <v>46185</v>
      </c>
      <c r="H815" s="5">
        <v>0</v>
      </c>
      <c r="I81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15" t="b">
        <f>((ISNUMBER(Table3[[#This Row],[Quantity]]) )* (Table3[[#This Row],[Quantity]]&gt;0))=1</f>
        <v>1</v>
      </c>
      <c r="K815" t="b">
        <f>((Table3[[#This Row],[Quantity]]&gt;=Table3[[#This Row],[Return Qty]])*(ISNUMBER(Table3[[#This Row],[Quantity]])))=1</f>
        <v>1</v>
      </c>
      <c r="L815" t="b">
        <f>ISNUMBER(Table3[[#This Row],[Unit Price]])</f>
        <v>1</v>
      </c>
      <c r="M815" t="b">
        <f>ISNUMBER(Table3[[#This Row],[Order Date]])</f>
        <v>1</v>
      </c>
      <c r="N815">
        <f>IFERROR(IF(Table3[[#This Row],[Quantity]]*Table3[[#This Row],[Unit Price]]&lt;0, "N/A", Table3[[#This Row],[Quantity]]*Table3[[#This Row],[Unit Price]]), "N/A")</f>
        <v>850000</v>
      </c>
      <c r="O815">
        <f>IFERROR(Table3[[#This Row],[Unit Price]]*Table3[[#This Row],[Return Qty]], "N/A")</f>
        <v>0</v>
      </c>
      <c r="P815">
        <f>IFERROR(IF((Table3[[#This Row],[Revenue before return]]-Table3[[#This Row],[Amount of order  returned]])&lt;0, "N/A", Table3[[#This Row],[Revenue before return]]-Table3[[#This Row],[Amount of order  returned]]), "N/A")</f>
        <v>850000</v>
      </c>
      <c r="Q81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16" spans="1:17" x14ac:dyDescent="0.2">
      <c r="A816" t="s">
        <v>1197</v>
      </c>
      <c r="B816" t="s">
        <v>21</v>
      </c>
      <c r="C816" t="s">
        <v>22</v>
      </c>
      <c r="D816" s="6">
        <v>9</v>
      </c>
      <c r="E816" s="5">
        <v>35000</v>
      </c>
      <c r="F816" t="s">
        <v>366</v>
      </c>
      <c r="G816" s="7">
        <v>46043</v>
      </c>
      <c r="H816" s="5">
        <v>3</v>
      </c>
      <c r="I81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16" t="b">
        <f>((ISNUMBER(Table3[[#This Row],[Quantity]]) )* (Table3[[#This Row],[Quantity]]&gt;0))=1</f>
        <v>1</v>
      </c>
      <c r="K816" t="b">
        <f>((Table3[[#This Row],[Quantity]]&gt;=Table3[[#This Row],[Return Qty]])*(ISNUMBER(Table3[[#This Row],[Quantity]])))=1</f>
        <v>1</v>
      </c>
      <c r="L816" t="b">
        <f>ISNUMBER(Table3[[#This Row],[Unit Price]])</f>
        <v>1</v>
      </c>
      <c r="M816" t="b">
        <f>ISNUMBER(Table3[[#This Row],[Order Date]])</f>
        <v>1</v>
      </c>
      <c r="N816">
        <f>IFERROR(IF(Table3[[#This Row],[Quantity]]*Table3[[#This Row],[Unit Price]]&lt;0, "N/A", Table3[[#This Row],[Quantity]]*Table3[[#This Row],[Unit Price]]), "N/A")</f>
        <v>315000</v>
      </c>
      <c r="O816">
        <f>IFERROR(Table3[[#This Row],[Unit Price]]*Table3[[#This Row],[Return Qty]], "N/A")</f>
        <v>105000</v>
      </c>
      <c r="P816">
        <f>IFERROR(IF((Table3[[#This Row],[Revenue before return]]-Table3[[#This Row],[Amount of order  returned]])&lt;0, "N/A", Table3[[#This Row],[Revenue before return]]-Table3[[#This Row],[Amount of order  returned]]), "N/A")</f>
        <v>210000</v>
      </c>
      <c r="Q81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17" spans="1:17" x14ac:dyDescent="0.2">
      <c r="A817" t="s">
        <v>1198</v>
      </c>
      <c r="B817" t="s">
        <v>14</v>
      </c>
      <c r="C817" t="s">
        <v>70</v>
      </c>
      <c r="D817" s="6">
        <v>20</v>
      </c>
      <c r="E817" s="5">
        <v>28000</v>
      </c>
      <c r="F817" t="s">
        <v>35</v>
      </c>
      <c r="G817" s="7">
        <v>46130</v>
      </c>
      <c r="H817" s="5">
        <v>2</v>
      </c>
      <c r="I81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17" t="b">
        <f>((ISNUMBER(Table3[[#This Row],[Quantity]]) )* (Table3[[#This Row],[Quantity]]&gt;0))=1</f>
        <v>1</v>
      </c>
      <c r="K817" t="b">
        <f>((Table3[[#This Row],[Quantity]]&gt;=Table3[[#This Row],[Return Qty]])*(ISNUMBER(Table3[[#This Row],[Quantity]])))=1</f>
        <v>1</v>
      </c>
      <c r="L817" t="b">
        <f>ISNUMBER(Table3[[#This Row],[Unit Price]])</f>
        <v>1</v>
      </c>
      <c r="M817" t="b">
        <f>ISNUMBER(Table3[[#This Row],[Order Date]])</f>
        <v>1</v>
      </c>
      <c r="N817">
        <f>IFERROR(IF(Table3[[#This Row],[Quantity]]*Table3[[#This Row],[Unit Price]]&lt;0, "N/A", Table3[[#This Row],[Quantity]]*Table3[[#This Row],[Unit Price]]), "N/A")</f>
        <v>560000</v>
      </c>
      <c r="O817">
        <f>IFERROR(Table3[[#This Row],[Unit Price]]*Table3[[#This Row],[Return Qty]], "N/A")</f>
        <v>56000</v>
      </c>
      <c r="P817">
        <f>IFERROR(IF((Table3[[#This Row],[Revenue before return]]-Table3[[#This Row],[Amount of order  returned]])&lt;0, "N/A", Table3[[#This Row],[Revenue before return]]-Table3[[#This Row],[Amount of order  returned]]), "N/A")</f>
        <v>504000</v>
      </c>
      <c r="Q81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18" spans="1:17" x14ac:dyDescent="0.2">
      <c r="A818" t="s">
        <v>1199</v>
      </c>
      <c r="B818" t="s">
        <v>21</v>
      </c>
      <c r="C818" t="s">
        <v>22</v>
      </c>
      <c r="D818" s="6">
        <v>7</v>
      </c>
      <c r="E818" s="5">
        <v>35000</v>
      </c>
      <c r="F818" t="s">
        <v>630</v>
      </c>
      <c r="G818" s="7">
        <v>46190</v>
      </c>
      <c r="H818" s="5">
        <v>3</v>
      </c>
      <c r="I81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18" t="b">
        <f>((ISNUMBER(Table3[[#This Row],[Quantity]]) )* (Table3[[#This Row],[Quantity]]&gt;0))=1</f>
        <v>1</v>
      </c>
      <c r="K818" t="b">
        <f>((Table3[[#This Row],[Quantity]]&gt;=Table3[[#This Row],[Return Qty]])*(ISNUMBER(Table3[[#This Row],[Quantity]])))=1</f>
        <v>1</v>
      </c>
      <c r="L818" t="b">
        <f>ISNUMBER(Table3[[#This Row],[Unit Price]])</f>
        <v>1</v>
      </c>
      <c r="M818" t="b">
        <f>ISNUMBER(Table3[[#This Row],[Order Date]])</f>
        <v>1</v>
      </c>
      <c r="N818">
        <f>IFERROR(IF(Table3[[#This Row],[Quantity]]*Table3[[#This Row],[Unit Price]]&lt;0, "N/A", Table3[[#This Row],[Quantity]]*Table3[[#This Row],[Unit Price]]), "N/A")</f>
        <v>245000</v>
      </c>
      <c r="O818">
        <f>IFERROR(Table3[[#This Row],[Unit Price]]*Table3[[#This Row],[Return Qty]], "N/A")</f>
        <v>105000</v>
      </c>
      <c r="P818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81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19" spans="1:17" x14ac:dyDescent="0.2">
      <c r="A819" t="s">
        <v>1200</v>
      </c>
      <c r="B819" t="s">
        <v>9</v>
      </c>
      <c r="C819" t="s">
        <v>32</v>
      </c>
      <c r="D819" s="6">
        <v>25</v>
      </c>
      <c r="E819" s="5">
        <v>8000</v>
      </c>
      <c r="F819" t="s">
        <v>287</v>
      </c>
      <c r="G819" s="7">
        <v>46079</v>
      </c>
      <c r="H819" s="5">
        <v>4</v>
      </c>
      <c r="I81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19" t="b">
        <f>((ISNUMBER(Table3[[#This Row],[Quantity]]) )* (Table3[[#This Row],[Quantity]]&gt;0))=1</f>
        <v>1</v>
      </c>
      <c r="K819" t="b">
        <f>((Table3[[#This Row],[Quantity]]&gt;=Table3[[#This Row],[Return Qty]])*(ISNUMBER(Table3[[#This Row],[Quantity]])))=1</f>
        <v>1</v>
      </c>
      <c r="L819" t="b">
        <f>ISNUMBER(Table3[[#This Row],[Unit Price]])</f>
        <v>1</v>
      </c>
      <c r="M819" t="b">
        <f>ISNUMBER(Table3[[#This Row],[Order Date]])</f>
        <v>1</v>
      </c>
      <c r="N819">
        <f>IFERROR(IF(Table3[[#This Row],[Quantity]]*Table3[[#This Row],[Unit Price]]&lt;0, "N/A", Table3[[#This Row],[Quantity]]*Table3[[#This Row],[Unit Price]]), "N/A")</f>
        <v>200000</v>
      </c>
      <c r="O819">
        <f>IFERROR(Table3[[#This Row],[Unit Price]]*Table3[[#This Row],[Return Qty]], "N/A")</f>
        <v>32000</v>
      </c>
      <c r="P819">
        <f>IFERROR(IF((Table3[[#This Row],[Revenue before return]]-Table3[[#This Row],[Amount of order  returned]])&lt;0, "N/A", Table3[[#This Row],[Revenue before return]]-Table3[[#This Row],[Amount of order  returned]]), "N/A")</f>
        <v>168000</v>
      </c>
      <c r="Q81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20" spans="1:17" x14ac:dyDescent="0.2">
      <c r="A820" t="s">
        <v>1201</v>
      </c>
      <c r="B820" t="s">
        <v>14</v>
      </c>
      <c r="C820" t="s">
        <v>45</v>
      </c>
      <c r="D820" s="6">
        <v>2</v>
      </c>
      <c r="E820" s="5">
        <v>20000</v>
      </c>
      <c r="F820" t="s">
        <v>379</v>
      </c>
      <c r="G820" s="7">
        <v>46120</v>
      </c>
      <c r="H820" s="5">
        <v>0</v>
      </c>
      <c r="I82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20" t="b">
        <f>((ISNUMBER(Table3[[#This Row],[Quantity]]) )* (Table3[[#This Row],[Quantity]]&gt;0))=1</f>
        <v>1</v>
      </c>
      <c r="K820" t="b">
        <f>((Table3[[#This Row],[Quantity]]&gt;=Table3[[#This Row],[Return Qty]])*(ISNUMBER(Table3[[#This Row],[Quantity]])))=1</f>
        <v>1</v>
      </c>
      <c r="L820" t="b">
        <f>ISNUMBER(Table3[[#This Row],[Unit Price]])</f>
        <v>1</v>
      </c>
      <c r="M820" t="b">
        <f>ISNUMBER(Table3[[#This Row],[Order Date]])</f>
        <v>1</v>
      </c>
      <c r="N820">
        <f>IFERROR(IF(Table3[[#This Row],[Quantity]]*Table3[[#This Row],[Unit Price]]&lt;0, "N/A", Table3[[#This Row],[Quantity]]*Table3[[#This Row],[Unit Price]]), "N/A")</f>
        <v>40000</v>
      </c>
      <c r="O820">
        <f>IFERROR(Table3[[#This Row],[Unit Price]]*Table3[[#This Row],[Return Qty]], "N/A")</f>
        <v>0</v>
      </c>
      <c r="P820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82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21" spans="1:17" x14ac:dyDescent="0.2">
      <c r="A821" t="s">
        <v>1202</v>
      </c>
      <c r="B821" t="s">
        <v>9</v>
      </c>
      <c r="C821" t="s">
        <v>39</v>
      </c>
      <c r="D821" s="6">
        <v>10</v>
      </c>
      <c r="E821" s="5">
        <v>24000</v>
      </c>
      <c r="F821" t="s">
        <v>1203</v>
      </c>
      <c r="G821" s="7">
        <v>46092</v>
      </c>
      <c r="H821" s="5">
        <v>2</v>
      </c>
      <c r="I82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21" t="b">
        <f>((ISNUMBER(Table3[[#This Row],[Quantity]]) )* (Table3[[#This Row],[Quantity]]&gt;0))=1</f>
        <v>1</v>
      </c>
      <c r="K821" t="b">
        <f>((Table3[[#This Row],[Quantity]]&gt;=Table3[[#This Row],[Return Qty]])*(ISNUMBER(Table3[[#This Row],[Quantity]])))=1</f>
        <v>1</v>
      </c>
      <c r="L821" t="b">
        <f>ISNUMBER(Table3[[#This Row],[Unit Price]])</f>
        <v>1</v>
      </c>
      <c r="M821" t="b">
        <f>ISNUMBER(Table3[[#This Row],[Order Date]])</f>
        <v>1</v>
      </c>
      <c r="N821">
        <f>IFERROR(IF(Table3[[#This Row],[Quantity]]*Table3[[#This Row],[Unit Price]]&lt;0, "N/A", Table3[[#This Row],[Quantity]]*Table3[[#This Row],[Unit Price]]), "N/A")</f>
        <v>240000</v>
      </c>
      <c r="O821">
        <f>IFERROR(Table3[[#This Row],[Unit Price]]*Table3[[#This Row],[Return Qty]], "N/A")</f>
        <v>48000</v>
      </c>
      <c r="P821">
        <f>IFERROR(IF((Table3[[#This Row],[Revenue before return]]-Table3[[#This Row],[Amount of order  returned]])&lt;0, "N/A", Table3[[#This Row],[Revenue before return]]-Table3[[#This Row],[Amount of order  returned]]), "N/A")</f>
        <v>192000</v>
      </c>
      <c r="Q82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22" spans="1:17" x14ac:dyDescent="0.2">
      <c r="A822" t="s">
        <v>1204</v>
      </c>
      <c r="B822" t="s">
        <v>14</v>
      </c>
      <c r="C822" t="s">
        <v>45</v>
      </c>
      <c r="D822" s="6">
        <v>8</v>
      </c>
      <c r="E822" s="5">
        <v>20000</v>
      </c>
      <c r="F822" t="s">
        <v>177</v>
      </c>
      <c r="G822" s="7">
        <v>46146</v>
      </c>
      <c r="H822" s="5">
        <v>0</v>
      </c>
      <c r="I82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22" t="b">
        <f>((ISNUMBER(Table3[[#This Row],[Quantity]]) )* (Table3[[#This Row],[Quantity]]&gt;0))=1</f>
        <v>1</v>
      </c>
      <c r="K822" t="b">
        <f>((Table3[[#This Row],[Quantity]]&gt;=Table3[[#This Row],[Return Qty]])*(ISNUMBER(Table3[[#This Row],[Quantity]])))=1</f>
        <v>1</v>
      </c>
      <c r="L822" t="b">
        <f>ISNUMBER(Table3[[#This Row],[Unit Price]])</f>
        <v>1</v>
      </c>
      <c r="M822" t="b">
        <f>ISNUMBER(Table3[[#This Row],[Order Date]])</f>
        <v>1</v>
      </c>
      <c r="N822">
        <f>IFERROR(IF(Table3[[#This Row],[Quantity]]*Table3[[#This Row],[Unit Price]]&lt;0, "N/A", Table3[[#This Row],[Quantity]]*Table3[[#This Row],[Unit Price]]), "N/A")</f>
        <v>160000</v>
      </c>
      <c r="O822">
        <f>IFERROR(Table3[[#This Row],[Unit Price]]*Table3[[#This Row],[Return Qty]], "N/A")</f>
        <v>0</v>
      </c>
      <c r="P822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82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23" spans="1:17" x14ac:dyDescent="0.2">
      <c r="A823" t="s">
        <v>1205</v>
      </c>
      <c r="B823" t="s">
        <v>14</v>
      </c>
      <c r="C823" t="s">
        <v>22</v>
      </c>
      <c r="D823" s="6">
        <v>18</v>
      </c>
      <c r="E823" s="5">
        <v>35000</v>
      </c>
      <c r="F823" t="s">
        <v>795</v>
      </c>
      <c r="G823" s="7">
        <v>46146</v>
      </c>
      <c r="H823" s="5">
        <v>0</v>
      </c>
      <c r="I82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23" t="b">
        <f>((ISNUMBER(Table3[[#This Row],[Quantity]]) )* (Table3[[#This Row],[Quantity]]&gt;0))=1</f>
        <v>1</v>
      </c>
      <c r="K823" t="b">
        <f>((Table3[[#This Row],[Quantity]]&gt;=Table3[[#This Row],[Return Qty]])*(ISNUMBER(Table3[[#This Row],[Quantity]])))=1</f>
        <v>1</v>
      </c>
      <c r="L823" t="b">
        <f>ISNUMBER(Table3[[#This Row],[Unit Price]])</f>
        <v>1</v>
      </c>
      <c r="M823" t="b">
        <f>ISNUMBER(Table3[[#This Row],[Order Date]])</f>
        <v>1</v>
      </c>
      <c r="N823">
        <f>IFERROR(IF(Table3[[#This Row],[Quantity]]*Table3[[#This Row],[Unit Price]]&lt;0, "N/A", Table3[[#This Row],[Quantity]]*Table3[[#This Row],[Unit Price]]), "N/A")</f>
        <v>630000</v>
      </c>
      <c r="O823">
        <f>IFERROR(Table3[[#This Row],[Unit Price]]*Table3[[#This Row],[Return Qty]], "N/A")</f>
        <v>0</v>
      </c>
      <c r="P823">
        <f>IFERROR(IF((Table3[[#This Row],[Revenue before return]]-Table3[[#This Row],[Amount of order  returned]])&lt;0, "N/A", Table3[[#This Row],[Revenue before return]]-Table3[[#This Row],[Amount of order  returned]]), "N/A")</f>
        <v>630000</v>
      </c>
      <c r="Q82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24" spans="1:17" x14ac:dyDescent="0.2">
      <c r="A824" t="s">
        <v>1206</v>
      </c>
      <c r="B824" t="s">
        <v>25</v>
      </c>
      <c r="C824" t="s">
        <v>10</v>
      </c>
      <c r="D824" s="6">
        <v>1</v>
      </c>
      <c r="E824" s="5">
        <v>15000</v>
      </c>
      <c r="F824" t="s">
        <v>812</v>
      </c>
      <c r="G824" s="7">
        <v>46119</v>
      </c>
      <c r="H824" s="5">
        <v>0</v>
      </c>
      <c r="I82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24" t="b">
        <f>((ISNUMBER(Table3[[#This Row],[Quantity]]) )* (Table3[[#This Row],[Quantity]]&gt;0))=1</f>
        <v>1</v>
      </c>
      <c r="K824" t="b">
        <f>((Table3[[#This Row],[Quantity]]&gt;=Table3[[#This Row],[Return Qty]])*(ISNUMBER(Table3[[#This Row],[Quantity]])))=1</f>
        <v>1</v>
      </c>
      <c r="L824" t="b">
        <f>ISNUMBER(Table3[[#This Row],[Unit Price]])</f>
        <v>1</v>
      </c>
      <c r="M824" t="b">
        <f>ISNUMBER(Table3[[#This Row],[Order Date]])</f>
        <v>1</v>
      </c>
      <c r="N824">
        <f>IFERROR(IF(Table3[[#This Row],[Quantity]]*Table3[[#This Row],[Unit Price]]&lt;0, "N/A", Table3[[#This Row],[Quantity]]*Table3[[#This Row],[Unit Price]]), "N/A")</f>
        <v>15000</v>
      </c>
      <c r="O824">
        <f>IFERROR(Table3[[#This Row],[Unit Price]]*Table3[[#This Row],[Return Qty]], "N/A")</f>
        <v>0</v>
      </c>
      <c r="P824">
        <f>IFERROR(IF((Table3[[#This Row],[Revenue before return]]-Table3[[#This Row],[Amount of order  returned]])&lt;0, "N/A", Table3[[#This Row],[Revenue before return]]-Table3[[#This Row],[Amount of order  returned]]), "N/A")</f>
        <v>15000</v>
      </c>
      <c r="Q82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25" spans="1:17" x14ac:dyDescent="0.2">
      <c r="A825" t="s">
        <v>1207</v>
      </c>
      <c r="B825" t="s">
        <v>9</v>
      </c>
      <c r="C825" t="s">
        <v>10</v>
      </c>
      <c r="D825" s="6">
        <v>20</v>
      </c>
      <c r="E825" s="5">
        <v>15000</v>
      </c>
      <c r="F825" t="s">
        <v>523</v>
      </c>
      <c r="G825" s="7">
        <v>46052</v>
      </c>
      <c r="H825" s="5">
        <v>4</v>
      </c>
      <c r="I82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25" t="b">
        <f>((ISNUMBER(Table3[[#This Row],[Quantity]]) )* (Table3[[#This Row],[Quantity]]&gt;0))=1</f>
        <v>1</v>
      </c>
      <c r="K825" t="b">
        <f>((Table3[[#This Row],[Quantity]]&gt;=Table3[[#This Row],[Return Qty]])*(ISNUMBER(Table3[[#This Row],[Quantity]])))=1</f>
        <v>1</v>
      </c>
      <c r="L825" t="b">
        <f>ISNUMBER(Table3[[#This Row],[Unit Price]])</f>
        <v>1</v>
      </c>
      <c r="M825" t="b">
        <f>ISNUMBER(Table3[[#This Row],[Order Date]])</f>
        <v>1</v>
      </c>
      <c r="N825">
        <f>IFERROR(IF(Table3[[#This Row],[Quantity]]*Table3[[#This Row],[Unit Price]]&lt;0, "N/A", Table3[[#This Row],[Quantity]]*Table3[[#This Row],[Unit Price]]), "N/A")</f>
        <v>300000</v>
      </c>
      <c r="O825">
        <f>IFERROR(Table3[[#This Row],[Unit Price]]*Table3[[#This Row],[Return Qty]], "N/A")</f>
        <v>60000</v>
      </c>
      <c r="P825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82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26" spans="1:17" x14ac:dyDescent="0.2">
      <c r="A826" t="s">
        <v>1208</v>
      </c>
      <c r="B826" t="s">
        <v>21</v>
      </c>
      <c r="C826" t="s">
        <v>10</v>
      </c>
      <c r="D826" s="6">
        <v>6</v>
      </c>
      <c r="E826" s="5">
        <v>15000</v>
      </c>
      <c r="F826" t="s">
        <v>601</v>
      </c>
      <c r="G826" s="7">
        <v>46096</v>
      </c>
      <c r="H826" s="5">
        <v>0</v>
      </c>
      <c r="I82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26" t="b">
        <f>((ISNUMBER(Table3[[#This Row],[Quantity]]) )* (Table3[[#This Row],[Quantity]]&gt;0))=1</f>
        <v>1</v>
      </c>
      <c r="K826" t="b">
        <f>((Table3[[#This Row],[Quantity]]&gt;=Table3[[#This Row],[Return Qty]])*(ISNUMBER(Table3[[#This Row],[Quantity]])))=1</f>
        <v>1</v>
      </c>
      <c r="L826" t="b">
        <f>ISNUMBER(Table3[[#This Row],[Unit Price]])</f>
        <v>1</v>
      </c>
      <c r="M826" t="b">
        <f>ISNUMBER(Table3[[#This Row],[Order Date]])</f>
        <v>1</v>
      </c>
      <c r="N826">
        <f>IFERROR(IF(Table3[[#This Row],[Quantity]]*Table3[[#This Row],[Unit Price]]&lt;0, "N/A", Table3[[#This Row],[Quantity]]*Table3[[#This Row],[Unit Price]]), "N/A")</f>
        <v>90000</v>
      </c>
      <c r="O826">
        <f>IFERROR(Table3[[#This Row],[Unit Price]]*Table3[[#This Row],[Return Qty]], "N/A")</f>
        <v>0</v>
      </c>
      <c r="P826">
        <f>IFERROR(IF((Table3[[#This Row],[Revenue before return]]-Table3[[#This Row],[Amount of order  returned]])&lt;0, "N/A", Table3[[#This Row],[Revenue before return]]-Table3[[#This Row],[Amount of order  returned]]), "N/A")</f>
        <v>90000</v>
      </c>
      <c r="Q82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27" spans="1:17" x14ac:dyDescent="0.2">
      <c r="A827" t="s">
        <v>1209</v>
      </c>
      <c r="B827" t="s">
        <v>136</v>
      </c>
      <c r="C827" t="s">
        <v>70</v>
      </c>
      <c r="D827" s="6">
        <v>4</v>
      </c>
      <c r="E827" s="5">
        <v>28000</v>
      </c>
      <c r="F827" t="s">
        <v>249</v>
      </c>
      <c r="G827" s="7">
        <v>46028</v>
      </c>
      <c r="H827" s="5">
        <v>0</v>
      </c>
      <c r="I82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27" t="b">
        <f>((ISNUMBER(Table3[[#This Row],[Quantity]]) )* (Table3[[#This Row],[Quantity]]&gt;0))=1</f>
        <v>1</v>
      </c>
      <c r="K827" t="b">
        <f>((Table3[[#This Row],[Quantity]]&gt;=Table3[[#This Row],[Return Qty]])*(ISNUMBER(Table3[[#This Row],[Quantity]])))=1</f>
        <v>1</v>
      </c>
      <c r="L827" t="b">
        <f>ISNUMBER(Table3[[#This Row],[Unit Price]])</f>
        <v>1</v>
      </c>
      <c r="M827" t="b">
        <f>ISNUMBER(Table3[[#This Row],[Order Date]])</f>
        <v>1</v>
      </c>
      <c r="N827">
        <f>IFERROR(IF(Table3[[#This Row],[Quantity]]*Table3[[#This Row],[Unit Price]]&lt;0, "N/A", Table3[[#This Row],[Quantity]]*Table3[[#This Row],[Unit Price]]), "N/A")</f>
        <v>112000</v>
      </c>
      <c r="O827">
        <f>IFERROR(Table3[[#This Row],[Unit Price]]*Table3[[#This Row],[Return Qty]], "N/A")</f>
        <v>0</v>
      </c>
      <c r="P827">
        <f>IFERROR(IF((Table3[[#This Row],[Revenue before return]]-Table3[[#This Row],[Amount of order  returned]])&lt;0, "N/A", Table3[[#This Row],[Revenue before return]]-Table3[[#This Row],[Amount of order  returned]]), "N/A")</f>
        <v>112000</v>
      </c>
      <c r="Q82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28" spans="1:17" x14ac:dyDescent="0.2">
      <c r="A828" t="s">
        <v>1210</v>
      </c>
      <c r="B828" t="s">
        <v>14</v>
      </c>
      <c r="C828" t="s">
        <v>10</v>
      </c>
      <c r="D828" s="6">
        <v>15</v>
      </c>
      <c r="E828" s="5">
        <v>15000</v>
      </c>
      <c r="F828" t="s">
        <v>169</v>
      </c>
      <c r="G828" s="7">
        <v>46182</v>
      </c>
      <c r="H828" s="5">
        <v>0</v>
      </c>
      <c r="I82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28" t="b">
        <f>((ISNUMBER(Table3[[#This Row],[Quantity]]) )* (Table3[[#This Row],[Quantity]]&gt;0))=1</f>
        <v>1</v>
      </c>
      <c r="K828" t="b">
        <f>((Table3[[#This Row],[Quantity]]&gt;=Table3[[#This Row],[Return Qty]])*(ISNUMBER(Table3[[#This Row],[Quantity]])))=1</f>
        <v>1</v>
      </c>
      <c r="L828" t="b">
        <f>ISNUMBER(Table3[[#This Row],[Unit Price]])</f>
        <v>1</v>
      </c>
      <c r="M828" t="b">
        <f>ISNUMBER(Table3[[#This Row],[Order Date]])</f>
        <v>1</v>
      </c>
      <c r="N828">
        <f>IFERROR(IF(Table3[[#This Row],[Quantity]]*Table3[[#This Row],[Unit Price]]&lt;0, "N/A", Table3[[#This Row],[Quantity]]*Table3[[#This Row],[Unit Price]]), "N/A")</f>
        <v>225000</v>
      </c>
      <c r="O828">
        <f>IFERROR(Table3[[#This Row],[Unit Price]]*Table3[[#This Row],[Return Qty]], "N/A")</f>
        <v>0</v>
      </c>
      <c r="P828">
        <f>IFERROR(IF((Table3[[#This Row],[Revenue before return]]-Table3[[#This Row],[Amount of order  returned]])&lt;0, "N/A", Table3[[#This Row],[Revenue before return]]-Table3[[#This Row],[Amount of order  returned]]), "N/A")</f>
        <v>225000</v>
      </c>
      <c r="Q82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29" spans="1:17" x14ac:dyDescent="0.2">
      <c r="A829" t="s">
        <v>1211</v>
      </c>
      <c r="B829" t="s">
        <v>14</v>
      </c>
      <c r="C829" t="s">
        <v>70</v>
      </c>
      <c r="D829" s="6">
        <v>-3</v>
      </c>
      <c r="E829" s="5">
        <v>28000</v>
      </c>
      <c r="F829" t="s">
        <v>507</v>
      </c>
      <c r="G829" s="7">
        <v>46108</v>
      </c>
      <c r="H829" s="5">
        <v>0</v>
      </c>
      <c r="I82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29" t="b">
        <f>((ISNUMBER(Table3[[#This Row],[Quantity]]) )* (Table3[[#This Row],[Quantity]]&gt;0))=1</f>
        <v>0</v>
      </c>
      <c r="K829" t="b">
        <f>((Table3[[#This Row],[Quantity]]&gt;=Table3[[#This Row],[Return Qty]])*(ISNUMBER(Table3[[#This Row],[Quantity]])))=1</f>
        <v>0</v>
      </c>
      <c r="L829" t="b">
        <f>ISNUMBER(Table3[[#This Row],[Unit Price]])</f>
        <v>1</v>
      </c>
      <c r="M829" t="b">
        <f>ISNUMBER(Table3[[#This Row],[Order Date]])</f>
        <v>1</v>
      </c>
      <c r="N829" t="str">
        <f>IFERROR(IF(Table3[[#This Row],[Quantity]]*Table3[[#This Row],[Unit Price]]&lt;0, "N/A", Table3[[#This Row],[Quantity]]*Table3[[#This Row],[Unit Price]]), "N/A")</f>
        <v>N/A</v>
      </c>
      <c r="O829">
        <f>IFERROR(Table3[[#This Row],[Unit Price]]*Table3[[#This Row],[Return Qty]], "N/A")</f>
        <v>0</v>
      </c>
      <c r="P829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82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830" spans="1:17" x14ac:dyDescent="0.2">
      <c r="A830" t="s">
        <v>1212</v>
      </c>
      <c r="B830" t="s">
        <v>14</v>
      </c>
      <c r="C830" t="s">
        <v>26</v>
      </c>
      <c r="D830" s="6">
        <v>1</v>
      </c>
      <c r="E830" s="5">
        <v>20000</v>
      </c>
      <c r="F830" t="s">
        <v>416</v>
      </c>
      <c r="G830" s="7">
        <v>46191</v>
      </c>
      <c r="H830" s="5">
        <v>0</v>
      </c>
      <c r="I83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30" t="b">
        <f>((ISNUMBER(Table3[[#This Row],[Quantity]]) )* (Table3[[#This Row],[Quantity]]&gt;0))=1</f>
        <v>1</v>
      </c>
      <c r="K830" t="b">
        <f>((Table3[[#This Row],[Quantity]]&gt;=Table3[[#This Row],[Return Qty]])*(ISNUMBER(Table3[[#This Row],[Quantity]])))=1</f>
        <v>1</v>
      </c>
      <c r="L830" t="b">
        <f>ISNUMBER(Table3[[#This Row],[Unit Price]])</f>
        <v>1</v>
      </c>
      <c r="M830" t="b">
        <f>ISNUMBER(Table3[[#This Row],[Order Date]])</f>
        <v>1</v>
      </c>
      <c r="N830">
        <f>IFERROR(IF(Table3[[#This Row],[Quantity]]*Table3[[#This Row],[Unit Price]]&lt;0, "N/A", Table3[[#This Row],[Quantity]]*Table3[[#This Row],[Unit Price]]), "N/A")</f>
        <v>20000</v>
      </c>
      <c r="O830">
        <f>IFERROR(Table3[[#This Row],[Unit Price]]*Table3[[#This Row],[Return Qty]], "N/A")</f>
        <v>0</v>
      </c>
      <c r="P830">
        <f>IFERROR(IF((Table3[[#This Row],[Revenue before return]]-Table3[[#This Row],[Amount of order  returned]])&lt;0, "N/A", Table3[[#This Row],[Revenue before return]]-Table3[[#This Row],[Amount of order  returned]]), "N/A")</f>
        <v>20000</v>
      </c>
      <c r="Q83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31" spans="1:17" x14ac:dyDescent="0.2">
      <c r="A831" t="s">
        <v>1213</v>
      </c>
      <c r="B831" t="s">
        <v>21</v>
      </c>
      <c r="C831" t="s">
        <v>70</v>
      </c>
      <c r="D831" s="6">
        <v>18</v>
      </c>
      <c r="E831" s="5">
        <v>28000</v>
      </c>
      <c r="F831" t="s">
        <v>175</v>
      </c>
      <c r="G831" s="7">
        <v>46026</v>
      </c>
      <c r="H831" s="5">
        <v>0</v>
      </c>
      <c r="I83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31" t="b">
        <f>((ISNUMBER(Table3[[#This Row],[Quantity]]) )* (Table3[[#This Row],[Quantity]]&gt;0))=1</f>
        <v>1</v>
      </c>
      <c r="K831" t="b">
        <f>((Table3[[#This Row],[Quantity]]&gt;=Table3[[#This Row],[Return Qty]])*(ISNUMBER(Table3[[#This Row],[Quantity]])))=1</f>
        <v>1</v>
      </c>
      <c r="L831" t="b">
        <f>ISNUMBER(Table3[[#This Row],[Unit Price]])</f>
        <v>1</v>
      </c>
      <c r="M831" t="b">
        <f>ISNUMBER(Table3[[#This Row],[Order Date]])</f>
        <v>1</v>
      </c>
      <c r="N831">
        <f>IFERROR(IF(Table3[[#This Row],[Quantity]]*Table3[[#This Row],[Unit Price]]&lt;0, "N/A", Table3[[#This Row],[Quantity]]*Table3[[#This Row],[Unit Price]]), "N/A")</f>
        <v>504000</v>
      </c>
      <c r="O831">
        <f>IFERROR(Table3[[#This Row],[Unit Price]]*Table3[[#This Row],[Return Qty]], "N/A")</f>
        <v>0</v>
      </c>
      <c r="P831">
        <f>IFERROR(IF((Table3[[#This Row],[Revenue before return]]-Table3[[#This Row],[Amount of order  returned]])&lt;0, "N/A", Table3[[#This Row],[Revenue before return]]-Table3[[#This Row],[Amount of order  returned]]), "N/A")</f>
        <v>504000</v>
      </c>
      <c r="Q83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32" spans="1:17" x14ac:dyDescent="0.2">
      <c r="A832" t="s">
        <v>1215</v>
      </c>
      <c r="B832" t="s">
        <v>14</v>
      </c>
      <c r="C832" t="s">
        <v>32</v>
      </c>
      <c r="D832" s="6">
        <v>4</v>
      </c>
      <c r="E832" s="5">
        <v>4000</v>
      </c>
      <c r="F832" t="s">
        <v>222</v>
      </c>
      <c r="G832" s="7">
        <v>46097</v>
      </c>
      <c r="H832" s="5">
        <v>0</v>
      </c>
      <c r="I83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32" t="b">
        <f>((ISNUMBER(Table3[[#This Row],[Quantity]]) )* (Table3[[#This Row],[Quantity]]&gt;0))=1</f>
        <v>1</v>
      </c>
      <c r="K832" t="b">
        <f>((Table3[[#This Row],[Quantity]]&gt;=Table3[[#This Row],[Return Qty]])*(ISNUMBER(Table3[[#This Row],[Quantity]])))=1</f>
        <v>1</v>
      </c>
      <c r="L832" t="b">
        <f>ISNUMBER(Table3[[#This Row],[Unit Price]])</f>
        <v>1</v>
      </c>
      <c r="M832" t="b">
        <f>ISNUMBER(Table3[[#This Row],[Order Date]])</f>
        <v>1</v>
      </c>
      <c r="N832">
        <f>IFERROR(IF(Table3[[#This Row],[Quantity]]*Table3[[#This Row],[Unit Price]]&lt;0, "N/A", Table3[[#This Row],[Quantity]]*Table3[[#This Row],[Unit Price]]), "N/A")</f>
        <v>16000</v>
      </c>
      <c r="O832">
        <f>IFERROR(Table3[[#This Row],[Unit Price]]*Table3[[#This Row],[Return Qty]], "N/A")</f>
        <v>0</v>
      </c>
      <c r="P832">
        <f>IFERROR(IF((Table3[[#This Row],[Revenue before return]]-Table3[[#This Row],[Amount of order  returned]])&lt;0, "N/A", Table3[[#This Row],[Revenue before return]]-Table3[[#This Row],[Amount of order  returned]]), "N/A")</f>
        <v>16000</v>
      </c>
      <c r="Q83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33" spans="1:17" x14ac:dyDescent="0.2">
      <c r="A833" t="s">
        <v>1216</v>
      </c>
      <c r="B833" t="s">
        <v>14</v>
      </c>
      <c r="C833" t="s">
        <v>18</v>
      </c>
      <c r="D833" s="6">
        <v>19</v>
      </c>
      <c r="E833" s="5">
        <v>50000</v>
      </c>
      <c r="F833" t="s">
        <v>646</v>
      </c>
      <c r="G833" s="7">
        <v>46038</v>
      </c>
      <c r="H833" s="5">
        <v>0</v>
      </c>
      <c r="I83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33" t="b">
        <f>((ISNUMBER(Table3[[#This Row],[Quantity]]) )* (Table3[[#This Row],[Quantity]]&gt;0))=1</f>
        <v>1</v>
      </c>
      <c r="K833" t="b">
        <f>((Table3[[#This Row],[Quantity]]&gt;=Table3[[#This Row],[Return Qty]])*(ISNUMBER(Table3[[#This Row],[Quantity]])))=1</f>
        <v>1</v>
      </c>
      <c r="L833" t="b">
        <f>ISNUMBER(Table3[[#This Row],[Unit Price]])</f>
        <v>1</v>
      </c>
      <c r="M833" t="b">
        <f>ISNUMBER(Table3[[#This Row],[Order Date]])</f>
        <v>1</v>
      </c>
      <c r="N833">
        <f>IFERROR(IF(Table3[[#This Row],[Quantity]]*Table3[[#This Row],[Unit Price]]&lt;0, "N/A", Table3[[#This Row],[Quantity]]*Table3[[#This Row],[Unit Price]]), "N/A")</f>
        <v>950000</v>
      </c>
      <c r="O833">
        <f>IFERROR(Table3[[#This Row],[Unit Price]]*Table3[[#This Row],[Return Qty]], "N/A")</f>
        <v>0</v>
      </c>
      <c r="P833">
        <f>IFERROR(IF((Table3[[#This Row],[Revenue before return]]-Table3[[#This Row],[Amount of order  returned]])&lt;0, "N/A", Table3[[#This Row],[Revenue before return]]-Table3[[#This Row],[Amount of order  returned]]), "N/A")</f>
        <v>950000</v>
      </c>
      <c r="Q83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34" spans="1:17" x14ac:dyDescent="0.2">
      <c r="A834" t="s">
        <v>1217</v>
      </c>
      <c r="B834" t="s">
        <v>9</v>
      </c>
      <c r="C834" t="s">
        <v>70</v>
      </c>
      <c r="D834" s="6">
        <v>9</v>
      </c>
      <c r="E834" s="5">
        <v>28000</v>
      </c>
      <c r="F834" t="s">
        <v>230</v>
      </c>
      <c r="G834" s="7">
        <v>46107</v>
      </c>
      <c r="H834" s="5">
        <v>0</v>
      </c>
      <c r="I83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34" t="b">
        <f>((ISNUMBER(Table3[[#This Row],[Quantity]]) )* (Table3[[#This Row],[Quantity]]&gt;0))=1</f>
        <v>1</v>
      </c>
      <c r="K834" t="b">
        <f>((Table3[[#This Row],[Quantity]]&gt;=Table3[[#This Row],[Return Qty]])*(ISNUMBER(Table3[[#This Row],[Quantity]])))=1</f>
        <v>1</v>
      </c>
      <c r="L834" t="b">
        <f>ISNUMBER(Table3[[#This Row],[Unit Price]])</f>
        <v>1</v>
      </c>
      <c r="M834" t="b">
        <f>ISNUMBER(Table3[[#This Row],[Order Date]])</f>
        <v>1</v>
      </c>
      <c r="N834">
        <f>IFERROR(IF(Table3[[#This Row],[Quantity]]*Table3[[#This Row],[Unit Price]]&lt;0, "N/A", Table3[[#This Row],[Quantity]]*Table3[[#This Row],[Unit Price]]), "N/A")</f>
        <v>252000</v>
      </c>
      <c r="O834">
        <f>IFERROR(Table3[[#This Row],[Unit Price]]*Table3[[#This Row],[Return Qty]], "N/A")</f>
        <v>0</v>
      </c>
      <c r="P834">
        <f>IFERROR(IF((Table3[[#This Row],[Revenue before return]]-Table3[[#This Row],[Amount of order  returned]])&lt;0, "N/A", Table3[[#This Row],[Revenue before return]]-Table3[[#This Row],[Amount of order  returned]]), "N/A")</f>
        <v>252000</v>
      </c>
      <c r="Q83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35" spans="1:17" x14ac:dyDescent="0.2">
      <c r="A835" t="s">
        <v>1218</v>
      </c>
      <c r="B835" t="s">
        <v>21</v>
      </c>
      <c r="C835" t="s">
        <v>26</v>
      </c>
      <c r="D835" s="6">
        <v>20</v>
      </c>
      <c r="E835" s="5">
        <v>20000</v>
      </c>
      <c r="F835" t="s">
        <v>92</v>
      </c>
      <c r="G835" s="7">
        <v>46073</v>
      </c>
      <c r="H835" s="5">
        <v>0</v>
      </c>
      <c r="I83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35" t="b">
        <f>((ISNUMBER(Table3[[#This Row],[Quantity]]) )* (Table3[[#This Row],[Quantity]]&gt;0))=1</f>
        <v>1</v>
      </c>
      <c r="K835" t="b">
        <f>((Table3[[#This Row],[Quantity]]&gt;=Table3[[#This Row],[Return Qty]])*(ISNUMBER(Table3[[#This Row],[Quantity]])))=1</f>
        <v>1</v>
      </c>
      <c r="L835" t="b">
        <f>ISNUMBER(Table3[[#This Row],[Unit Price]])</f>
        <v>1</v>
      </c>
      <c r="M835" t="b">
        <f>ISNUMBER(Table3[[#This Row],[Order Date]])</f>
        <v>1</v>
      </c>
      <c r="N835">
        <f>IFERROR(IF(Table3[[#This Row],[Quantity]]*Table3[[#This Row],[Unit Price]]&lt;0, "N/A", Table3[[#This Row],[Quantity]]*Table3[[#This Row],[Unit Price]]), "N/A")</f>
        <v>400000</v>
      </c>
      <c r="O835">
        <f>IFERROR(Table3[[#This Row],[Unit Price]]*Table3[[#This Row],[Return Qty]], "N/A")</f>
        <v>0</v>
      </c>
      <c r="P835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83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36" spans="1:17" x14ac:dyDescent="0.2">
      <c r="A836" t="s">
        <v>1219</v>
      </c>
      <c r="B836" t="s">
        <v>25</v>
      </c>
      <c r="C836" t="s">
        <v>10</v>
      </c>
      <c r="D836" s="6">
        <v>23</v>
      </c>
      <c r="E836" s="5">
        <v>15000</v>
      </c>
      <c r="F836" t="s">
        <v>142</v>
      </c>
      <c r="G836" s="7">
        <v>46197</v>
      </c>
      <c r="H836" s="5">
        <v>4</v>
      </c>
      <c r="I83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36" t="b">
        <f>((ISNUMBER(Table3[[#This Row],[Quantity]]) )* (Table3[[#This Row],[Quantity]]&gt;0))=1</f>
        <v>1</v>
      </c>
      <c r="K836" t="b">
        <f>((Table3[[#This Row],[Quantity]]&gt;=Table3[[#This Row],[Return Qty]])*(ISNUMBER(Table3[[#This Row],[Quantity]])))=1</f>
        <v>1</v>
      </c>
      <c r="L836" t="b">
        <f>ISNUMBER(Table3[[#This Row],[Unit Price]])</f>
        <v>1</v>
      </c>
      <c r="M836" t="b">
        <f>ISNUMBER(Table3[[#This Row],[Order Date]])</f>
        <v>1</v>
      </c>
      <c r="N836">
        <f>IFERROR(IF(Table3[[#This Row],[Quantity]]*Table3[[#This Row],[Unit Price]]&lt;0, "N/A", Table3[[#This Row],[Quantity]]*Table3[[#This Row],[Unit Price]]), "N/A")</f>
        <v>345000</v>
      </c>
      <c r="O836">
        <f>IFERROR(Table3[[#This Row],[Unit Price]]*Table3[[#This Row],[Return Qty]], "N/A")</f>
        <v>60000</v>
      </c>
      <c r="P836">
        <f>IFERROR(IF((Table3[[#This Row],[Revenue before return]]-Table3[[#This Row],[Amount of order  returned]])&lt;0, "N/A", Table3[[#This Row],[Revenue before return]]-Table3[[#This Row],[Amount of order  returned]]), "N/A")</f>
        <v>285000</v>
      </c>
      <c r="Q83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37" spans="1:17" x14ac:dyDescent="0.2">
      <c r="A837" t="s">
        <v>1220</v>
      </c>
      <c r="B837" t="s">
        <v>25</v>
      </c>
      <c r="C837" t="s">
        <v>10</v>
      </c>
      <c r="D837" s="6">
        <v>24</v>
      </c>
      <c r="E837" s="5">
        <v>15000</v>
      </c>
      <c r="F837" t="s">
        <v>285</v>
      </c>
      <c r="G837" s="7">
        <v>46027</v>
      </c>
      <c r="H837" s="5">
        <v>0</v>
      </c>
      <c r="I83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37" t="b">
        <f>((ISNUMBER(Table3[[#This Row],[Quantity]]) )* (Table3[[#This Row],[Quantity]]&gt;0))=1</f>
        <v>1</v>
      </c>
      <c r="K837" t="b">
        <f>((Table3[[#This Row],[Quantity]]&gt;=Table3[[#This Row],[Return Qty]])*(ISNUMBER(Table3[[#This Row],[Quantity]])))=1</f>
        <v>1</v>
      </c>
      <c r="L837" t="b">
        <f>ISNUMBER(Table3[[#This Row],[Unit Price]])</f>
        <v>1</v>
      </c>
      <c r="M837" t="b">
        <f>ISNUMBER(Table3[[#This Row],[Order Date]])</f>
        <v>1</v>
      </c>
      <c r="N837">
        <f>IFERROR(IF(Table3[[#This Row],[Quantity]]*Table3[[#This Row],[Unit Price]]&lt;0, "N/A", Table3[[#This Row],[Quantity]]*Table3[[#This Row],[Unit Price]]), "N/A")</f>
        <v>360000</v>
      </c>
      <c r="O837">
        <f>IFERROR(Table3[[#This Row],[Unit Price]]*Table3[[#This Row],[Return Qty]], "N/A")</f>
        <v>0</v>
      </c>
      <c r="P837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83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38" spans="1:17" x14ac:dyDescent="0.2">
      <c r="A838" t="s">
        <v>1221</v>
      </c>
      <c r="B838" t="s">
        <v>21</v>
      </c>
      <c r="C838" t="s">
        <v>22</v>
      </c>
      <c r="D838" s="6">
        <v>16</v>
      </c>
      <c r="E838" s="5">
        <v>35000</v>
      </c>
      <c r="F838" t="s">
        <v>535</v>
      </c>
      <c r="G838" s="7">
        <v>46082</v>
      </c>
      <c r="H838" s="5">
        <v>0</v>
      </c>
      <c r="I83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38" t="b">
        <f>((ISNUMBER(Table3[[#This Row],[Quantity]]) )* (Table3[[#This Row],[Quantity]]&gt;0))=1</f>
        <v>1</v>
      </c>
      <c r="K838" t="b">
        <f>((Table3[[#This Row],[Quantity]]&gt;=Table3[[#This Row],[Return Qty]])*(ISNUMBER(Table3[[#This Row],[Quantity]])))=1</f>
        <v>1</v>
      </c>
      <c r="L838" t="b">
        <f>ISNUMBER(Table3[[#This Row],[Unit Price]])</f>
        <v>1</v>
      </c>
      <c r="M838" t="b">
        <f>ISNUMBER(Table3[[#This Row],[Order Date]])</f>
        <v>1</v>
      </c>
      <c r="N838">
        <f>IFERROR(IF(Table3[[#This Row],[Quantity]]*Table3[[#This Row],[Unit Price]]&lt;0, "N/A", Table3[[#This Row],[Quantity]]*Table3[[#This Row],[Unit Price]]), "N/A")</f>
        <v>560000</v>
      </c>
      <c r="O838">
        <f>IFERROR(Table3[[#This Row],[Unit Price]]*Table3[[#This Row],[Return Qty]], "N/A")</f>
        <v>0</v>
      </c>
      <c r="P838">
        <f>IFERROR(IF((Table3[[#This Row],[Revenue before return]]-Table3[[#This Row],[Amount of order  returned]])&lt;0, "N/A", Table3[[#This Row],[Revenue before return]]-Table3[[#This Row],[Amount of order  returned]]), "N/A")</f>
        <v>560000</v>
      </c>
      <c r="Q83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39" spans="1:17" x14ac:dyDescent="0.2">
      <c r="A839" t="s">
        <v>1222</v>
      </c>
      <c r="B839" t="s">
        <v>9</v>
      </c>
      <c r="C839" t="s">
        <v>70</v>
      </c>
      <c r="D839" s="6">
        <v>8</v>
      </c>
      <c r="E839" s="5">
        <v>28000</v>
      </c>
      <c r="F839" t="s">
        <v>255</v>
      </c>
      <c r="G839" s="7">
        <v>46190</v>
      </c>
      <c r="H839" s="5">
        <v>2</v>
      </c>
      <c r="I83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39" t="b">
        <f>((ISNUMBER(Table3[[#This Row],[Quantity]]) )* (Table3[[#This Row],[Quantity]]&gt;0))=1</f>
        <v>1</v>
      </c>
      <c r="K839" t="b">
        <f>((Table3[[#This Row],[Quantity]]&gt;=Table3[[#This Row],[Return Qty]])*(ISNUMBER(Table3[[#This Row],[Quantity]])))=1</f>
        <v>1</v>
      </c>
      <c r="L839" t="b">
        <f>ISNUMBER(Table3[[#This Row],[Unit Price]])</f>
        <v>1</v>
      </c>
      <c r="M839" t="b">
        <f>ISNUMBER(Table3[[#This Row],[Order Date]])</f>
        <v>1</v>
      </c>
      <c r="N839">
        <f>IFERROR(IF(Table3[[#This Row],[Quantity]]*Table3[[#This Row],[Unit Price]]&lt;0, "N/A", Table3[[#This Row],[Quantity]]*Table3[[#This Row],[Unit Price]]), "N/A")</f>
        <v>224000</v>
      </c>
      <c r="O839">
        <f>IFERROR(Table3[[#This Row],[Unit Price]]*Table3[[#This Row],[Return Qty]], "N/A")</f>
        <v>56000</v>
      </c>
      <c r="P839">
        <f>IFERROR(IF((Table3[[#This Row],[Revenue before return]]-Table3[[#This Row],[Amount of order  returned]])&lt;0, "N/A", Table3[[#This Row],[Revenue before return]]-Table3[[#This Row],[Amount of order  returned]]), "N/A")</f>
        <v>168000</v>
      </c>
      <c r="Q83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40" spans="1:17" x14ac:dyDescent="0.2">
      <c r="A840" t="s">
        <v>1223</v>
      </c>
      <c r="B840" t="s">
        <v>25</v>
      </c>
      <c r="C840" t="s">
        <v>39</v>
      </c>
      <c r="D840" s="6">
        <v>10</v>
      </c>
      <c r="E840" s="5">
        <v>12000</v>
      </c>
      <c r="F840" t="s">
        <v>748</v>
      </c>
      <c r="G840" s="7">
        <v>46066</v>
      </c>
      <c r="H840" s="5">
        <v>0</v>
      </c>
      <c r="I84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40" t="b">
        <f>((ISNUMBER(Table3[[#This Row],[Quantity]]) )* (Table3[[#This Row],[Quantity]]&gt;0))=1</f>
        <v>1</v>
      </c>
      <c r="K840" t="b">
        <f>((Table3[[#This Row],[Quantity]]&gt;=Table3[[#This Row],[Return Qty]])*(ISNUMBER(Table3[[#This Row],[Quantity]])))=1</f>
        <v>1</v>
      </c>
      <c r="L840" t="b">
        <f>ISNUMBER(Table3[[#This Row],[Unit Price]])</f>
        <v>1</v>
      </c>
      <c r="M840" t="b">
        <f>ISNUMBER(Table3[[#This Row],[Order Date]])</f>
        <v>1</v>
      </c>
      <c r="N840">
        <f>IFERROR(IF(Table3[[#This Row],[Quantity]]*Table3[[#This Row],[Unit Price]]&lt;0, "N/A", Table3[[#This Row],[Quantity]]*Table3[[#This Row],[Unit Price]]), "N/A")</f>
        <v>120000</v>
      </c>
      <c r="O840">
        <f>IFERROR(Table3[[#This Row],[Unit Price]]*Table3[[#This Row],[Return Qty]], "N/A")</f>
        <v>0</v>
      </c>
      <c r="P840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84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41" spans="1:17" x14ac:dyDescent="0.2">
      <c r="A841" t="s">
        <v>1224</v>
      </c>
      <c r="B841" t="s">
        <v>14</v>
      </c>
      <c r="C841" t="s">
        <v>32</v>
      </c>
      <c r="D841" s="6">
        <v>5</v>
      </c>
      <c r="E841" s="5">
        <v>8000</v>
      </c>
      <c r="F841" t="s">
        <v>937</v>
      </c>
      <c r="G841" s="7">
        <v>46200</v>
      </c>
      <c r="H841" s="5">
        <v>0</v>
      </c>
      <c r="I84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41" t="b">
        <f>((ISNUMBER(Table3[[#This Row],[Quantity]]) )* (Table3[[#This Row],[Quantity]]&gt;0))=1</f>
        <v>1</v>
      </c>
      <c r="K841" t="b">
        <f>((Table3[[#This Row],[Quantity]]&gt;=Table3[[#This Row],[Return Qty]])*(ISNUMBER(Table3[[#This Row],[Quantity]])))=1</f>
        <v>1</v>
      </c>
      <c r="L841" t="b">
        <f>ISNUMBER(Table3[[#This Row],[Unit Price]])</f>
        <v>1</v>
      </c>
      <c r="M841" t="b">
        <f>ISNUMBER(Table3[[#This Row],[Order Date]])</f>
        <v>1</v>
      </c>
      <c r="N841">
        <f>IFERROR(IF(Table3[[#This Row],[Quantity]]*Table3[[#This Row],[Unit Price]]&lt;0, "N/A", Table3[[#This Row],[Quantity]]*Table3[[#This Row],[Unit Price]]), "N/A")</f>
        <v>40000</v>
      </c>
      <c r="O841">
        <f>IFERROR(Table3[[#This Row],[Unit Price]]*Table3[[#This Row],[Return Qty]], "N/A")</f>
        <v>0</v>
      </c>
      <c r="P841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84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42" spans="1:17" x14ac:dyDescent="0.2">
      <c r="A842" t="s">
        <v>1225</v>
      </c>
      <c r="B842" t="s">
        <v>9</v>
      </c>
      <c r="C842" t="s">
        <v>39</v>
      </c>
      <c r="D842" s="6">
        <v>20</v>
      </c>
      <c r="E842" s="5">
        <v>12000</v>
      </c>
      <c r="F842" t="s">
        <v>169</v>
      </c>
      <c r="G842" s="7">
        <v>46129</v>
      </c>
      <c r="H842" s="5">
        <v>0</v>
      </c>
      <c r="I84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42" t="b">
        <f>((ISNUMBER(Table3[[#This Row],[Quantity]]) )* (Table3[[#This Row],[Quantity]]&gt;0))=1</f>
        <v>1</v>
      </c>
      <c r="K842" t="b">
        <f>((Table3[[#This Row],[Quantity]]&gt;=Table3[[#This Row],[Return Qty]])*(ISNUMBER(Table3[[#This Row],[Quantity]])))=1</f>
        <v>1</v>
      </c>
      <c r="L842" t="b">
        <f>ISNUMBER(Table3[[#This Row],[Unit Price]])</f>
        <v>1</v>
      </c>
      <c r="M842" t="b">
        <f>ISNUMBER(Table3[[#This Row],[Order Date]])</f>
        <v>1</v>
      </c>
      <c r="N842">
        <f>IFERROR(IF(Table3[[#This Row],[Quantity]]*Table3[[#This Row],[Unit Price]]&lt;0, "N/A", Table3[[#This Row],[Quantity]]*Table3[[#This Row],[Unit Price]]), "N/A")</f>
        <v>240000</v>
      </c>
      <c r="O842">
        <f>IFERROR(Table3[[#This Row],[Unit Price]]*Table3[[#This Row],[Return Qty]], "N/A")</f>
        <v>0</v>
      </c>
      <c r="P842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84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43" spans="1:17" x14ac:dyDescent="0.2">
      <c r="A843" t="s">
        <v>1226</v>
      </c>
      <c r="B843" t="s">
        <v>25</v>
      </c>
      <c r="C843" t="s">
        <v>22</v>
      </c>
      <c r="D843" s="6">
        <v>1</v>
      </c>
      <c r="E843" s="5">
        <v>35000</v>
      </c>
      <c r="F843" t="s">
        <v>155</v>
      </c>
      <c r="G843" s="7">
        <v>46143</v>
      </c>
      <c r="H843" s="5">
        <v>0</v>
      </c>
      <c r="I84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43" t="b">
        <f>((ISNUMBER(Table3[[#This Row],[Quantity]]) )* (Table3[[#This Row],[Quantity]]&gt;0))=1</f>
        <v>1</v>
      </c>
      <c r="K843" t="b">
        <f>((Table3[[#This Row],[Quantity]]&gt;=Table3[[#This Row],[Return Qty]])*(ISNUMBER(Table3[[#This Row],[Quantity]])))=1</f>
        <v>1</v>
      </c>
      <c r="L843" t="b">
        <f>ISNUMBER(Table3[[#This Row],[Unit Price]])</f>
        <v>1</v>
      </c>
      <c r="M843" t="b">
        <f>ISNUMBER(Table3[[#This Row],[Order Date]])</f>
        <v>1</v>
      </c>
      <c r="N843">
        <f>IFERROR(IF(Table3[[#This Row],[Quantity]]*Table3[[#This Row],[Unit Price]]&lt;0, "N/A", Table3[[#This Row],[Quantity]]*Table3[[#This Row],[Unit Price]]), "N/A")</f>
        <v>35000</v>
      </c>
      <c r="O843">
        <f>IFERROR(Table3[[#This Row],[Unit Price]]*Table3[[#This Row],[Return Qty]], "N/A")</f>
        <v>0</v>
      </c>
      <c r="P843">
        <f>IFERROR(IF((Table3[[#This Row],[Revenue before return]]-Table3[[#This Row],[Amount of order  returned]])&lt;0, "N/A", Table3[[#This Row],[Revenue before return]]-Table3[[#This Row],[Amount of order  returned]]), "N/A")</f>
        <v>35000</v>
      </c>
      <c r="Q84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44" spans="1:17" x14ac:dyDescent="0.2">
      <c r="A844" t="s">
        <v>1227</v>
      </c>
      <c r="B844" t="s">
        <v>21</v>
      </c>
      <c r="C844" t="s">
        <v>26</v>
      </c>
      <c r="D844" s="6">
        <v>18</v>
      </c>
      <c r="E844" s="5">
        <v>20000</v>
      </c>
      <c r="F844" t="s">
        <v>477</v>
      </c>
      <c r="G844" s="7">
        <v>46117</v>
      </c>
      <c r="H844" s="5">
        <v>0</v>
      </c>
      <c r="I84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44" t="b">
        <f>((ISNUMBER(Table3[[#This Row],[Quantity]]) )* (Table3[[#This Row],[Quantity]]&gt;0))=1</f>
        <v>1</v>
      </c>
      <c r="K844" t="b">
        <f>((Table3[[#This Row],[Quantity]]&gt;=Table3[[#This Row],[Return Qty]])*(ISNUMBER(Table3[[#This Row],[Quantity]])))=1</f>
        <v>1</v>
      </c>
      <c r="L844" t="b">
        <f>ISNUMBER(Table3[[#This Row],[Unit Price]])</f>
        <v>1</v>
      </c>
      <c r="M844" t="b">
        <f>ISNUMBER(Table3[[#This Row],[Order Date]])</f>
        <v>1</v>
      </c>
      <c r="N844">
        <f>IFERROR(IF(Table3[[#This Row],[Quantity]]*Table3[[#This Row],[Unit Price]]&lt;0, "N/A", Table3[[#This Row],[Quantity]]*Table3[[#This Row],[Unit Price]]), "N/A")</f>
        <v>360000</v>
      </c>
      <c r="O844">
        <f>IFERROR(Table3[[#This Row],[Unit Price]]*Table3[[#This Row],[Return Qty]], "N/A")</f>
        <v>0</v>
      </c>
      <c r="P844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84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45" spans="1:17" x14ac:dyDescent="0.2">
      <c r="A845" t="s">
        <v>1228</v>
      </c>
      <c r="B845" t="s">
        <v>21</v>
      </c>
      <c r="C845" t="s">
        <v>18</v>
      </c>
      <c r="D845" s="6">
        <v>9</v>
      </c>
      <c r="E845" s="5">
        <v>50000</v>
      </c>
      <c r="F845" t="s">
        <v>416</v>
      </c>
      <c r="G845" s="7">
        <v>46126</v>
      </c>
      <c r="H845" s="5">
        <v>0</v>
      </c>
      <c r="I84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45" t="b">
        <f>((ISNUMBER(Table3[[#This Row],[Quantity]]) )* (Table3[[#This Row],[Quantity]]&gt;0))=1</f>
        <v>1</v>
      </c>
      <c r="K845" t="b">
        <f>((Table3[[#This Row],[Quantity]]&gt;=Table3[[#This Row],[Return Qty]])*(ISNUMBER(Table3[[#This Row],[Quantity]])))=1</f>
        <v>1</v>
      </c>
      <c r="L845" t="b">
        <f>ISNUMBER(Table3[[#This Row],[Unit Price]])</f>
        <v>1</v>
      </c>
      <c r="M845" t="b">
        <f>ISNUMBER(Table3[[#This Row],[Order Date]])</f>
        <v>1</v>
      </c>
      <c r="N845">
        <f>IFERROR(IF(Table3[[#This Row],[Quantity]]*Table3[[#This Row],[Unit Price]]&lt;0, "N/A", Table3[[#This Row],[Quantity]]*Table3[[#This Row],[Unit Price]]), "N/A")</f>
        <v>450000</v>
      </c>
      <c r="O845">
        <f>IFERROR(Table3[[#This Row],[Unit Price]]*Table3[[#This Row],[Return Qty]], "N/A")</f>
        <v>0</v>
      </c>
      <c r="P845">
        <f>IFERROR(IF((Table3[[#This Row],[Revenue before return]]-Table3[[#This Row],[Amount of order  returned]])&lt;0, "N/A", Table3[[#This Row],[Revenue before return]]-Table3[[#This Row],[Amount of order  returned]]), "N/A")</f>
        <v>450000</v>
      </c>
      <c r="Q84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46" spans="1:17" x14ac:dyDescent="0.2">
      <c r="A846" t="s">
        <v>1229</v>
      </c>
      <c r="B846" t="s">
        <v>21</v>
      </c>
      <c r="C846" t="s">
        <v>45</v>
      </c>
      <c r="D846" s="6">
        <v>18</v>
      </c>
      <c r="E846" s="5">
        <v>20000</v>
      </c>
      <c r="F846" t="s">
        <v>253</v>
      </c>
      <c r="G846" s="7">
        <v>46047</v>
      </c>
      <c r="H846" s="5">
        <v>0</v>
      </c>
      <c r="I84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46" t="b">
        <f>((ISNUMBER(Table3[[#This Row],[Quantity]]) )* (Table3[[#This Row],[Quantity]]&gt;0))=1</f>
        <v>1</v>
      </c>
      <c r="K846" t="b">
        <f>((Table3[[#This Row],[Quantity]]&gt;=Table3[[#This Row],[Return Qty]])*(ISNUMBER(Table3[[#This Row],[Quantity]])))=1</f>
        <v>1</v>
      </c>
      <c r="L846" t="b">
        <f>ISNUMBER(Table3[[#This Row],[Unit Price]])</f>
        <v>1</v>
      </c>
      <c r="M846" t="b">
        <f>ISNUMBER(Table3[[#This Row],[Order Date]])</f>
        <v>1</v>
      </c>
      <c r="N846">
        <f>IFERROR(IF(Table3[[#This Row],[Quantity]]*Table3[[#This Row],[Unit Price]]&lt;0, "N/A", Table3[[#This Row],[Quantity]]*Table3[[#This Row],[Unit Price]]), "N/A")</f>
        <v>360000</v>
      </c>
      <c r="O846">
        <f>IFERROR(Table3[[#This Row],[Unit Price]]*Table3[[#This Row],[Return Qty]], "N/A")</f>
        <v>0</v>
      </c>
      <c r="P846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84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47" spans="1:17" x14ac:dyDescent="0.2">
      <c r="A847" t="s">
        <v>1230</v>
      </c>
      <c r="B847" t="s">
        <v>25</v>
      </c>
      <c r="C847" t="s">
        <v>70</v>
      </c>
      <c r="D847" s="6">
        <v>21</v>
      </c>
      <c r="E847" s="5">
        <v>28000</v>
      </c>
      <c r="F847" t="s">
        <v>88</v>
      </c>
      <c r="G847" s="7">
        <v>46088</v>
      </c>
      <c r="H847" s="5">
        <v>2</v>
      </c>
      <c r="I84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47" t="b">
        <f>((ISNUMBER(Table3[[#This Row],[Quantity]]) )* (Table3[[#This Row],[Quantity]]&gt;0))=1</f>
        <v>1</v>
      </c>
      <c r="K847" t="b">
        <f>((Table3[[#This Row],[Quantity]]&gt;=Table3[[#This Row],[Return Qty]])*(ISNUMBER(Table3[[#This Row],[Quantity]])))=1</f>
        <v>1</v>
      </c>
      <c r="L847" t="b">
        <f>ISNUMBER(Table3[[#This Row],[Unit Price]])</f>
        <v>1</v>
      </c>
      <c r="M847" t="b">
        <f>ISNUMBER(Table3[[#This Row],[Order Date]])</f>
        <v>1</v>
      </c>
      <c r="N847">
        <f>IFERROR(IF(Table3[[#This Row],[Quantity]]*Table3[[#This Row],[Unit Price]]&lt;0, "N/A", Table3[[#This Row],[Quantity]]*Table3[[#This Row],[Unit Price]]), "N/A")</f>
        <v>588000</v>
      </c>
      <c r="O847">
        <f>IFERROR(Table3[[#This Row],[Unit Price]]*Table3[[#This Row],[Return Qty]], "N/A")</f>
        <v>56000</v>
      </c>
      <c r="P847">
        <f>IFERROR(IF((Table3[[#This Row],[Revenue before return]]-Table3[[#This Row],[Amount of order  returned]])&lt;0, "N/A", Table3[[#This Row],[Revenue before return]]-Table3[[#This Row],[Amount of order  returned]]), "N/A")</f>
        <v>532000</v>
      </c>
      <c r="Q84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48" spans="1:17" x14ac:dyDescent="0.2">
      <c r="A848" t="s">
        <v>1231</v>
      </c>
      <c r="B848" t="s">
        <v>21</v>
      </c>
      <c r="C848" t="s">
        <v>32</v>
      </c>
      <c r="D848" s="6" t="s">
        <v>11</v>
      </c>
      <c r="E848" s="5">
        <v>8000</v>
      </c>
      <c r="F848" t="s">
        <v>280</v>
      </c>
      <c r="G848" s="7">
        <v>46139</v>
      </c>
      <c r="H848" s="5">
        <v>0</v>
      </c>
      <c r="I84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48" t="b">
        <f>((ISNUMBER(Table3[[#This Row],[Quantity]]) )* (Table3[[#This Row],[Quantity]]&gt;0))=1</f>
        <v>0</v>
      </c>
      <c r="K848" t="b">
        <f>((Table3[[#This Row],[Quantity]]&gt;=Table3[[#This Row],[Return Qty]])*(ISNUMBER(Table3[[#This Row],[Quantity]])))=1</f>
        <v>0</v>
      </c>
      <c r="L848" t="b">
        <f>ISNUMBER(Table3[[#This Row],[Unit Price]])</f>
        <v>1</v>
      </c>
      <c r="M848" t="b">
        <f>ISNUMBER(Table3[[#This Row],[Order Date]])</f>
        <v>1</v>
      </c>
      <c r="N848" t="str">
        <f>IFERROR(IF(Table3[[#This Row],[Quantity]]*Table3[[#This Row],[Unit Price]]&lt;0, "N/A", Table3[[#This Row],[Quantity]]*Table3[[#This Row],[Unit Price]]), "N/A")</f>
        <v>N/A</v>
      </c>
      <c r="O848">
        <f>IFERROR(Table3[[#This Row],[Unit Price]]*Table3[[#This Row],[Return Qty]], "N/A")</f>
        <v>0</v>
      </c>
      <c r="P848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84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849" spans="1:17" x14ac:dyDescent="0.2">
      <c r="A849" t="s">
        <v>1232</v>
      </c>
      <c r="B849" t="s">
        <v>9</v>
      </c>
      <c r="C849" t="s">
        <v>26</v>
      </c>
      <c r="D849" s="6">
        <v>23</v>
      </c>
      <c r="E849" s="5">
        <v>20000</v>
      </c>
      <c r="F849" t="s">
        <v>181</v>
      </c>
      <c r="G849" s="7">
        <v>46065</v>
      </c>
      <c r="H849" s="5">
        <v>3</v>
      </c>
      <c r="I84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49" t="b">
        <f>((ISNUMBER(Table3[[#This Row],[Quantity]]) )* (Table3[[#This Row],[Quantity]]&gt;0))=1</f>
        <v>1</v>
      </c>
      <c r="K849" t="b">
        <f>((Table3[[#This Row],[Quantity]]&gt;=Table3[[#This Row],[Return Qty]])*(ISNUMBER(Table3[[#This Row],[Quantity]])))=1</f>
        <v>1</v>
      </c>
      <c r="L849" t="b">
        <f>ISNUMBER(Table3[[#This Row],[Unit Price]])</f>
        <v>1</v>
      </c>
      <c r="M849" t="b">
        <f>ISNUMBER(Table3[[#This Row],[Order Date]])</f>
        <v>1</v>
      </c>
      <c r="N849">
        <f>IFERROR(IF(Table3[[#This Row],[Quantity]]*Table3[[#This Row],[Unit Price]]&lt;0, "N/A", Table3[[#This Row],[Quantity]]*Table3[[#This Row],[Unit Price]]), "N/A")</f>
        <v>460000</v>
      </c>
      <c r="O849">
        <f>IFERROR(Table3[[#This Row],[Unit Price]]*Table3[[#This Row],[Return Qty]], "N/A")</f>
        <v>60000</v>
      </c>
      <c r="P849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84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50" spans="1:17" x14ac:dyDescent="0.2">
      <c r="A850" t="s">
        <v>1233</v>
      </c>
      <c r="B850" t="s">
        <v>9</v>
      </c>
      <c r="C850" t="s">
        <v>39</v>
      </c>
      <c r="D850" s="6">
        <v>8</v>
      </c>
      <c r="E850" s="5">
        <v>12000</v>
      </c>
      <c r="F850" t="s">
        <v>320</v>
      </c>
      <c r="G850" s="7">
        <v>46029</v>
      </c>
      <c r="H850" s="5">
        <v>0</v>
      </c>
      <c r="I85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50" t="b">
        <f>((ISNUMBER(Table3[[#This Row],[Quantity]]) )* (Table3[[#This Row],[Quantity]]&gt;0))=1</f>
        <v>1</v>
      </c>
      <c r="K850" t="b">
        <f>((Table3[[#This Row],[Quantity]]&gt;=Table3[[#This Row],[Return Qty]])*(ISNUMBER(Table3[[#This Row],[Quantity]])))=1</f>
        <v>1</v>
      </c>
      <c r="L850" t="b">
        <f>ISNUMBER(Table3[[#This Row],[Unit Price]])</f>
        <v>1</v>
      </c>
      <c r="M850" t="b">
        <f>ISNUMBER(Table3[[#This Row],[Order Date]])</f>
        <v>1</v>
      </c>
      <c r="N850">
        <f>IFERROR(IF(Table3[[#This Row],[Quantity]]*Table3[[#This Row],[Unit Price]]&lt;0, "N/A", Table3[[#This Row],[Quantity]]*Table3[[#This Row],[Unit Price]]), "N/A")</f>
        <v>96000</v>
      </c>
      <c r="O850">
        <f>IFERROR(Table3[[#This Row],[Unit Price]]*Table3[[#This Row],[Return Qty]], "N/A")</f>
        <v>0</v>
      </c>
      <c r="P850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85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51" spans="1:17" x14ac:dyDescent="0.2">
      <c r="A851" t="s">
        <v>1234</v>
      </c>
      <c r="B851" t="s">
        <v>14</v>
      </c>
      <c r="C851" t="s">
        <v>18</v>
      </c>
      <c r="D851" s="6">
        <v>23</v>
      </c>
      <c r="E851" s="5">
        <v>50000</v>
      </c>
      <c r="F851" t="s">
        <v>48</v>
      </c>
      <c r="G851" s="7">
        <v>46061</v>
      </c>
      <c r="H851" s="5">
        <v>0</v>
      </c>
      <c r="I85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51" t="b">
        <f>((ISNUMBER(Table3[[#This Row],[Quantity]]) )* (Table3[[#This Row],[Quantity]]&gt;0))=1</f>
        <v>1</v>
      </c>
      <c r="K851" t="b">
        <f>((Table3[[#This Row],[Quantity]]&gt;=Table3[[#This Row],[Return Qty]])*(ISNUMBER(Table3[[#This Row],[Quantity]])))=1</f>
        <v>1</v>
      </c>
      <c r="L851" t="b">
        <f>ISNUMBER(Table3[[#This Row],[Unit Price]])</f>
        <v>1</v>
      </c>
      <c r="M851" t="b">
        <f>ISNUMBER(Table3[[#This Row],[Order Date]])</f>
        <v>1</v>
      </c>
      <c r="N851">
        <f>IFERROR(IF(Table3[[#This Row],[Quantity]]*Table3[[#This Row],[Unit Price]]&lt;0, "N/A", Table3[[#This Row],[Quantity]]*Table3[[#This Row],[Unit Price]]), "N/A")</f>
        <v>1150000</v>
      </c>
      <c r="O851">
        <f>IFERROR(Table3[[#This Row],[Unit Price]]*Table3[[#This Row],[Return Qty]], "N/A")</f>
        <v>0</v>
      </c>
      <c r="P851">
        <f>IFERROR(IF((Table3[[#This Row],[Revenue before return]]-Table3[[#This Row],[Amount of order  returned]])&lt;0, "N/A", Table3[[#This Row],[Revenue before return]]-Table3[[#This Row],[Amount of order  returned]]), "N/A")</f>
        <v>1150000</v>
      </c>
      <c r="Q85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52" spans="1:17" x14ac:dyDescent="0.2">
      <c r="A852" t="s">
        <v>1235</v>
      </c>
      <c r="B852" t="s">
        <v>21</v>
      </c>
      <c r="C852" t="s">
        <v>32</v>
      </c>
      <c r="D852" s="6">
        <v>3</v>
      </c>
      <c r="E852" s="5">
        <v>8000</v>
      </c>
      <c r="F852" t="s">
        <v>541</v>
      </c>
      <c r="G852" s="7">
        <v>46035</v>
      </c>
      <c r="H852" s="5">
        <v>0</v>
      </c>
      <c r="I85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52" t="b">
        <f>((ISNUMBER(Table3[[#This Row],[Quantity]]) )* (Table3[[#This Row],[Quantity]]&gt;0))=1</f>
        <v>1</v>
      </c>
      <c r="K852" t="b">
        <f>((Table3[[#This Row],[Quantity]]&gt;=Table3[[#This Row],[Return Qty]])*(ISNUMBER(Table3[[#This Row],[Quantity]])))=1</f>
        <v>1</v>
      </c>
      <c r="L852" t="b">
        <f>ISNUMBER(Table3[[#This Row],[Unit Price]])</f>
        <v>1</v>
      </c>
      <c r="M852" t="b">
        <f>ISNUMBER(Table3[[#This Row],[Order Date]])</f>
        <v>1</v>
      </c>
      <c r="N852">
        <f>IFERROR(IF(Table3[[#This Row],[Quantity]]*Table3[[#This Row],[Unit Price]]&lt;0, "N/A", Table3[[#This Row],[Quantity]]*Table3[[#This Row],[Unit Price]]), "N/A")</f>
        <v>24000</v>
      </c>
      <c r="O852">
        <f>IFERROR(Table3[[#This Row],[Unit Price]]*Table3[[#This Row],[Return Qty]], "N/A")</f>
        <v>0</v>
      </c>
      <c r="P852">
        <f>IFERROR(IF((Table3[[#This Row],[Revenue before return]]-Table3[[#This Row],[Amount of order  returned]])&lt;0, "N/A", Table3[[#This Row],[Revenue before return]]-Table3[[#This Row],[Amount of order  returned]]), "N/A")</f>
        <v>24000</v>
      </c>
      <c r="Q85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53" spans="1:17" x14ac:dyDescent="0.2">
      <c r="A853" t="s">
        <v>1236</v>
      </c>
      <c r="B853" t="s">
        <v>14</v>
      </c>
      <c r="C853" t="s">
        <v>10</v>
      </c>
      <c r="D853" s="6">
        <v>19</v>
      </c>
      <c r="E853" s="5">
        <v>15000</v>
      </c>
      <c r="F853" t="s">
        <v>1237</v>
      </c>
      <c r="G853" s="7">
        <v>46082</v>
      </c>
      <c r="H853" s="5">
        <v>0</v>
      </c>
      <c r="I85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53" t="b">
        <f>((ISNUMBER(Table3[[#This Row],[Quantity]]) )* (Table3[[#This Row],[Quantity]]&gt;0))=1</f>
        <v>1</v>
      </c>
      <c r="K853" t="b">
        <f>((Table3[[#This Row],[Quantity]]&gt;=Table3[[#This Row],[Return Qty]])*(ISNUMBER(Table3[[#This Row],[Quantity]])))=1</f>
        <v>1</v>
      </c>
      <c r="L853" t="b">
        <f>ISNUMBER(Table3[[#This Row],[Unit Price]])</f>
        <v>1</v>
      </c>
      <c r="M853" t="b">
        <f>ISNUMBER(Table3[[#This Row],[Order Date]])</f>
        <v>1</v>
      </c>
      <c r="N853">
        <f>IFERROR(IF(Table3[[#This Row],[Quantity]]*Table3[[#This Row],[Unit Price]]&lt;0, "N/A", Table3[[#This Row],[Quantity]]*Table3[[#This Row],[Unit Price]]), "N/A")</f>
        <v>285000</v>
      </c>
      <c r="O853">
        <f>IFERROR(Table3[[#This Row],[Unit Price]]*Table3[[#This Row],[Return Qty]], "N/A")</f>
        <v>0</v>
      </c>
      <c r="P853">
        <f>IFERROR(IF((Table3[[#This Row],[Revenue before return]]-Table3[[#This Row],[Amount of order  returned]])&lt;0, "N/A", Table3[[#This Row],[Revenue before return]]-Table3[[#This Row],[Amount of order  returned]]), "N/A")</f>
        <v>285000</v>
      </c>
      <c r="Q85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54" spans="1:17" x14ac:dyDescent="0.2">
      <c r="A854" t="s">
        <v>1238</v>
      </c>
      <c r="B854" t="s">
        <v>9</v>
      </c>
      <c r="C854" t="s">
        <v>26</v>
      </c>
      <c r="D854" s="6">
        <v>17</v>
      </c>
      <c r="E854" s="5">
        <v>20000</v>
      </c>
      <c r="F854" t="s">
        <v>230</v>
      </c>
      <c r="G854" s="7">
        <v>46045</v>
      </c>
      <c r="H854" s="5">
        <v>0</v>
      </c>
      <c r="I85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54" t="b">
        <f>((ISNUMBER(Table3[[#This Row],[Quantity]]) )* (Table3[[#This Row],[Quantity]]&gt;0))=1</f>
        <v>1</v>
      </c>
      <c r="K854" t="b">
        <f>((Table3[[#This Row],[Quantity]]&gt;=Table3[[#This Row],[Return Qty]])*(ISNUMBER(Table3[[#This Row],[Quantity]])))=1</f>
        <v>1</v>
      </c>
      <c r="L854" t="b">
        <f>ISNUMBER(Table3[[#This Row],[Unit Price]])</f>
        <v>1</v>
      </c>
      <c r="M854" t="b">
        <f>ISNUMBER(Table3[[#This Row],[Order Date]])</f>
        <v>1</v>
      </c>
      <c r="N854">
        <f>IFERROR(IF(Table3[[#This Row],[Quantity]]*Table3[[#This Row],[Unit Price]]&lt;0, "N/A", Table3[[#This Row],[Quantity]]*Table3[[#This Row],[Unit Price]]), "N/A")</f>
        <v>340000</v>
      </c>
      <c r="O854">
        <f>IFERROR(Table3[[#This Row],[Unit Price]]*Table3[[#This Row],[Return Qty]], "N/A")</f>
        <v>0</v>
      </c>
      <c r="P854">
        <f>IFERROR(IF((Table3[[#This Row],[Revenue before return]]-Table3[[#This Row],[Amount of order  returned]])&lt;0, "N/A", Table3[[#This Row],[Revenue before return]]-Table3[[#This Row],[Amount of order  returned]]), "N/A")</f>
        <v>340000</v>
      </c>
      <c r="Q85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55" spans="1:17" x14ac:dyDescent="0.2">
      <c r="A855" t="s">
        <v>1239</v>
      </c>
      <c r="B855" t="s">
        <v>14</v>
      </c>
      <c r="C855" t="s">
        <v>32</v>
      </c>
      <c r="D855" s="6">
        <v>16</v>
      </c>
      <c r="E855" s="5">
        <v>8000</v>
      </c>
      <c r="F855" t="s">
        <v>482</v>
      </c>
      <c r="G855" s="7">
        <v>46187</v>
      </c>
      <c r="H855" s="5">
        <v>0</v>
      </c>
      <c r="I85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55" t="b">
        <f>((ISNUMBER(Table3[[#This Row],[Quantity]]) )* (Table3[[#This Row],[Quantity]]&gt;0))=1</f>
        <v>1</v>
      </c>
      <c r="K855" t="b">
        <f>((Table3[[#This Row],[Quantity]]&gt;=Table3[[#This Row],[Return Qty]])*(ISNUMBER(Table3[[#This Row],[Quantity]])))=1</f>
        <v>1</v>
      </c>
      <c r="L855" t="b">
        <f>ISNUMBER(Table3[[#This Row],[Unit Price]])</f>
        <v>1</v>
      </c>
      <c r="M855" t="b">
        <f>ISNUMBER(Table3[[#This Row],[Order Date]])</f>
        <v>1</v>
      </c>
      <c r="N855">
        <f>IFERROR(IF(Table3[[#This Row],[Quantity]]*Table3[[#This Row],[Unit Price]]&lt;0, "N/A", Table3[[#This Row],[Quantity]]*Table3[[#This Row],[Unit Price]]), "N/A")</f>
        <v>128000</v>
      </c>
      <c r="O855">
        <f>IFERROR(Table3[[#This Row],[Unit Price]]*Table3[[#This Row],[Return Qty]], "N/A")</f>
        <v>0</v>
      </c>
      <c r="P855">
        <f>IFERROR(IF((Table3[[#This Row],[Revenue before return]]-Table3[[#This Row],[Amount of order  returned]])&lt;0, "N/A", Table3[[#This Row],[Revenue before return]]-Table3[[#This Row],[Amount of order  returned]]), "N/A")</f>
        <v>128000</v>
      </c>
      <c r="Q85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56" spans="1:17" x14ac:dyDescent="0.2">
      <c r="A856" t="s">
        <v>1240</v>
      </c>
      <c r="B856" t="s">
        <v>14</v>
      </c>
      <c r="C856" t="s">
        <v>70</v>
      </c>
      <c r="D856" s="6">
        <v>23</v>
      </c>
      <c r="E856" s="5">
        <v>28000</v>
      </c>
      <c r="F856" t="s">
        <v>838</v>
      </c>
      <c r="G856" s="7">
        <v>46092</v>
      </c>
      <c r="H856" s="5">
        <v>0</v>
      </c>
      <c r="I85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56" t="b">
        <f>((ISNUMBER(Table3[[#This Row],[Quantity]]) )* (Table3[[#This Row],[Quantity]]&gt;0))=1</f>
        <v>1</v>
      </c>
      <c r="K856" t="b">
        <f>((Table3[[#This Row],[Quantity]]&gt;=Table3[[#This Row],[Return Qty]])*(ISNUMBER(Table3[[#This Row],[Quantity]])))=1</f>
        <v>1</v>
      </c>
      <c r="L856" t="b">
        <f>ISNUMBER(Table3[[#This Row],[Unit Price]])</f>
        <v>1</v>
      </c>
      <c r="M856" t="b">
        <f>ISNUMBER(Table3[[#This Row],[Order Date]])</f>
        <v>1</v>
      </c>
      <c r="N856">
        <f>IFERROR(IF(Table3[[#This Row],[Quantity]]*Table3[[#This Row],[Unit Price]]&lt;0, "N/A", Table3[[#This Row],[Quantity]]*Table3[[#This Row],[Unit Price]]), "N/A")</f>
        <v>644000</v>
      </c>
      <c r="O856">
        <f>IFERROR(Table3[[#This Row],[Unit Price]]*Table3[[#This Row],[Return Qty]], "N/A")</f>
        <v>0</v>
      </c>
      <c r="P856">
        <f>IFERROR(IF((Table3[[#This Row],[Revenue before return]]-Table3[[#This Row],[Amount of order  returned]])&lt;0, "N/A", Table3[[#This Row],[Revenue before return]]-Table3[[#This Row],[Amount of order  returned]]), "N/A")</f>
        <v>644000</v>
      </c>
      <c r="Q85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57" spans="1:17" x14ac:dyDescent="0.2">
      <c r="A857" t="s">
        <v>1241</v>
      </c>
      <c r="B857" t="s">
        <v>14</v>
      </c>
      <c r="C857" t="s">
        <v>45</v>
      </c>
      <c r="D857" s="6">
        <v>25</v>
      </c>
      <c r="E857" s="5">
        <v>20000</v>
      </c>
      <c r="F857" t="s">
        <v>640</v>
      </c>
      <c r="G857" s="7">
        <v>46170</v>
      </c>
      <c r="H857" s="5">
        <v>0</v>
      </c>
      <c r="I85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57" t="b">
        <f>((ISNUMBER(Table3[[#This Row],[Quantity]]) )* (Table3[[#This Row],[Quantity]]&gt;0))=1</f>
        <v>1</v>
      </c>
      <c r="K857" t="b">
        <f>((Table3[[#This Row],[Quantity]]&gt;=Table3[[#This Row],[Return Qty]])*(ISNUMBER(Table3[[#This Row],[Quantity]])))=1</f>
        <v>1</v>
      </c>
      <c r="L857" t="b">
        <f>ISNUMBER(Table3[[#This Row],[Unit Price]])</f>
        <v>1</v>
      </c>
      <c r="M857" t="b">
        <f>ISNUMBER(Table3[[#This Row],[Order Date]])</f>
        <v>1</v>
      </c>
      <c r="N857">
        <f>IFERROR(IF(Table3[[#This Row],[Quantity]]*Table3[[#This Row],[Unit Price]]&lt;0, "N/A", Table3[[#This Row],[Quantity]]*Table3[[#This Row],[Unit Price]]), "N/A")</f>
        <v>500000</v>
      </c>
      <c r="O857">
        <f>IFERROR(Table3[[#This Row],[Unit Price]]*Table3[[#This Row],[Return Qty]], "N/A")</f>
        <v>0</v>
      </c>
      <c r="P857">
        <f>IFERROR(IF((Table3[[#This Row],[Revenue before return]]-Table3[[#This Row],[Amount of order  returned]])&lt;0, "N/A", Table3[[#This Row],[Revenue before return]]-Table3[[#This Row],[Amount of order  returned]]), "N/A")</f>
        <v>500000</v>
      </c>
      <c r="Q85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58" spans="1:17" x14ac:dyDescent="0.2">
      <c r="A858" t="s">
        <v>1242</v>
      </c>
      <c r="B858" t="s">
        <v>9</v>
      </c>
      <c r="C858" t="s">
        <v>18</v>
      </c>
      <c r="D858" s="6">
        <v>19</v>
      </c>
      <c r="E858" s="5">
        <v>50000</v>
      </c>
      <c r="F858" t="s">
        <v>115</v>
      </c>
      <c r="G858" s="7">
        <v>46188</v>
      </c>
      <c r="H858" s="5">
        <v>0</v>
      </c>
      <c r="I85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58" t="b">
        <f>((ISNUMBER(Table3[[#This Row],[Quantity]]) )* (Table3[[#This Row],[Quantity]]&gt;0))=1</f>
        <v>1</v>
      </c>
      <c r="K858" t="b">
        <f>((Table3[[#This Row],[Quantity]]&gt;=Table3[[#This Row],[Return Qty]])*(ISNUMBER(Table3[[#This Row],[Quantity]])))=1</f>
        <v>1</v>
      </c>
      <c r="L858" t="b">
        <f>ISNUMBER(Table3[[#This Row],[Unit Price]])</f>
        <v>1</v>
      </c>
      <c r="M858" t="b">
        <f>ISNUMBER(Table3[[#This Row],[Order Date]])</f>
        <v>1</v>
      </c>
      <c r="N858">
        <f>IFERROR(IF(Table3[[#This Row],[Quantity]]*Table3[[#This Row],[Unit Price]]&lt;0, "N/A", Table3[[#This Row],[Quantity]]*Table3[[#This Row],[Unit Price]]), "N/A")</f>
        <v>950000</v>
      </c>
      <c r="O858">
        <f>IFERROR(Table3[[#This Row],[Unit Price]]*Table3[[#This Row],[Return Qty]], "N/A")</f>
        <v>0</v>
      </c>
      <c r="P858">
        <f>IFERROR(IF((Table3[[#This Row],[Revenue before return]]-Table3[[#This Row],[Amount of order  returned]])&lt;0, "N/A", Table3[[#This Row],[Revenue before return]]-Table3[[#This Row],[Amount of order  returned]]), "N/A")</f>
        <v>950000</v>
      </c>
      <c r="Q85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59" spans="1:17" x14ac:dyDescent="0.2">
      <c r="A859" t="s">
        <v>1243</v>
      </c>
      <c r="B859" t="s">
        <v>21</v>
      </c>
      <c r="C859" t="s">
        <v>45</v>
      </c>
      <c r="D859" s="6">
        <v>9</v>
      </c>
      <c r="E859" s="5">
        <v>20000</v>
      </c>
      <c r="F859" t="s">
        <v>406</v>
      </c>
      <c r="G859" s="7">
        <v>46146</v>
      </c>
      <c r="H859" s="5">
        <v>0</v>
      </c>
      <c r="I85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59" t="b">
        <f>((ISNUMBER(Table3[[#This Row],[Quantity]]) )* (Table3[[#This Row],[Quantity]]&gt;0))=1</f>
        <v>1</v>
      </c>
      <c r="K859" t="b">
        <f>((Table3[[#This Row],[Quantity]]&gt;=Table3[[#This Row],[Return Qty]])*(ISNUMBER(Table3[[#This Row],[Quantity]])))=1</f>
        <v>1</v>
      </c>
      <c r="L859" t="b">
        <f>ISNUMBER(Table3[[#This Row],[Unit Price]])</f>
        <v>1</v>
      </c>
      <c r="M859" t="b">
        <f>ISNUMBER(Table3[[#This Row],[Order Date]])</f>
        <v>1</v>
      </c>
      <c r="N859">
        <f>IFERROR(IF(Table3[[#This Row],[Quantity]]*Table3[[#This Row],[Unit Price]]&lt;0, "N/A", Table3[[#This Row],[Quantity]]*Table3[[#This Row],[Unit Price]]), "N/A")</f>
        <v>180000</v>
      </c>
      <c r="O859">
        <f>IFERROR(Table3[[#This Row],[Unit Price]]*Table3[[#This Row],[Return Qty]], "N/A")</f>
        <v>0</v>
      </c>
      <c r="P859">
        <f>IFERROR(IF((Table3[[#This Row],[Revenue before return]]-Table3[[#This Row],[Amount of order  returned]])&lt;0, "N/A", Table3[[#This Row],[Revenue before return]]-Table3[[#This Row],[Amount of order  returned]]), "N/A")</f>
        <v>180000</v>
      </c>
      <c r="Q85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60" spans="1:17" x14ac:dyDescent="0.2">
      <c r="A860" t="s">
        <v>1244</v>
      </c>
      <c r="B860" t="s">
        <v>25</v>
      </c>
      <c r="C860" t="s">
        <v>10</v>
      </c>
      <c r="D860" s="6">
        <v>16</v>
      </c>
      <c r="E860" s="5">
        <v>15000</v>
      </c>
      <c r="F860" t="s">
        <v>640</v>
      </c>
      <c r="G860" s="7">
        <v>46191</v>
      </c>
      <c r="H860" s="5">
        <v>0</v>
      </c>
      <c r="I86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60" t="b">
        <f>((ISNUMBER(Table3[[#This Row],[Quantity]]) )* (Table3[[#This Row],[Quantity]]&gt;0))=1</f>
        <v>1</v>
      </c>
      <c r="K860" t="b">
        <f>((Table3[[#This Row],[Quantity]]&gt;=Table3[[#This Row],[Return Qty]])*(ISNUMBER(Table3[[#This Row],[Quantity]])))=1</f>
        <v>1</v>
      </c>
      <c r="L860" t="b">
        <f>ISNUMBER(Table3[[#This Row],[Unit Price]])</f>
        <v>1</v>
      </c>
      <c r="M860" t="b">
        <f>ISNUMBER(Table3[[#This Row],[Order Date]])</f>
        <v>1</v>
      </c>
      <c r="N860">
        <f>IFERROR(IF(Table3[[#This Row],[Quantity]]*Table3[[#This Row],[Unit Price]]&lt;0, "N/A", Table3[[#This Row],[Quantity]]*Table3[[#This Row],[Unit Price]]), "N/A")</f>
        <v>240000</v>
      </c>
      <c r="O860">
        <f>IFERROR(Table3[[#This Row],[Unit Price]]*Table3[[#This Row],[Return Qty]], "N/A")</f>
        <v>0</v>
      </c>
      <c r="P860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86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61" spans="1:17" x14ac:dyDescent="0.2">
      <c r="A861" t="s">
        <v>1245</v>
      </c>
      <c r="B861" t="s">
        <v>25</v>
      </c>
      <c r="C861" t="s">
        <v>22</v>
      </c>
      <c r="D861" s="6">
        <v>4</v>
      </c>
      <c r="E861" s="5">
        <v>35000</v>
      </c>
      <c r="F861" t="s">
        <v>563</v>
      </c>
      <c r="G861" s="7">
        <v>46042</v>
      </c>
      <c r="H861" s="5">
        <v>0</v>
      </c>
      <c r="I86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61" t="b">
        <f>((ISNUMBER(Table3[[#This Row],[Quantity]]) )* (Table3[[#This Row],[Quantity]]&gt;0))=1</f>
        <v>1</v>
      </c>
      <c r="K861" t="b">
        <f>((Table3[[#This Row],[Quantity]]&gt;=Table3[[#This Row],[Return Qty]])*(ISNUMBER(Table3[[#This Row],[Quantity]])))=1</f>
        <v>1</v>
      </c>
      <c r="L861" t="b">
        <f>ISNUMBER(Table3[[#This Row],[Unit Price]])</f>
        <v>1</v>
      </c>
      <c r="M861" t="b">
        <f>ISNUMBER(Table3[[#This Row],[Order Date]])</f>
        <v>1</v>
      </c>
      <c r="N861">
        <f>IFERROR(IF(Table3[[#This Row],[Quantity]]*Table3[[#This Row],[Unit Price]]&lt;0, "N/A", Table3[[#This Row],[Quantity]]*Table3[[#This Row],[Unit Price]]), "N/A")</f>
        <v>140000</v>
      </c>
      <c r="O861">
        <f>IFERROR(Table3[[#This Row],[Unit Price]]*Table3[[#This Row],[Return Qty]], "N/A")</f>
        <v>0</v>
      </c>
      <c r="P861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86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62" spans="1:17" x14ac:dyDescent="0.2">
      <c r="A862" t="s">
        <v>1246</v>
      </c>
      <c r="B862" t="s">
        <v>25</v>
      </c>
      <c r="C862" t="s">
        <v>70</v>
      </c>
      <c r="D862" s="6">
        <v>15</v>
      </c>
      <c r="E862" s="5">
        <v>28000</v>
      </c>
      <c r="F862" t="s">
        <v>789</v>
      </c>
      <c r="G862" s="7">
        <v>46129</v>
      </c>
      <c r="H862" s="5">
        <v>0</v>
      </c>
      <c r="I86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62" t="b">
        <f>((ISNUMBER(Table3[[#This Row],[Quantity]]) )* (Table3[[#This Row],[Quantity]]&gt;0))=1</f>
        <v>1</v>
      </c>
      <c r="K862" t="b">
        <f>((Table3[[#This Row],[Quantity]]&gt;=Table3[[#This Row],[Return Qty]])*(ISNUMBER(Table3[[#This Row],[Quantity]])))=1</f>
        <v>1</v>
      </c>
      <c r="L862" t="b">
        <f>ISNUMBER(Table3[[#This Row],[Unit Price]])</f>
        <v>1</v>
      </c>
      <c r="M862" t="b">
        <f>ISNUMBER(Table3[[#This Row],[Order Date]])</f>
        <v>1</v>
      </c>
      <c r="N862">
        <f>IFERROR(IF(Table3[[#This Row],[Quantity]]*Table3[[#This Row],[Unit Price]]&lt;0, "N/A", Table3[[#This Row],[Quantity]]*Table3[[#This Row],[Unit Price]]), "N/A")</f>
        <v>420000</v>
      </c>
      <c r="O862">
        <f>IFERROR(Table3[[#This Row],[Unit Price]]*Table3[[#This Row],[Return Qty]], "N/A")</f>
        <v>0</v>
      </c>
      <c r="P862">
        <f>IFERROR(IF((Table3[[#This Row],[Revenue before return]]-Table3[[#This Row],[Amount of order  returned]])&lt;0, "N/A", Table3[[#This Row],[Revenue before return]]-Table3[[#This Row],[Amount of order  returned]]), "N/A")</f>
        <v>420000</v>
      </c>
      <c r="Q86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63" spans="1:17" x14ac:dyDescent="0.2">
      <c r="A863" t="s">
        <v>1247</v>
      </c>
      <c r="B863" t="s">
        <v>235</v>
      </c>
      <c r="C863" t="s">
        <v>32</v>
      </c>
      <c r="D863" s="6">
        <v>5</v>
      </c>
      <c r="E863" s="5">
        <v>8000</v>
      </c>
      <c r="F863" t="s">
        <v>88</v>
      </c>
      <c r="G863" s="7">
        <v>46181</v>
      </c>
      <c r="H863" s="5">
        <v>0</v>
      </c>
      <c r="I86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0</v>
      </c>
      <c r="J863" t="b">
        <f>((ISNUMBER(Table3[[#This Row],[Quantity]]) )* (Table3[[#This Row],[Quantity]]&gt;0))=1</f>
        <v>1</v>
      </c>
      <c r="K863" t="b">
        <f>((Table3[[#This Row],[Quantity]]&gt;=Table3[[#This Row],[Return Qty]])*(ISNUMBER(Table3[[#This Row],[Quantity]])))=1</f>
        <v>1</v>
      </c>
      <c r="L863" t="b">
        <f>ISNUMBER(Table3[[#This Row],[Unit Price]])</f>
        <v>1</v>
      </c>
      <c r="M863" t="b">
        <f>ISNUMBER(Table3[[#This Row],[Order Date]])</f>
        <v>1</v>
      </c>
      <c r="N863">
        <f>IFERROR(IF(Table3[[#This Row],[Quantity]]*Table3[[#This Row],[Unit Price]]&lt;0, "N/A", Table3[[#This Row],[Quantity]]*Table3[[#This Row],[Unit Price]]), "N/A")</f>
        <v>40000</v>
      </c>
      <c r="O863">
        <f>IFERROR(Table3[[#This Row],[Unit Price]]*Table3[[#This Row],[Return Qty]], "N/A")</f>
        <v>0</v>
      </c>
      <c r="P863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86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864" spans="1:17" x14ac:dyDescent="0.2">
      <c r="A864" t="s">
        <v>1248</v>
      </c>
      <c r="B864" t="s">
        <v>21</v>
      </c>
      <c r="C864" t="s">
        <v>10</v>
      </c>
      <c r="D864" s="6">
        <v>6</v>
      </c>
      <c r="E864" s="5">
        <v>15000</v>
      </c>
      <c r="F864" t="s">
        <v>677</v>
      </c>
      <c r="G864" s="7">
        <v>46125</v>
      </c>
      <c r="H864" s="5">
        <v>0</v>
      </c>
      <c r="I86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64" t="b">
        <f>((ISNUMBER(Table3[[#This Row],[Quantity]]) )* (Table3[[#This Row],[Quantity]]&gt;0))=1</f>
        <v>1</v>
      </c>
      <c r="K864" t="b">
        <f>((Table3[[#This Row],[Quantity]]&gt;=Table3[[#This Row],[Return Qty]])*(ISNUMBER(Table3[[#This Row],[Quantity]])))=1</f>
        <v>1</v>
      </c>
      <c r="L864" t="b">
        <f>ISNUMBER(Table3[[#This Row],[Unit Price]])</f>
        <v>1</v>
      </c>
      <c r="M864" t="b">
        <f>ISNUMBER(Table3[[#This Row],[Order Date]])</f>
        <v>1</v>
      </c>
      <c r="N864">
        <f>IFERROR(IF(Table3[[#This Row],[Quantity]]*Table3[[#This Row],[Unit Price]]&lt;0, "N/A", Table3[[#This Row],[Quantity]]*Table3[[#This Row],[Unit Price]]), "N/A")</f>
        <v>90000</v>
      </c>
      <c r="O864">
        <f>IFERROR(Table3[[#This Row],[Unit Price]]*Table3[[#This Row],[Return Qty]], "N/A")</f>
        <v>0</v>
      </c>
      <c r="P864">
        <f>IFERROR(IF((Table3[[#This Row],[Revenue before return]]-Table3[[#This Row],[Amount of order  returned]])&lt;0, "N/A", Table3[[#This Row],[Revenue before return]]-Table3[[#This Row],[Amount of order  returned]]), "N/A")</f>
        <v>90000</v>
      </c>
      <c r="Q86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65" spans="1:17" x14ac:dyDescent="0.2">
      <c r="A865" t="s">
        <v>1250</v>
      </c>
      <c r="B865" t="s">
        <v>14</v>
      </c>
      <c r="C865" t="s">
        <v>45</v>
      </c>
      <c r="D865" s="6">
        <v>150</v>
      </c>
      <c r="E865" s="5">
        <v>20000</v>
      </c>
      <c r="F865" t="s">
        <v>46</v>
      </c>
      <c r="G865" s="7">
        <v>46060</v>
      </c>
      <c r="H865" s="5">
        <v>0</v>
      </c>
      <c r="I86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65" t="b">
        <f>((ISNUMBER(Table3[[#This Row],[Quantity]]) )* (Table3[[#This Row],[Quantity]]&gt;0))=1</f>
        <v>1</v>
      </c>
      <c r="K865" t="b">
        <f>((Table3[[#This Row],[Quantity]]&gt;=Table3[[#This Row],[Return Qty]])*(ISNUMBER(Table3[[#This Row],[Quantity]])))=1</f>
        <v>1</v>
      </c>
      <c r="L865" t="b">
        <f>ISNUMBER(Table3[[#This Row],[Unit Price]])</f>
        <v>1</v>
      </c>
      <c r="M865" t="b">
        <f>ISNUMBER(Table3[[#This Row],[Order Date]])</f>
        <v>1</v>
      </c>
      <c r="N865">
        <f>IFERROR(IF(Table3[[#This Row],[Quantity]]*Table3[[#This Row],[Unit Price]]&lt;0, "N/A", Table3[[#This Row],[Quantity]]*Table3[[#This Row],[Unit Price]]), "N/A")</f>
        <v>3000000</v>
      </c>
      <c r="O865">
        <f>IFERROR(Table3[[#This Row],[Unit Price]]*Table3[[#This Row],[Return Qty]], "N/A")</f>
        <v>0</v>
      </c>
      <c r="P865">
        <f>IFERROR(IF((Table3[[#This Row],[Revenue before return]]-Table3[[#This Row],[Amount of order  returned]])&lt;0, "N/A", Table3[[#This Row],[Revenue before return]]-Table3[[#This Row],[Amount of order  returned]]), "N/A")</f>
        <v>3000000</v>
      </c>
      <c r="Q86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66" spans="1:17" x14ac:dyDescent="0.2">
      <c r="A866" t="s">
        <v>1251</v>
      </c>
      <c r="B866" t="s">
        <v>9</v>
      </c>
      <c r="C866" t="s">
        <v>26</v>
      </c>
      <c r="D866" s="6">
        <v>20</v>
      </c>
      <c r="E866" s="5">
        <v>20000</v>
      </c>
      <c r="F866" t="s">
        <v>199</v>
      </c>
      <c r="G866" s="7">
        <v>46105</v>
      </c>
      <c r="H866" s="5">
        <v>3</v>
      </c>
      <c r="I86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66" t="b">
        <f>((ISNUMBER(Table3[[#This Row],[Quantity]]) )* (Table3[[#This Row],[Quantity]]&gt;0))=1</f>
        <v>1</v>
      </c>
      <c r="K866" t="b">
        <f>((Table3[[#This Row],[Quantity]]&gt;=Table3[[#This Row],[Return Qty]])*(ISNUMBER(Table3[[#This Row],[Quantity]])))=1</f>
        <v>1</v>
      </c>
      <c r="L866" t="b">
        <f>ISNUMBER(Table3[[#This Row],[Unit Price]])</f>
        <v>1</v>
      </c>
      <c r="M866" t="b">
        <f>ISNUMBER(Table3[[#This Row],[Order Date]])</f>
        <v>1</v>
      </c>
      <c r="N866">
        <f>IFERROR(IF(Table3[[#This Row],[Quantity]]*Table3[[#This Row],[Unit Price]]&lt;0, "N/A", Table3[[#This Row],[Quantity]]*Table3[[#This Row],[Unit Price]]), "N/A")</f>
        <v>400000</v>
      </c>
      <c r="O866">
        <f>IFERROR(Table3[[#This Row],[Unit Price]]*Table3[[#This Row],[Return Qty]], "N/A")</f>
        <v>60000</v>
      </c>
      <c r="P866">
        <f>IFERROR(IF((Table3[[#This Row],[Revenue before return]]-Table3[[#This Row],[Amount of order  returned]])&lt;0, "N/A", Table3[[#This Row],[Revenue before return]]-Table3[[#This Row],[Amount of order  returned]]), "N/A")</f>
        <v>340000</v>
      </c>
      <c r="Q86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67" spans="1:17" x14ac:dyDescent="0.2">
      <c r="A867" t="s">
        <v>1252</v>
      </c>
      <c r="B867" t="s">
        <v>21</v>
      </c>
      <c r="C867" t="s">
        <v>26</v>
      </c>
      <c r="D867" s="6">
        <v>22</v>
      </c>
      <c r="E867" s="5">
        <v>20000</v>
      </c>
      <c r="F867" t="s">
        <v>306</v>
      </c>
      <c r="G867" s="7">
        <v>46023</v>
      </c>
      <c r="H867" s="5">
        <v>0</v>
      </c>
      <c r="I86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67" t="b">
        <f>((ISNUMBER(Table3[[#This Row],[Quantity]]) )* (Table3[[#This Row],[Quantity]]&gt;0))=1</f>
        <v>1</v>
      </c>
      <c r="K867" t="b">
        <f>((Table3[[#This Row],[Quantity]]&gt;=Table3[[#This Row],[Return Qty]])*(ISNUMBER(Table3[[#This Row],[Quantity]])))=1</f>
        <v>1</v>
      </c>
      <c r="L867" t="b">
        <f>ISNUMBER(Table3[[#This Row],[Unit Price]])</f>
        <v>1</v>
      </c>
      <c r="M867" t="b">
        <f>ISNUMBER(Table3[[#This Row],[Order Date]])</f>
        <v>1</v>
      </c>
      <c r="N867">
        <f>IFERROR(IF(Table3[[#This Row],[Quantity]]*Table3[[#This Row],[Unit Price]]&lt;0, "N/A", Table3[[#This Row],[Quantity]]*Table3[[#This Row],[Unit Price]]), "N/A")</f>
        <v>440000</v>
      </c>
      <c r="O867">
        <f>IFERROR(Table3[[#This Row],[Unit Price]]*Table3[[#This Row],[Return Qty]], "N/A")</f>
        <v>0</v>
      </c>
      <c r="P867">
        <f>IFERROR(IF((Table3[[#This Row],[Revenue before return]]-Table3[[#This Row],[Amount of order  returned]])&lt;0, "N/A", Table3[[#This Row],[Revenue before return]]-Table3[[#This Row],[Amount of order  returned]]), "N/A")</f>
        <v>440000</v>
      </c>
      <c r="Q86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68" spans="1:17" x14ac:dyDescent="0.2">
      <c r="A868" t="s">
        <v>1253</v>
      </c>
      <c r="B868" t="s">
        <v>9</v>
      </c>
      <c r="C868" t="s">
        <v>18</v>
      </c>
      <c r="D868" s="6">
        <v>15</v>
      </c>
      <c r="E868" s="5">
        <v>50000</v>
      </c>
      <c r="F868" t="s">
        <v>255</v>
      </c>
      <c r="G868" s="7" t="s">
        <v>11</v>
      </c>
      <c r="H868" s="5">
        <v>0</v>
      </c>
      <c r="I86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68" t="b">
        <f>((ISNUMBER(Table3[[#This Row],[Quantity]]) )* (Table3[[#This Row],[Quantity]]&gt;0))=1</f>
        <v>1</v>
      </c>
      <c r="K868" t="b">
        <f>((Table3[[#This Row],[Quantity]]&gt;=Table3[[#This Row],[Return Qty]])*(ISNUMBER(Table3[[#This Row],[Quantity]])))=1</f>
        <v>1</v>
      </c>
      <c r="L868" t="b">
        <f>ISNUMBER(Table3[[#This Row],[Unit Price]])</f>
        <v>1</v>
      </c>
      <c r="M868" t="b">
        <f>ISNUMBER(Table3[[#This Row],[Order Date]])</f>
        <v>0</v>
      </c>
      <c r="N868">
        <f>IFERROR(IF(Table3[[#This Row],[Quantity]]*Table3[[#This Row],[Unit Price]]&lt;0, "N/A", Table3[[#This Row],[Quantity]]*Table3[[#This Row],[Unit Price]]), "N/A")</f>
        <v>750000</v>
      </c>
      <c r="O868">
        <f>IFERROR(Table3[[#This Row],[Unit Price]]*Table3[[#This Row],[Return Qty]], "N/A")</f>
        <v>0</v>
      </c>
      <c r="P868">
        <f>IFERROR(IF((Table3[[#This Row],[Revenue before return]]-Table3[[#This Row],[Amount of order  returned]])&lt;0, "N/A", Table3[[#This Row],[Revenue before return]]-Table3[[#This Row],[Amount of order  returned]]), "N/A")</f>
        <v>750000</v>
      </c>
      <c r="Q86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869" spans="1:17" x14ac:dyDescent="0.2">
      <c r="A869" t="s">
        <v>1254</v>
      </c>
      <c r="B869" t="s">
        <v>9</v>
      </c>
      <c r="C869" t="s">
        <v>22</v>
      </c>
      <c r="D869" s="6">
        <v>8</v>
      </c>
      <c r="E869" s="5">
        <v>35000</v>
      </c>
      <c r="F869" t="s">
        <v>193</v>
      </c>
      <c r="G869" s="7">
        <v>46145</v>
      </c>
      <c r="H869" s="5">
        <v>1</v>
      </c>
      <c r="I86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69" t="b">
        <f>((ISNUMBER(Table3[[#This Row],[Quantity]]) )* (Table3[[#This Row],[Quantity]]&gt;0))=1</f>
        <v>1</v>
      </c>
      <c r="K869" t="b">
        <f>((Table3[[#This Row],[Quantity]]&gt;=Table3[[#This Row],[Return Qty]])*(ISNUMBER(Table3[[#This Row],[Quantity]])))=1</f>
        <v>1</v>
      </c>
      <c r="L869" t="b">
        <f>ISNUMBER(Table3[[#This Row],[Unit Price]])</f>
        <v>1</v>
      </c>
      <c r="M869" t="b">
        <f>ISNUMBER(Table3[[#This Row],[Order Date]])</f>
        <v>1</v>
      </c>
      <c r="N869">
        <f>IFERROR(IF(Table3[[#This Row],[Quantity]]*Table3[[#This Row],[Unit Price]]&lt;0, "N/A", Table3[[#This Row],[Quantity]]*Table3[[#This Row],[Unit Price]]), "N/A")</f>
        <v>280000</v>
      </c>
      <c r="O869">
        <f>IFERROR(Table3[[#This Row],[Unit Price]]*Table3[[#This Row],[Return Qty]], "N/A")</f>
        <v>35000</v>
      </c>
      <c r="P869">
        <f>IFERROR(IF((Table3[[#This Row],[Revenue before return]]-Table3[[#This Row],[Amount of order  returned]])&lt;0, "N/A", Table3[[#This Row],[Revenue before return]]-Table3[[#This Row],[Amount of order  returned]]), "N/A")</f>
        <v>245000</v>
      </c>
      <c r="Q86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70" spans="1:17" x14ac:dyDescent="0.2">
      <c r="A870" t="s">
        <v>1255</v>
      </c>
      <c r="B870" t="s">
        <v>21</v>
      </c>
      <c r="C870" t="s">
        <v>22</v>
      </c>
      <c r="D870" s="6">
        <v>5</v>
      </c>
      <c r="E870" s="5">
        <v>35000</v>
      </c>
      <c r="F870" t="s">
        <v>1169</v>
      </c>
      <c r="G870" s="7">
        <v>46094</v>
      </c>
      <c r="H870" s="5">
        <v>0</v>
      </c>
      <c r="I87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70" t="b">
        <f>((ISNUMBER(Table3[[#This Row],[Quantity]]) )* (Table3[[#This Row],[Quantity]]&gt;0))=1</f>
        <v>1</v>
      </c>
      <c r="K870" t="b">
        <f>((Table3[[#This Row],[Quantity]]&gt;=Table3[[#This Row],[Return Qty]])*(ISNUMBER(Table3[[#This Row],[Quantity]])))=1</f>
        <v>1</v>
      </c>
      <c r="L870" t="b">
        <f>ISNUMBER(Table3[[#This Row],[Unit Price]])</f>
        <v>1</v>
      </c>
      <c r="M870" t="b">
        <f>ISNUMBER(Table3[[#This Row],[Order Date]])</f>
        <v>1</v>
      </c>
      <c r="N870">
        <f>IFERROR(IF(Table3[[#This Row],[Quantity]]*Table3[[#This Row],[Unit Price]]&lt;0, "N/A", Table3[[#This Row],[Quantity]]*Table3[[#This Row],[Unit Price]]), "N/A")</f>
        <v>175000</v>
      </c>
      <c r="O870">
        <f>IFERROR(Table3[[#This Row],[Unit Price]]*Table3[[#This Row],[Return Qty]], "N/A")</f>
        <v>0</v>
      </c>
      <c r="P870">
        <f>IFERROR(IF((Table3[[#This Row],[Revenue before return]]-Table3[[#This Row],[Amount of order  returned]])&lt;0, "N/A", Table3[[#This Row],[Revenue before return]]-Table3[[#This Row],[Amount of order  returned]]), "N/A")</f>
        <v>175000</v>
      </c>
      <c r="Q87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71" spans="1:17" x14ac:dyDescent="0.2">
      <c r="A871" t="s">
        <v>1256</v>
      </c>
      <c r="B871" t="s">
        <v>25</v>
      </c>
      <c r="C871" t="s">
        <v>10</v>
      </c>
      <c r="D871" s="6">
        <v>15</v>
      </c>
      <c r="E871" s="5">
        <v>15000</v>
      </c>
      <c r="F871" t="s">
        <v>572</v>
      </c>
      <c r="G871" s="7">
        <v>46079</v>
      </c>
      <c r="H871" s="5">
        <v>0</v>
      </c>
      <c r="I87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71" t="b">
        <f>((ISNUMBER(Table3[[#This Row],[Quantity]]) )* (Table3[[#This Row],[Quantity]]&gt;0))=1</f>
        <v>1</v>
      </c>
      <c r="K871" t="b">
        <f>((Table3[[#This Row],[Quantity]]&gt;=Table3[[#This Row],[Return Qty]])*(ISNUMBER(Table3[[#This Row],[Quantity]])))=1</f>
        <v>1</v>
      </c>
      <c r="L871" t="b">
        <f>ISNUMBER(Table3[[#This Row],[Unit Price]])</f>
        <v>1</v>
      </c>
      <c r="M871" t="b">
        <f>ISNUMBER(Table3[[#This Row],[Order Date]])</f>
        <v>1</v>
      </c>
      <c r="N871">
        <f>IFERROR(IF(Table3[[#This Row],[Quantity]]*Table3[[#This Row],[Unit Price]]&lt;0, "N/A", Table3[[#This Row],[Quantity]]*Table3[[#This Row],[Unit Price]]), "N/A")</f>
        <v>225000</v>
      </c>
      <c r="O871">
        <f>IFERROR(Table3[[#This Row],[Unit Price]]*Table3[[#This Row],[Return Qty]], "N/A")</f>
        <v>0</v>
      </c>
      <c r="P871">
        <f>IFERROR(IF((Table3[[#This Row],[Revenue before return]]-Table3[[#This Row],[Amount of order  returned]])&lt;0, "N/A", Table3[[#This Row],[Revenue before return]]-Table3[[#This Row],[Amount of order  returned]]), "N/A")</f>
        <v>225000</v>
      </c>
      <c r="Q87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72" spans="1:17" x14ac:dyDescent="0.2">
      <c r="A872" t="s">
        <v>1257</v>
      </c>
      <c r="B872" t="s">
        <v>14</v>
      </c>
      <c r="C872" t="s">
        <v>32</v>
      </c>
      <c r="D872" s="6">
        <v>4</v>
      </c>
      <c r="E872" s="5">
        <v>8000</v>
      </c>
      <c r="F872" t="s">
        <v>320</v>
      </c>
      <c r="G872" s="7">
        <v>46132</v>
      </c>
      <c r="H872" s="5">
        <v>0</v>
      </c>
      <c r="I87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72" t="b">
        <f>((ISNUMBER(Table3[[#This Row],[Quantity]]) )* (Table3[[#This Row],[Quantity]]&gt;0))=1</f>
        <v>1</v>
      </c>
      <c r="K872" t="b">
        <f>((Table3[[#This Row],[Quantity]]&gt;=Table3[[#This Row],[Return Qty]])*(ISNUMBER(Table3[[#This Row],[Quantity]])))=1</f>
        <v>1</v>
      </c>
      <c r="L872" t="b">
        <f>ISNUMBER(Table3[[#This Row],[Unit Price]])</f>
        <v>1</v>
      </c>
      <c r="M872" t="b">
        <f>ISNUMBER(Table3[[#This Row],[Order Date]])</f>
        <v>1</v>
      </c>
      <c r="N872">
        <f>IFERROR(IF(Table3[[#This Row],[Quantity]]*Table3[[#This Row],[Unit Price]]&lt;0, "N/A", Table3[[#This Row],[Quantity]]*Table3[[#This Row],[Unit Price]]), "N/A")</f>
        <v>32000</v>
      </c>
      <c r="O872">
        <f>IFERROR(Table3[[#This Row],[Unit Price]]*Table3[[#This Row],[Return Qty]], "N/A")</f>
        <v>0</v>
      </c>
      <c r="P872">
        <f>IFERROR(IF((Table3[[#This Row],[Revenue before return]]-Table3[[#This Row],[Amount of order  returned]])&lt;0, "N/A", Table3[[#This Row],[Revenue before return]]-Table3[[#This Row],[Amount of order  returned]]), "N/A")</f>
        <v>32000</v>
      </c>
      <c r="Q87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73" spans="1:17" x14ac:dyDescent="0.2">
      <c r="A873" t="s">
        <v>1258</v>
      </c>
      <c r="B873" t="s">
        <v>25</v>
      </c>
      <c r="C873" t="s">
        <v>32</v>
      </c>
      <c r="D873" s="6">
        <v>1</v>
      </c>
      <c r="E873" s="5">
        <v>12000</v>
      </c>
      <c r="F873" t="s">
        <v>391</v>
      </c>
      <c r="G873" s="7">
        <v>46153</v>
      </c>
      <c r="H873" s="5">
        <v>0</v>
      </c>
      <c r="I87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73" t="b">
        <f>((ISNUMBER(Table3[[#This Row],[Quantity]]) )* (Table3[[#This Row],[Quantity]]&gt;0))=1</f>
        <v>1</v>
      </c>
      <c r="K873" t="b">
        <f>((Table3[[#This Row],[Quantity]]&gt;=Table3[[#This Row],[Return Qty]])*(ISNUMBER(Table3[[#This Row],[Quantity]])))=1</f>
        <v>1</v>
      </c>
      <c r="L873" t="b">
        <f>ISNUMBER(Table3[[#This Row],[Unit Price]])</f>
        <v>1</v>
      </c>
      <c r="M873" t="b">
        <f>ISNUMBER(Table3[[#This Row],[Order Date]])</f>
        <v>1</v>
      </c>
      <c r="N873">
        <f>IFERROR(IF(Table3[[#This Row],[Quantity]]*Table3[[#This Row],[Unit Price]]&lt;0, "N/A", Table3[[#This Row],[Quantity]]*Table3[[#This Row],[Unit Price]]), "N/A")</f>
        <v>12000</v>
      </c>
      <c r="O873">
        <f>IFERROR(Table3[[#This Row],[Unit Price]]*Table3[[#This Row],[Return Qty]], "N/A")</f>
        <v>0</v>
      </c>
      <c r="P873">
        <f>IFERROR(IF((Table3[[#This Row],[Revenue before return]]-Table3[[#This Row],[Amount of order  returned]])&lt;0, "N/A", Table3[[#This Row],[Revenue before return]]-Table3[[#This Row],[Amount of order  returned]]), "N/A")</f>
        <v>12000</v>
      </c>
      <c r="Q87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74" spans="1:17" x14ac:dyDescent="0.2">
      <c r="A874" t="s">
        <v>1259</v>
      </c>
      <c r="B874" t="s">
        <v>9</v>
      </c>
      <c r="C874" t="s">
        <v>45</v>
      </c>
      <c r="D874" s="6">
        <v>18</v>
      </c>
      <c r="E874" s="5">
        <v>20000</v>
      </c>
      <c r="F874" t="s">
        <v>812</v>
      </c>
      <c r="G874" s="7">
        <v>46077</v>
      </c>
      <c r="H874" s="5">
        <v>0</v>
      </c>
      <c r="I87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74" t="b">
        <f>((ISNUMBER(Table3[[#This Row],[Quantity]]) )* (Table3[[#This Row],[Quantity]]&gt;0))=1</f>
        <v>1</v>
      </c>
      <c r="K874" t="b">
        <f>((Table3[[#This Row],[Quantity]]&gt;=Table3[[#This Row],[Return Qty]])*(ISNUMBER(Table3[[#This Row],[Quantity]])))=1</f>
        <v>1</v>
      </c>
      <c r="L874" t="b">
        <f>ISNUMBER(Table3[[#This Row],[Unit Price]])</f>
        <v>1</v>
      </c>
      <c r="M874" t="b">
        <f>ISNUMBER(Table3[[#This Row],[Order Date]])</f>
        <v>1</v>
      </c>
      <c r="N874">
        <f>IFERROR(IF(Table3[[#This Row],[Quantity]]*Table3[[#This Row],[Unit Price]]&lt;0, "N/A", Table3[[#This Row],[Quantity]]*Table3[[#This Row],[Unit Price]]), "N/A")</f>
        <v>360000</v>
      </c>
      <c r="O874">
        <f>IFERROR(Table3[[#This Row],[Unit Price]]*Table3[[#This Row],[Return Qty]], "N/A")</f>
        <v>0</v>
      </c>
      <c r="P874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87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75" spans="1:17" x14ac:dyDescent="0.2">
      <c r="A875" t="s">
        <v>1260</v>
      </c>
      <c r="B875" t="s">
        <v>25</v>
      </c>
      <c r="C875" t="s">
        <v>45</v>
      </c>
      <c r="D875" s="6">
        <v>6</v>
      </c>
      <c r="E875" s="5">
        <v>20000</v>
      </c>
      <c r="F875" t="s">
        <v>474</v>
      </c>
      <c r="G875" s="7">
        <v>46194</v>
      </c>
      <c r="H875" s="5">
        <v>0</v>
      </c>
      <c r="I87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75" t="b">
        <f>((ISNUMBER(Table3[[#This Row],[Quantity]]) )* (Table3[[#This Row],[Quantity]]&gt;0))=1</f>
        <v>1</v>
      </c>
      <c r="K875" t="b">
        <f>((Table3[[#This Row],[Quantity]]&gt;=Table3[[#This Row],[Return Qty]])*(ISNUMBER(Table3[[#This Row],[Quantity]])))=1</f>
        <v>1</v>
      </c>
      <c r="L875" t="b">
        <f>ISNUMBER(Table3[[#This Row],[Unit Price]])</f>
        <v>1</v>
      </c>
      <c r="M875" t="b">
        <f>ISNUMBER(Table3[[#This Row],[Order Date]])</f>
        <v>1</v>
      </c>
      <c r="N875">
        <f>IFERROR(IF(Table3[[#This Row],[Quantity]]*Table3[[#This Row],[Unit Price]]&lt;0, "N/A", Table3[[#This Row],[Quantity]]*Table3[[#This Row],[Unit Price]]), "N/A")</f>
        <v>120000</v>
      </c>
      <c r="O875">
        <f>IFERROR(Table3[[#This Row],[Unit Price]]*Table3[[#This Row],[Return Qty]], "N/A")</f>
        <v>0</v>
      </c>
      <c r="P875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87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76" spans="1:17" x14ac:dyDescent="0.2">
      <c r="A876" t="s">
        <v>1261</v>
      </c>
      <c r="B876" t="s">
        <v>14</v>
      </c>
      <c r="C876" t="s">
        <v>32</v>
      </c>
      <c r="D876" s="6">
        <v>-9</v>
      </c>
      <c r="E876" s="5">
        <v>8000</v>
      </c>
      <c r="F876" t="s">
        <v>431</v>
      </c>
      <c r="G876" s="7">
        <v>46059</v>
      </c>
      <c r="H876" s="5">
        <v>2</v>
      </c>
      <c r="I87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76" t="b">
        <f>((ISNUMBER(Table3[[#This Row],[Quantity]]) )* (Table3[[#This Row],[Quantity]]&gt;0))=1</f>
        <v>0</v>
      </c>
      <c r="K876" t="b">
        <f>((Table3[[#This Row],[Quantity]]&gt;=Table3[[#This Row],[Return Qty]])*(ISNUMBER(Table3[[#This Row],[Quantity]])))=1</f>
        <v>0</v>
      </c>
      <c r="L876" t="b">
        <f>ISNUMBER(Table3[[#This Row],[Unit Price]])</f>
        <v>1</v>
      </c>
      <c r="M876" t="b">
        <f>ISNUMBER(Table3[[#This Row],[Order Date]])</f>
        <v>1</v>
      </c>
      <c r="N876" t="str">
        <f>IFERROR(IF(Table3[[#This Row],[Quantity]]*Table3[[#This Row],[Unit Price]]&lt;0, "N/A", Table3[[#This Row],[Quantity]]*Table3[[#This Row],[Unit Price]]), "N/A")</f>
        <v>N/A</v>
      </c>
      <c r="O876">
        <f>IFERROR(Table3[[#This Row],[Unit Price]]*Table3[[#This Row],[Return Qty]], "N/A")</f>
        <v>16000</v>
      </c>
      <c r="P876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87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877" spans="1:17" x14ac:dyDescent="0.2">
      <c r="A877" t="s">
        <v>1262</v>
      </c>
      <c r="B877" t="s">
        <v>21</v>
      </c>
      <c r="C877" t="s">
        <v>22</v>
      </c>
      <c r="D877" s="6">
        <v>10</v>
      </c>
      <c r="E877" s="5">
        <v>35000</v>
      </c>
      <c r="F877" t="s">
        <v>437</v>
      </c>
      <c r="G877" s="7">
        <v>46081</v>
      </c>
      <c r="H877" s="5">
        <v>0</v>
      </c>
      <c r="I87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77" t="b">
        <f>((ISNUMBER(Table3[[#This Row],[Quantity]]) )* (Table3[[#This Row],[Quantity]]&gt;0))=1</f>
        <v>1</v>
      </c>
      <c r="K877" t="b">
        <f>((Table3[[#This Row],[Quantity]]&gt;=Table3[[#This Row],[Return Qty]])*(ISNUMBER(Table3[[#This Row],[Quantity]])))=1</f>
        <v>1</v>
      </c>
      <c r="L877" t="b">
        <f>ISNUMBER(Table3[[#This Row],[Unit Price]])</f>
        <v>1</v>
      </c>
      <c r="M877" t="b">
        <f>ISNUMBER(Table3[[#This Row],[Order Date]])</f>
        <v>1</v>
      </c>
      <c r="N877">
        <f>IFERROR(IF(Table3[[#This Row],[Quantity]]*Table3[[#This Row],[Unit Price]]&lt;0, "N/A", Table3[[#This Row],[Quantity]]*Table3[[#This Row],[Unit Price]]), "N/A")</f>
        <v>350000</v>
      </c>
      <c r="O877">
        <f>IFERROR(Table3[[#This Row],[Unit Price]]*Table3[[#This Row],[Return Qty]], "N/A")</f>
        <v>0</v>
      </c>
      <c r="P877">
        <f>IFERROR(IF((Table3[[#This Row],[Revenue before return]]-Table3[[#This Row],[Amount of order  returned]])&lt;0, "N/A", Table3[[#This Row],[Revenue before return]]-Table3[[#This Row],[Amount of order  returned]]), "N/A")</f>
        <v>350000</v>
      </c>
      <c r="Q87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78" spans="1:17" x14ac:dyDescent="0.2">
      <c r="A878" t="s">
        <v>1263</v>
      </c>
      <c r="B878" t="s">
        <v>25</v>
      </c>
      <c r="C878" t="s">
        <v>22</v>
      </c>
      <c r="D878" s="6">
        <v>23</v>
      </c>
      <c r="E878" s="5">
        <v>35000</v>
      </c>
      <c r="F878" t="s">
        <v>12</v>
      </c>
      <c r="G878" s="7">
        <v>46149</v>
      </c>
      <c r="H878" s="5">
        <v>0</v>
      </c>
      <c r="I87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78" t="b">
        <f>((ISNUMBER(Table3[[#This Row],[Quantity]]) )* (Table3[[#This Row],[Quantity]]&gt;0))=1</f>
        <v>1</v>
      </c>
      <c r="K878" t="b">
        <f>((Table3[[#This Row],[Quantity]]&gt;=Table3[[#This Row],[Return Qty]])*(ISNUMBER(Table3[[#This Row],[Quantity]])))=1</f>
        <v>1</v>
      </c>
      <c r="L878" t="b">
        <f>ISNUMBER(Table3[[#This Row],[Unit Price]])</f>
        <v>1</v>
      </c>
      <c r="M878" t="b">
        <f>ISNUMBER(Table3[[#This Row],[Order Date]])</f>
        <v>1</v>
      </c>
      <c r="N878">
        <f>IFERROR(IF(Table3[[#This Row],[Quantity]]*Table3[[#This Row],[Unit Price]]&lt;0, "N/A", Table3[[#This Row],[Quantity]]*Table3[[#This Row],[Unit Price]]), "N/A")</f>
        <v>805000</v>
      </c>
      <c r="O878">
        <f>IFERROR(Table3[[#This Row],[Unit Price]]*Table3[[#This Row],[Return Qty]], "N/A")</f>
        <v>0</v>
      </c>
      <c r="P878">
        <f>IFERROR(IF((Table3[[#This Row],[Revenue before return]]-Table3[[#This Row],[Amount of order  returned]])&lt;0, "N/A", Table3[[#This Row],[Revenue before return]]-Table3[[#This Row],[Amount of order  returned]]), "N/A")</f>
        <v>805000</v>
      </c>
      <c r="Q87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79" spans="1:17" x14ac:dyDescent="0.2">
      <c r="A879" t="s">
        <v>1264</v>
      </c>
      <c r="B879" t="s">
        <v>14</v>
      </c>
      <c r="C879" t="s">
        <v>26</v>
      </c>
      <c r="D879" s="6">
        <v>5</v>
      </c>
      <c r="E879" s="5">
        <v>20000</v>
      </c>
      <c r="F879" t="s">
        <v>296</v>
      </c>
      <c r="G879" s="7">
        <v>46024</v>
      </c>
      <c r="H879" s="5">
        <v>2</v>
      </c>
      <c r="I87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79" t="b">
        <f>((ISNUMBER(Table3[[#This Row],[Quantity]]) )* (Table3[[#This Row],[Quantity]]&gt;0))=1</f>
        <v>1</v>
      </c>
      <c r="K879" t="b">
        <f>((Table3[[#This Row],[Quantity]]&gt;=Table3[[#This Row],[Return Qty]])*(ISNUMBER(Table3[[#This Row],[Quantity]])))=1</f>
        <v>1</v>
      </c>
      <c r="L879" t="b">
        <f>ISNUMBER(Table3[[#This Row],[Unit Price]])</f>
        <v>1</v>
      </c>
      <c r="M879" t="b">
        <f>ISNUMBER(Table3[[#This Row],[Order Date]])</f>
        <v>1</v>
      </c>
      <c r="N879">
        <f>IFERROR(IF(Table3[[#This Row],[Quantity]]*Table3[[#This Row],[Unit Price]]&lt;0, "N/A", Table3[[#This Row],[Quantity]]*Table3[[#This Row],[Unit Price]]), "N/A")</f>
        <v>100000</v>
      </c>
      <c r="O879">
        <f>IFERROR(Table3[[#This Row],[Unit Price]]*Table3[[#This Row],[Return Qty]], "N/A")</f>
        <v>40000</v>
      </c>
      <c r="P879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87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80" spans="1:17" x14ac:dyDescent="0.2">
      <c r="A880" t="s">
        <v>1265</v>
      </c>
      <c r="B880" t="s">
        <v>9</v>
      </c>
      <c r="C880" t="s">
        <v>32</v>
      </c>
      <c r="D880" s="6">
        <v>18</v>
      </c>
      <c r="E880" s="5">
        <v>8000</v>
      </c>
      <c r="F880" t="s">
        <v>1266</v>
      </c>
      <c r="G880" s="7">
        <v>46177</v>
      </c>
      <c r="H880" s="5">
        <v>0</v>
      </c>
      <c r="I88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80" t="b">
        <f>((ISNUMBER(Table3[[#This Row],[Quantity]]) )* (Table3[[#This Row],[Quantity]]&gt;0))=1</f>
        <v>1</v>
      </c>
      <c r="K880" t="b">
        <f>((Table3[[#This Row],[Quantity]]&gt;=Table3[[#This Row],[Return Qty]])*(ISNUMBER(Table3[[#This Row],[Quantity]])))=1</f>
        <v>1</v>
      </c>
      <c r="L880" t="b">
        <f>ISNUMBER(Table3[[#This Row],[Unit Price]])</f>
        <v>1</v>
      </c>
      <c r="M880" t="b">
        <f>ISNUMBER(Table3[[#This Row],[Order Date]])</f>
        <v>1</v>
      </c>
      <c r="N880">
        <f>IFERROR(IF(Table3[[#This Row],[Quantity]]*Table3[[#This Row],[Unit Price]]&lt;0, "N/A", Table3[[#This Row],[Quantity]]*Table3[[#This Row],[Unit Price]]), "N/A")</f>
        <v>144000</v>
      </c>
      <c r="O880">
        <f>IFERROR(Table3[[#This Row],[Unit Price]]*Table3[[#This Row],[Return Qty]], "N/A")</f>
        <v>0</v>
      </c>
      <c r="P880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88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81" spans="1:17" x14ac:dyDescent="0.2">
      <c r="A881" t="s">
        <v>1267</v>
      </c>
      <c r="B881" t="s">
        <v>21</v>
      </c>
      <c r="C881" t="s">
        <v>18</v>
      </c>
      <c r="D881" s="6">
        <v>18</v>
      </c>
      <c r="E881" s="5">
        <v>50000</v>
      </c>
      <c r="F881" t="s">
        <v>282</v>
      </c>
      <c r="G881" s="7">
        <v>46163</v>
      </c>
      <c r="H881" s="5">
        <v>0</v>
      </c>
      <c r="I88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81" t="b">
        <f>((ISNUMBER(Table3[[#This Row],[Quantity]]) )* (Table3[[#This Row],[Quantity]]&gt;0))=1</f>
        <v>1</v>
      </c>
      <c r="K881" t="b">
        <f>((Table3[[#This Row],[Quantity]]&gt;=Table3[[#This Row],[Return Qty]])*(ISNUMBER(Table3[[#This Row],[Quantity]])))=1</f>
        <v>1</v>
      </c>
      <c r="L881" t="b">
        <f>ISNUMBER(Table3[[#This Row],[Unit Price]])</f>
        <v>1</v>
      </c>
      <c r="M881" t="b">
        <f>ISNUMBER(Table3[[#This Row],[Order Date]])</f>
        <v>1</v>
      </c>
      <c r="N881">
        <f>IFERROR(IF(Table3[[#This Row],[Quantity]]*Table3[[#This Row],[Unit Price]]&lt;0, "N/A", Table3[[#This Row],[Quantity]]*Table3[[#This Row],[Unit Price]]), "N/A")</f>
        <v>900000</v>
      </c>
      <c r="O881">
        <f>IFERROR(Table3[[#This Row],[Unit Price]]*Table3[[#This Row],[Return Qty]], "N/A")</f>
        <v>0</v>
      </c>
      <c r="P881">
        <f>IFERROR(IF((Table3[[#This Row],[Revenue before return]]-Table3[[#This Row],[Amount of order  returned]])&lt;0, "N/A", Table3[[#This Row],[Revenue before return]]-Table3[[#This Row],[Amount of order  returned]]), "N/A")</f>
        <v>900000</v>
      </c>
      <c r="Q88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82" spans="1:17" x14ac:dyDescent="0.2">
      <c r="A882" t="s">
        <v>1268</v>
      </c>
      <c r="B882" t="s">
        <v>21</v>
      </c>
      <c r="C882" t="s">
        <v>10</v>
      </c>
      <c r="D882" s="6">
        <v>25</v>
      </c>
      <c r="E882" s="5">
        <v>15000</v>
      </c>
      <c r="F882" t="s">
        <v>1269</v>
      </c>
      <c r="G882" s="7" t="s">
        <v>11</v>
      </c>
      <c r="H882" s="5">
        <v>0</v>
      </c>
      <c r="I88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82" t="b">
        <f>((ISNUMBER(Table3[[#This Row],[Quantity]]) )* (Table3[[#This Row],[Quantity]]&gt;0))=1</f>
        <v>1</v>
      </c>
      <c r="K882" t="b">
        <f>((Table3[[#This Row],[Quantity]]&gt;=Table3[[#This Row],[Return Qty]])*(ISNUMBER(Table3[[#This Row],[Quantity]])))=1</f>
        <v>1</v>
      </c>
      <c r="L882" t="b">
        <f>ISNUMBER(Table3[[#This Row],[Unit Price]])</f>
        <v>1</v>
      </c>
      <c r="M882" t="b">
        <f>ISNUMBER(Table3[[#This Row],[Order Date]])</f>
        <v>0</v>
      </c>
      <c r="N882">
        <f>IFERROR(IF(Table3[[#This Row],[Quantity]]*Table3[[#This Row],[Unit Price]]&lt;0, "N/A", Table3[[#This Row],[Quantity]]*Table3[[#This Row],[Unit Price]]), "N/A")</f>
        <v>375000</v>
      </c>
      <c r="O882">
        <f>IFERROR(Table3[[#This Row],[Unit Price]]*Table3[[#This Row],[Return Qty]], "N/A")</f>
        <v>0</v>
      </c>
      <c r="P882">
        <f>IFERROR(IF((Table3[[#This Row],[Revenue before return]]-Table3[[#This Row],[Amount of order  returned]])&lt;0, "N/A", Table3[[#This Row],[Revenue before return]]-Table3[[#This Row],[Amount of order  returned]]), "N/A")</f>
        <v>375000</v>
      </c>
      <c r="Q88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883" spans="1:17" x14ac:dyDescent="0.2">
      <c r="A883" t="s">
        <v>1270</v>
      </c>
      <c r="B883" t="s">
        <v>25</v>
      </c>
      <c r="C883" t="s">
        <v>45</v>
      </c>
      <c r="D883" s="6">
        <v>10</v>
      </c>
      <c r="E883" s="5">
        <v>20000</v>
      </c>
      <c r="F883" t="s">
        <v>82</v>
      </c>
      <c r="G883" s="7">
        <v>46142</v>
      </c>
      <c r="H883" s="5">
        <v>2</v>
      </c>
      <c r="I88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83" t="b">
        <f>((ISNUMBER(Table3[[#This Row],[Quantity]]) )* (Table3[[#This Row],[Quantity]]&gt;0))=1</f>
        <v>1</v>
      </c>
      <c r="K883" t="b">
        <f>((Table3[[#This Row],[Quantity]]&gt;=Table3[[#This Row],[Return Qty]])*(ISNUMBER(Table3[[#This Row],[Quantity]])))=1</f>
        <v>1</v>
      </c>
      <c r="L883" t="b">
        <f>ISNUMBER(Table3[[#This Row],[Unit Price]])</f>
        <v>1</v>
      </c>
      <c r="M883" t="b">
        <f>ISNUMBER(Table3[[#This Row],[Order Date]])</f>
        <v>1</v>
      </c>
      <c r="N883">
        <f>IFERROR(IF(Table3[[#This Row],[Quantity]]*Table3[[#This Row],[Unit Price]]&lt;0, "N/A", Table3[[#This Row],[Quantity]]*Table3[[#This Row],[Unit Price]]), "N/A")</f>
        <v>200000</v>
      </c>
      <c r="O883">
        <f>IFERROR(Table3[[#This Row],[Unit Price]]*Table3[[#This Row],[Return Qty]], "N/A")</f>
        <v>40000</v>
      </c>
      <c r="P883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88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84" spans="1:17" x14ac:dyDescent="0.2">
      <c r="A884" t="s">
        <v>1271</v>
      </c>
      <c r="B884" t="s">
        <v>9</v>
      </c>
      <c r="C884" t="s">
        <v>70</v>
      </c>
      <c r="D884" s="6">
        <v>7</v>
      </c>
      <c r="E884" s="5">
        <v>28000</v>
      </c>
      <c r="F884" t="s">
        <v>389</v>
      </c>
      <c r="G884" s="7">
        <v>46138</v>
      </c>
      <c r="H884" s="5">
        <v>0</v>
      </c>
      <c r="I88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84" t="b">
        <f>((ISNUMBER(Table3[[#This Row],[Quantity]]) )* (Table3[[#This Row],[Quantity]]&gt;0))=1</f>
        <v>1</v>
      </c>
      <c r="K884" t="b">
        <f>((Table3[[#This Row],[Quantity]]&gt;=Table3[[#This Row],[Return Qty]])*(ISNUMBER(Table3[[#This Row],[Quantity]])))=1</f>
        <v>1</v>
      </c>
      <c r="L884" t="b">
        <f>ISNUMBER(Table3[[#This Row],[Unit Price]])</f>
        <v>1</v>
      </c>
      <c r="M884" t="b">
        <f>ISNUMBER(Table3[[#This Row],[Order Date]])</f>
        <v>1</v>
      </c>
      <c r="N884">
        <f>IFERROR(IF(Table3[[#This Row],[Quantity]]*Table3[[#This Row],[Unit Price]]&lt;0, "N/A", Table3[[#This Row],[Quantity]]*Table3[[#This Row],[Unit Price]]), "N/A")</f>
        <v>196000</v>
      </c>
      <c r="O884">
        <f>IFERROR(Table3[[#This Row],[Unit Price]]*Table3[[#This Row],[Return Qty]], "N/A")</f>
        <v>0</v>
      </c>
      <c r="P884">
        <f>IFERROR(IF((Table3[[#This Row],[Revenue before return]]-Table3[[#This Row],[Amount of order  returned]])&lt;0, "N/A", Table3[[#This Row],[Revenue before return]]-Table3[[#This Row],[Amount of order  returned]]), "N/A")</f>
        <v>196000</v>
      </c>
      <c r="Q88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85" spans="1:17" x14ac:dyDescent="0.2">
      <c r="A885" t="s">
        <v>1272</v>
      </c>
      <c r="B885" t="s">
        <v>25</v>
      </c>
      <c r="C885" t="s">
        <v>10</v>
      </c>
      <c r="D885" s="6">
        <v>3</v>
      </c>
      <c r="E885" s="5">
        <v>15000</v>
      </c>
      <c r="F885" t="s">
        <v>1274</v>
      </c>
      <c r="G885" s="7">
        <v>46093</v>
      </c>
      <c r="H885" s="5">
        <v>0</v>
      </c>
      <c r="I88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85" t="b">
        <f>((ISNUMBER(Table3[[#This Row],[Quantity]]) )* (Table3[[#This Row],[Quantity]]&gt;0))=1</f>
        <v>1</v>
      </c>
      <c r="K885" t="b">
        <f>((Table3[[#This Row],[Quantity]]&gt;=Table3[[#This Row],[Return Qty]])*(ISNUMBER(Table3[[#This Row],[Quantity]])))=1</f>
        <v>1</v>
      </c>
      <c r="L885" t="b">
        <f>ISNUMBER(Table3[[#This Row],[Unit Price]])</f>
        <v>1</v>
      </c>
      <c r="M885" t="b">
        <f>ISNUMBER(Table3[[#This Row],[Order Date]])</f>
        <v>1</v>
      </c>
      <c r="N885">
        <f>IFERROR(IF(Table3[[#This Row],[Quantity]]*Table3[[#This Row],[Unit Price]]&lt;0, "N/A", Table3[[#This Row],[Quantity]]*Table3[[#This Row],[Unit Price]]), "N/A")</f>
        <v>45000</v>
      </c>
      <c r="O885">
        <f>IFERROR(Table3[[#This Row],[Unit Price]]*Table3[[#This Row],[Return Qty]], "N/A")</f>
        <v>0</v>
      </c>
      <c r="P885">
        <f>IFERROR(IF((Table3[[#This Row],[Revenue before return]]-Table3[[#This Row],[Amount of order  returned]])&lt;0, "N/A", Table3[[#This Row],[Revenue before return]]-Table3[[#This Row],[Amount of order  returned]]), "N/A")</f>
        <v>45000</v>
      </c>
      <c r="Q88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86" spans="1:17" x14ac:dyDescent="0.2">
      <c r="A886" t="s">
        <v>1275</v>
      </c>
      <c r="B886" t="s">
        <v>9</v>
      </c>
      <c r="C886" t="s">
        <v>18</v>
      </c>
      <c r="D886" s="6">
        <v>15</v>
      </c>
      <c r="E886" s="5">
        <v>50000</v>
      </c>
      <c r="F886" t="s">
        <v>740</v>
      </c>
      <c r="G886" s="7">
        <v>46037</v>
      </c>
      <c r="H886" s="5">
        <v>0</v>
      </c>
      <c r="I88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86" t="b">
        <f>((ISNUMBER(Table3[[#This Row],[Quantity]]) )* (Table3[[#This Row],[Quantity]]&gt;0))=1</f>
        <v>1</v>
      </c>
      <c r="K886" t="b">
        <f>((Table3[[#This Row],[Quantity]]&gt;=Table3[[#This Row],[Return Qty]])*(ISNUMBER(Table3[[#This Row],[Quantity]])))=1</f>
        <v>1</v>
      </c>
      <c r="L886" t="b">
        <f>ISNUMBER(Table3[[#This Row],[Unit Price]])</f>
        <v>1</v>
      </c>
      <c r="M886" t="b">
        <f>ISNUMBER(Table3[[#This Row],[Order Date]])</f>
        <v>1</v>
      </c>
      <c r="N886">
        <f>IFERROR(IF(Table3[[#This Row],[Quantity]]*Table3[[#This Row],[Unit Price]]&lt;0, "N/A", Table3[[#This Row],[Quantity]]*Table3[[#This Row],[Unit Price]]), "N/A")</f>
        <v>750000</v>
      </c>
      <c r="O886">
        <f>IFERROR(Table3[[#This Row],[Unit Price]]*Table3[[#This Row],[Return Qty]], "N/A")</f>
        <v>0</v>
      </c>
      <c r="P886">
        <f>IFERROR(IF((Table3[[#This Row],[Revenue before return]]-Table3[[#This Row],[Amount of order  returned]])&lt;0, "N/A", Table3[[#This Row],[Revenue before return]]-Table3[[#This Row],[Amount of order  returned]]), "N/A")</f>
        <v>750000</v>
      </c>
      <c r="Q88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87" spans="1:17" x14ac:dyDescent="0.2">
      <c r="A887" t="s">
        <v>1276</v>
      </c>
      <c r="B887" t="s">
        <v>25</v>
      </c>
      <c r="C887" t="s">
        <v>18</v>
      </c>
      <c r="D887" s="6">
        <v>10</v>
      </c>
      <c r="E887" s="5">
        <v>50000</v>
      </c>
      <c r="F887" t="s">
        <v>482</v>
      </c>
      <c r="G887" s="7">
        <v>46045</v>
      </c>
      <c r="H887" s="5">
        <v>0</v>
      </c>
      <c r="I88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87" t="b">
        <f>((ISNUMBER(Table3[[#This Row],[Quantity]]) )* (Table3[[#This Row],[Quantity]]&gt;0))=1</f>
        <v>1</v>
      </c>
      <c r="K887" t="b">
        <f>((Table3[[#This Row],[Quantity]]&gt;=Table3[[#This Row],[Return Qty]])*(ISNUMBER(Table3[[#This Row],[Quantity]])))=1</f>
        <v>1</v>
      </c>
      <c r="L887" t="b">
        <f>ISNUMBER(Table3[[#This Row],[Unit Price]])</f>
        <v>1</v>
      </c>
      <c r="M887" t="b">
        <f>ISNUMBER(Table3[[#This Row],[Order Date]])</f>
        <v>1</v>
      </c>
      <c r="N887">
        <f>IFERROR(IF(Table3[[#This Row],[Quantity]]*Table3[[#This Row],[Unit Price]]&lt;0, "N/A", Table3[[#This Row],[Quantity]]*Table3[[#This Row],[Unit Price]]), "N/A")</f>
        <v>500000</v>
      </c>
      <c r="O887">
        <f>IFERROR(Table3[[#This Row],[Unit Price]]*Table3[[#This Row],[Return Qty]], "N/A")</f>
        <v>0</v>
      </c>
      <c r="P887">
        <f>IFERROR(IF((Table3[[#This Row],[Revenue before return]]-Table3[[#This Row],[Amount of order  returned]])&lt;0, "N/A", Table3[[#This Row],[Revenue before return]]-Table3[[#This Row],[Amount of order  returned]]), "N/A")</f>
        <v>500000</v>
      </c>
      <c r="Q88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88" spans="1:17" x14ac:dyDescent="0.2">
      <c r="A888" t="s">
        <v>1277</v>
      </c>
      <c r="B888" t="s">
        <v>21</v>
      </c>
      <c r="C888" t="s">
        <v>26</v>
      </c>
      <c r="D888" s="6">
        <v>5</v>
      </c>
      <c r="E888" s="5">
        <v>20000</v>
      </c>
      <c r="F888" t="s">
        <v>352</v>
      </c>
      <c r="G888" s="7">
        <v>46143</v>
      </c>
      <c r="H888" s="5">
        <v>0</v>
      </c>
      <c r="I88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88" t="b">
        <f>((ISNUMBER(Table3[[#This Row],[Quantity]]) )* (Table3[[#This Row],[Quantity]]&gt;0))=1</f>
        <v>1</v>
      </c>
      <c r="K888" t="b">
        <f>((Table3[[#This Row],[Quantity]]&gt;=Table3[[#This Row],[Return Qty]])*(ISNUMBER(Table3[[#This Row],[Quantity]])))=1</f>
        <v>1</v>
      </c>
      <c r="L888" t="b">
        <f>ISNUMBER(Table3[[#This Row],[Unit Price]])</f>
        <v>1</v>
      </c>
      <c r="M888" t="b">
        <f>ISNUMBER(Table3[[#This Row],[Order Date]])</f>
        <v>1</v>
      </c>
      <c r="N888">
        <f>IFERROR(IF(Table3[[#This Row],[Quantity]]*Table3[[#This Row],[Unit Price]]&lt;0, "N/A", Table3[[#This Row],[Quantity]]*Table3[[#This Row],[Unit Price]]), "N/A")</f>
        <v>100000</v>
      </c>
      <c r="O888">
        <f>IFERROR(Table3[[#This Row],[Unit Price]]*Table3[[#This Row],[Return Qty]], "N/A")</f>
        <v>0</v>
      </c>
      <c r="P888">
        <f>IFERROR(IF((Table3[[#This Row],[Revenue before return]]-Table3[[#This Row],[Amount of order  returned]])&lt;0, "N/A", Table3[[#This Row],[Revenue before return]]-Table3[[#This Row],[Amount of order  returned]]), "N/A")</f>
        <v>100000</v>
      </c>
      <c r="Q88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89" spans="1:17" x14ac:dyDescent="0.2">
      <c r="A889" t="s">
        <v>1278</v>
      </c>
      <c r="B889" t="s">
        <v>9</v>
      </c>
      <c r="C889" t="s">
        <v>18</v>
      </c>
      <c r="D889" s="6">
        <v>21</v>
      </c>
      <c r="E889" s="5">
        <v>50000</v>
      </c>
      <c r="F889" t="s">
        <v>1279</v>
      </c>
      <c r="G889" s="7">
        <v>46055</v>
      </c>
      <c r="H889" s="5">
        <v>0</v>
      </c>
      <c r="I88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89" t="b">
        <f>((ISNUMBER(Table3[[#This Row],[Quantity]]) )* (Table3[[#This Row],[Quantity]]&gt;0))=1</f>
        <v>1</v>
      </c>
      <c r="K889" t="b">
        <f>((Table3[[#This Row],[Quantity]]&gt;=Table3[[#This Row],[Return Qty]])*(ISNUMBER(Table3[[#This Row],[Quantity]])))=1</f>
        <v>1</v>
      </c>
      <c r="L889" t="b">
        <f>ISNUMBER(Table3[[#This Row],[Unit Price]])</f>
        <v>1</v>
      </c>
      <c r="M889" t="b">
        <f>ISNUMBER(Table3[[#This Row],[Order Date]])</f>
        <v>1</v>
      </c>
      <c r="N889">
        <f>IFERROR(IF(Table3[[#This Row],[Quantity]]*Table3[[#This Row],[Unit Price]]&lt;0, "N/A", Table3[[#This Row],[Quantity]]*Table3[[#This Row],[Unit Price]]), "N/A")</f>
        <v>1050000</v>
      </c>
      <c r="O889">
        <f>IFERROR(Table3[[#This Row],[Unit Price]]*Table3[[#This Row],[Return Qty]], "N/A")</f>
        <v>0</v>
      </c>
      <c r="P889">
        <f>IFERROR(IF((Table3[[#This Row],[Revenue before return]]-Table3[[#This Row],[Amount of order  returned]])&lt;0, "N/A", Table3[[#This Row],[Revenue before return]]-Table3[[#This Row],[Amount of order  returned]]), "N/A")</f>
        <v>1050000</v>
      </c>
      <c r="Q88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90" spans="1:17" x14ac:dyDescent="0.2">
      <c r="A890" t="s">
        <v>1280</v>
      </c>
      <c r="B890" t="s">
        <v>9</v>
      </c>
      <c r="C890" t="s">
        <v>39</v>
      </c>
      <c r="D890" s="6">
        <v>13</v>
      </c>
      <c r="E890" s="5">
        <v>12000</v>
      </c>
      <c r="F890" t="s">
        <v>1279</v>
      </c>
      <c r="G890" s="7">
        <v>46125</v>
      </c>
      <c r="H890" s="5">
        <v>0</v>
      </c>
      <c r="I89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90" t="b">
        <f>((ISNUMBER(Table3[[#This Row],[Quantity]]) )* (Table3[[#This Row],[Quantity]]&gt;0))=1</f>
        <v>1</v>
      </c>
      <c r="K890" t="b">
        <f>((Table3[[#This Row],[Quantity]]&gt;=Table3[[#This Row],[Return Qty]])*(ISNUMBER(Table3[[#This Row],[Quantity]])))=1</f>
        <v>1</v>
      </c>
      <c r="L890" t="b">
        <f>ISNUMBER(Table3[[#This Row],[Unit Price]])</f>
        <v>1</v>
      </c>
      <c r="M890" t="b">
        <f>ISNUMBER(Table3[[#This Row],[Order Date]])</f>
        <v>1</v>
      </c>
      <c r="N890">
        <f>IFERROR(IF(Table3[[#This Row],[Quantity]]*Table3[[#This Row],[Unit Price]]&lt;0, "N/A", Table3[[#This Row],[Quantity]]*Table3[[#This Row],[Unit Price]]), "N/A")</f>
        <v>156000</v>
      </c>
      <c r="O890">
        <f>IFERROR(Table3[[#This Row],[Unit Price]]*Table3[[#This Row],[Return Qty]], "N/A")</f>
        <v>0</v>
      </c>
      <c r="P890">
        <f>IFERROR(IF((Table3[[#This Row],[Revenue before return]]-Table3[[#This Row],[Amount of order  returned]])&lt;0, "N/A", Table3[[#This Row],[Revenue before return]]-Table3[[#This Row],[Amount of order  returned]]), "N/A")</f>
        <v>156000</v>
      </c>
      <c r="Q89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91" spans="1:17" x14ac:dyDescent="0.2">
      <c r="A891" t="s">
        <v>1281</v>
      </c>
      <c r="B891" t="s">
        <v>25</v>
      </c>
      <c r="C891" t="s">
        <v>18</v>
      </c>
      <c r="D891" s="6">
        <v>16</v>
      </c>
      <c r="E891" s="5">
        <v>50000</v>
      </c>
      <c r="F891" t="s">
        <v>92</v>
      </c>
      <c r="G891" s="7">
        <v>46136</v>
      </c>
      <c r="H891" s="5">
        <v>0</v>
      </c>
      <c r="I89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91" t="b">
        <f>((ISNUMBER(Table3[[#This Row],[Quantity]]) )* (Table3[[#This Row],[Quantity]]&gt;0))=1</f>
        <v>1</v>
      </c>
      <c r="K891" t="b">
        <f>((Table3[[#This Row],[Quantity]]&gt;=Table3[[#This Row],[Return Qty]])*(ISNUMBER(Table3[[#This Row],[Quantity]])))=1</f>
        <v>1</v>
      </c>
      <c r="L891" t="b">
        <f>ISNUMBER(Table3[[#This Row],[Unit Price]])</f>
        <v>1</v>
      </c>
      <c r="M891" t="b">
        <f>ISNUMBER(Table3[[#This Row],[Order Date]])</f>
        <v>1</v>
      </c>
      <c r="N891">
        <f>IFERROR(IF(Table3[[#This Row],[Quantity]]*Table3[[#This Row],[Unit Price]]&lt;0, "N/A", Table3[[#This Row],[Quantity]]*Table3[[#This Row],[Unit Price]]), "N/A")</f>
        <v>800000</v>
      </c>
      <c r="O891">
        <f>IFERROR(Table3[[#This Row],[Unit Price]]*Table3[[#This Row],[Return Qty]], "N/A")</f>
        <v>0</v>
      </c>
      <c r="P891">
        <f>IFERROR(IF((Table3[[#This Row],[Revenue before return]]-Table3[[#This Row],[Amount of order  returned]])&lt;0, "N/A", Table3[[#This Row],[Revenue before return]]-Table3[[#This Row],[Amount of order  returned]]), "N/A")</f>
        <v>800000</v>
      </c>
      <c r="Q89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92" spans="1:17" x14ac:dyDescent="0.2">
      <c r="A892" t="s">
        <v>1282</v>
      </c>
      <c r="B892" t="s">
        <v>358</v>
      </c>
      <c r="C892" t="s">
        <v>45</v>
      </c>
      <c r="D892" s="6">
        <v>8</v>
      </c>
      <c r="E892" s="5">
        <v>20000</v>
      </c>
      <c r="F892" t="s">
        <v>975</v>
      </c>
      <c r="G892" s="7">
        <v>46039</v>
      </c>
      <c r="H892" s="5">
        <v>0</v>
      </c>
      <c r="I89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92" t="b">
        <f>((ISNUMBER(Table3[[#This Row],[Quantity]]) )* (Table3[[#This Row],[Quantity]]&gt;0))=1</f>
        <v>1</v>
      </c>
      <c r="K892" t="b">
        <f>((Table3[[#This Row],[Quantity]]&gt;=Table3[[#This Row],[Return Qty]])*(ISNUMBER(Table3[[#This Row],[Quantity]])))=1</f>
        <v>1</v>
      </c>
      <c r="L892" t="b">
        <f>ISNUMBER(Table3[[#This Row],[Unit Price]])</f>
        <v>1</v>
      </c>
      <c r="M892" t="b">
        <f>ISNUMBER(Table3[[#This Row],[Order Date]])</f>
        <v>1</v>
      </c>
      <c r="N892">
        <f>IFERROR(IF(Table3[[#This Row],[Quantity]]*Table3[[#This Row],[Unit Price]]&lt;0, "N/A", Table3[[#This Row],[Quantity]]*Table3[[#This Row],[Unit Price]]), "N/A")</f>
        <v>160000</v>
      </c>
      <c r="O892">
        <f>IFERROR(Table3[[#This Row],[Unit Price]]*Table3[[#This Row],[Return Qty]], "N/A")</f>
        <v>0</v>
      </c>
      <c r="P892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89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93" spans="1:17" x14ac:dyDescent="0.2">
      <c r="A893" t="s">
        <v>1283</v>
      </c>
      <c r="B893" t="s">
        <v>14</v>
      </c>
      <c r="C893" t="s">
        <v>22</v>
      </c>
      <c r="D893" s="6">
        <v>18</v>
      </c>
      <c r="E893" s="5">
        <v>35000</v>
      </c>
      <c r="F893" t="s">
        <v>11</v>
      </c>
      <c r="G893" s="7">
        <v>46198</v>
      </c>
      <c r="H893" s="5">
        <v>1</v>
      </c>
      <c r="I89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93" t="b">
        <f>((ISNUMBER(Table3[[#This Row],[Quantity]]) )* (Table3[[#This Row],[Quantity]]&gt;0))=1</f>
        <v>1</v>
      </c>
      <c r="K893" t="b">
        <f>((Table3[[#This Row],[Quantity]]&gt;=Table3[[#This Row],[Return Qty]])*(ISNUMBER(Table3[[#This Row],[Quantity]])))=1</f>
        <v>1</v>
      </c>
      <c r="L893" t="b">
        <f>ISNUMBER(Table3[[#This Row],[Unit Price]])</f>
        <v>1</v>
      </c>
      <c r="M893" t="b">
        <f>ISNUMBER(Table3[[#This Row],[Order Date]])</f>
        <v>1</v>
      </c>
      <c r="N893">
        <f>IFERROR(IF(Table3[[#This Row],[Quantity]]*Table3[[#This Row],[Unit Price]]&lt;0, "N/A", Table3[[#This Row],[Quantity]]*Table3[[#This Row],[Unit Price]]), "N/A")</f>
        <v>630000</v>
      </c>
      <c r="O893">
        <f>IFERROR(Table3[[#This Row],[Unit Price]]*Table3[[#This Row],[Return Qty]], "N/A")</f>
        <v>35000</v>
      </c>
      <c r="P893">
        <f>IFERROR(IF((Table3[[#This Row],[Revenue before return]]-Table3[[#This Row],[Amount of order  returned]])&lt;0, "N/A", Table3[[#This Row],[Revenue before return]]-Table3[[#This Row],[Amount of order  returned]]), "N/A")</f>
        <v>595000</v>
      </c>
      <c r="Q89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94" spans="1:17" x14ac:dyDescent="0.2">
      <c r="A894" t="s">
        <v>1284</v>
      </c>
      <c r="B894" t="s">
        <v>25</v>
      </c>
      <c r="C894" t="s">
        <v>45</v>
      </c>
      <c r="D894" s="6">
        <v>-8</v>
      </c>
      <c r="E894" s="5">
        <v>20000</v>
      </c>
      <c r="F894" t="s">
        <v>230</v>
      </c>
      <c r="G894" s="7">
        <v>46092</v>
      </c>
      <c r="H894" s="5">
        <v>0</v>
      </c>
      <c r="I89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94" t="b">
        <f>((ISNUMBER(Table3[[#This Row],[Quantity]]) )* (Table3[[#This Row],[Quantity]]&gt;0))=1</f>
        <v>0</v>
      </c>
      <c r="K894" t="b">
        <f>((Table3[[#This Row],[Quantity]]&gt;=Table3[[#This Row],[Return Qty]])*(ISNUMBER(Table3[[#This Row],[Quantity]])))=1</f>
        <v>0</v>
      </c>
      <c r="L894" t="b">
        <f>ISNUMBER(Table3[[#This Row],[Unit Price]])</f>
        <v>1</v>
      </c>
      <c r="M894" t="b">
        <f>ISNUMBER(Table3[[#This Row],[Order Date]])</f>
        <v>1</v>
      </c>
      <c r="N894" t="str">
        <f>IFERROR(IF(Table3[[#This Row],[Quantity]]*Table3[[#This Row],[Unit Price]]&lt;0, "N/A", Table3[[#This Row],[Quantity]]*Table3[[#This Row],[Unit Price]]), "N/A")</f>
        <v>N/A</v>
      </c>
      <c r="O894">
        <f>IFERROR(Table3[[#This Row],[Unit Price]]*Table3[[#This Row],[Return Qty]], "N/A")</f>
        <v>0</v>
      </c>
      <c r="P894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89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895" spans="1:17" x14ac:dyDescent="0.2">
      <c r="A895" t="s">
        <v>1285</v>
      </c>
      <c r="B895" t="s">
        <v>25</v>
      </c>
      <c r="C895" t="s">
        <v>10</v>
      </c>
      <c r="D895" s="6">
        <v>13</v>
      </c>
      <c r="E895" s="5">
        <v>15000</v>
      </c>
      <c r="F895" t="s">
        <v>214</v>
      </c>
      <c r="G895" s="7">
        <v>46195</v>
      </c>
      <c r="H895" s="5">
        <v>4</v>
      </c>
      <c r="I89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95" t="b">
        <f>((ISNUMBER(Table3[[#This Row],[Quantity]]) )* (Table3[[#This Row],[Quantity]]&gt;0))=1</f>
        <v>1</v>
      </c>
      <c r="K895" t="b">
        <f>((Table3[[#This Row],[Quantity]]&gt;=Table3[[#This Row],[Return Qty]])*(ISNUMBER(Table3[[#This Row],[Quantity]])))=1</f>
        <v>1</v>
      </c>
      <c r="L895" t="b">
        <f>ISNUMBER(Table3[[#This Row],[Unit Price]])</f>
        <v>1</v>
      </c>
      <c r="M895" t="b">
        <f>ISNUMBER(Table3[[#This Row],[Order Date]])</f>
        <v>1</v>
      </c>
      <c r="N895">
        <f>IFERROR(IF(Table3[[#This Row],[Quantity]]*Table3[[#This Row],[Unit Price]]&lt;0, "N/A", Table3[[#This Row],[Quantity]]*Table3[[#This Row],[Unit Price]]), "N/A")</f>
        <v>195000</v>
      </c>
      <c r="O895">
        <f>IFERROR(Table3[[#This Row],[Unit Price]]*Table3[[#This Row],[Return Qty]], "N/A")</f>
        <v>60000</v>
      </c>
      <c r="P895">
        <f>IFERROR(IF((Table3[[#This Row],[Revenue before return]]-Table3[[#This Row],[Amount of order  returned]])&lt;0, "N/A", Table3[[#This Row],[Revenue before return]]-Table3[[#This Row],[Amount of order  returned]]), "N/A")</f>
        <v>135000</v>
      </c>
      <c r="Q89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96" spans="1:17" x14ac:dyDescent="0.2">
      <c r="A896" t="s">
        <v>1286</v>
      </c>
      <c r="B896" t="s">
        <v>25</v>
      </c>
      <c r="C896" t="s">
        <v>39</v>
      </c>
      <c r="D896" s="6">
        <v>3</v>
      </c>
      <c r="E896" s="5">
        <v>12000</v>
      </c>
      <c r="F896" t="s">
        <v>477</v>
      </c>
      <c r="G896" s="7">
        <v>46024</v>
      </c>
      <c r="H896" s="5">
        <v>0</v>
      </c>
      <c r="I89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96" t="b">
        <f>((ISNUMBER(Table3[[#This Row],[Quantity]]) )* (Table3[[#This Row],[Quantity]]&gt;0))=1</f>
        <v>1</v>
      </c>
      <c r="K896" t="b">
        <f>((Table3[[#This Row],[Quantity]]&gt;=Table3[[#This Row],[Return Qty]])*(ISNUMBER(Table3[[#This Row],[Quantity]])))=1</f>
        <v>1</v>
      </c>
      <c r="L896" t="b">
        <f>ISNUMBER(Table3[[#This Row],[Unit Price]])</f>
        <v>1</v>
      </c>
      <c r="M896" t="b">
        <f>ISNUMBER(Table3[[#This Row],[Order Date]])</f>
        <v>1</v>
      </c>
      <c r="N896">
        <f>IFERROR(IF(Table3[[#This Row],[Quantity]]*Table3[[#This Row],[Unit Price]]&lt;0, "N/A", Table3[[#This Row],[Quantity]]*Table3[[#This Row],[Unit Price]]), "N/A")</f>
        <v>36000</v>
      </c>
      <c r="O896">
        <f>IFERROR(Table3[[#This Row],[Unit Price]]*Table3[[#This Row],[Return Qty]], "N/A")</f>
        <v>0</v>
      </c>
      <c r="P896">
        <f>IFERROR(IF((Table3[[#This Row],[Revenue before return]]-Table3[[#This Row],[Amount of order  returned]])&lt;0, "N/A", Table3[[#This Row],[Revenue before return]]-Table3[[#This Row],[Amount of order  returned]]), "N/A")</f>
        <v>36000</v>
      </c>
      <c r="Q89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97" spans="1:17" x14ac:dyDescent="0.2">
      <c r="A897" t="s">
        <v>1287</v>
      </c>
      <c r="B897" t="s">
        <v>9</v>
      </c>
      <c r="C897" t="s">
        <v>10</v>
      </c>
      <c r="D897" s="6">
        <v>16</v>
      </c>
      <c r="E897" s="5">
        <v>15000</v>
      </c>
      <c r="F897" t="s">
        <v>11</v>
      </c>
      <c r="G897" s="7">
        <v>46055</v>
      </c>
      <c r="H897" s="5">
        <v>0</v>
      </c>
      <c r="I89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97" t="b">
        <f>((ISNUMBER(Table3[[#This Row],[Quantity]]) )* (Table3[[#This Row],[Quantity]]&gt;0))=1</f>
        <v>1</v>
      </c>
      <c r="K897" t="b">
        <f>((Table3[[#This Row],[Quantity]]&gt;=Table3[[#This Row],[Return Qty]])*(ISNUMBER(Table3[[#This Row],[Quantity]])))=1</f>
        <v>1</v>
      </c>
      <c r="L897" t="b">
        <f>ISNUMBER(Table3[[#This Row],[Unit Price]])</f>
        <v>1</v>
      </c>
      <c r="M897" t="b">
        <f>ISNUMBER(Table3[[#This Row],[Order Date]])</f>
        <v>1</v>
      </c>
      <c r="N897">
        <f>IFERROR(IF(Table3[[#This Row],[Quantity]]*Table3[[#This Row],[Unit Price]]&lt;0, "N/A", Table3[[#This Row],[Quantity]]*Table3[[#This Row],[Unit Price]]), "N/A")</f>
        <v>240000</v>
      </c>
      <c r="O897">
        <f>IFERROR(Table3[[#This Row],[Unit Price]]*Table3[[#This Row],[Return Qty]], "N/A")</f>
        <v>0</v>
      </c>
      <c r="P897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89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98" spans="1:17" x14ac:dyDescent="0.2">
      <c r="A898" t="s">
        <v>1288</v>
      </c>
      <c r="B898" t="s">
        <v>9</v>
      </c>
      <c r="C898" t="s">
        <v>45</v>
      </c>
      <c r="D898" s="6">
        <v>13</v>
      </c>
      <c r="E898" s="5">
        <v>20000</v>
      </c>
      <c r="F898" t="s">
        <v>719</v>
      </c>
      <c r="G898" s="7">
        <v>46127</v>
      </c>
      <c r="H898" s="5">
        <v>0</v>
      </c>
      <c r="I89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98" t="b">
        <f>((ISNUMBER(Table3[[#This Row],[Quantity]]) )* (Table3[[#This Row],[Quantity]]&gt;0))=1</f>
        <v>1</v>
      </c>
      <c r="K898" t="b">
        <f>((Table3[[#This Row],[Quantity]]&gt;=Table3[[#This Row],[Return Qty]])*(ISNUMBER(Table3[[#This Row],[Quantity]])))=1</f>
        <v>1</v>
      </c>
      <c r="L898" t="b">
        <f>ISNUMBER(Table3[[#This Row],[Unit Price]])</f>
        <v>1</v>
      </c>
      <c r="M898" t="b">
        <f>ISNUMBER(Table3[[#This Row],[Order Date]])</f>
        <v>1</v>
      </c>
      <c r="N898">
        <f>IFERROR(IF(Table3[[#This Row],[Quantity]]*Table3[[#This Row],[Unit Price]]&lt;0, "N/A", Table3[[#This Row],[Quantity]]*Table3[[#This Row],[Unit Price]]), "N/A")</f>
        <v>260000</v>
      </c>
      <c r="O898">
        <f>IFERROR(Table3[[#This Row],[Unit Price]]*Table3[[#This Row],[Return Qty]], "N/A")</f>
        <v>0</v>
      </c>
      <c r="P898">
        <f>IFERROR(IF((Table3[[#This Row],[Revenue before return]]-Table3[[#This Row],[Amount of order  returned]])&lt;0, "N/A", Table3[[#This Row],[Revenue before return]]-Table3[[#This Row],[Amount of order  returned]]), "N/A")</f>
        <v>260000</v>
      </c>
      <c r="Q89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899" spans="1:17" x14ac:dyDescent="0.2">
      <c r="A899" t="s">
        <v>1289</v>
      </c>
      <c r="B899" t="s">
        <v>25</v>
      </c>
      <c r="C899" t="s">
        <v>10</v>
      </c>
      <c r="D899" s="6">
        <v>25</v>
      </c>
      <c r="E899" s="5">
        <v>15000</v>
      </c>
      <c r="F899" t="s">
        <v>92</v>
      </c>
      <c r="G899" s="7">
        <v>46149</v>
      </c>
      <c r="H899" s="5">
        <v>0</v>
      </c>
      <c r="I89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899" t="b">
        <f>((ISNUMBER(Table3[[#This Row],[Quantity]]) )* (Table3[[#This Row],[Quantity]]&gt;0))=1</f>
        <v>1</v>
      </c>
      <c r="K899" t="b">
        <f>((Table3[[#This Row],[Quantity]]&gt;=Table3[[#This Row],[Return Qty]])*(ISNUMBER(Table3[[#This Row],[Quantity]])))=1</f>
        <v>1</v>
      </c>
      <c r="L899" t="b">
        <f>ISNUMBER(Table3[[#This Row],[Unit Price]])</f>
        <v>1</v>
      </c>
      <c r="M899" t="b">
        <f>ISNUMBER(Table3[[#This Row],[Order Date]])</f>
        <v>1</v>
      </c>
      <c r="N899">
        <f>IFERROR(IF(Table3[[#This Row],[Quantity]]*Table3[[#This Row],[Unit Price]]&lt;0, "N/A", Table3[[#This Row],[Quantity]]*Table3[[#This Row],[Unit Price]]), "N/A")</f>
        <v>375000</v>
      </c>
      <c r="O899">
        <f>IFERROR(Table3[[#This Row],[Unit Price]]*Table3[[#This Row],[Return Qty]], "N/A")</f>
        <v>0</v>
      </c>
      <c r="P899">
        <f>IFERROR(IF((Table3[[#This Row],[Revenue before return]]-Table3[[#This Row],[Amount of order  returned]])&lt;0, "N/A", Table3[[#This Row],[Revenue before return]]-Table3[[#This Row],[Amount of order  returned]]), "N/A")</f>
        <v>375000</v>
      </c>
      <c r="Q89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00" spans="1:17" x14ac:dyDescent="0.2">
      <c r="A900" t="s">
        <v>1290</v>
      </c>
      <c r="B900" t="s">
        <v>25</v>
      </c>
      <c r="C900" t="s">
        <v>10</v>
      </c>
      <c r="D900" s="6">
        <v>24</v>
      </c>
      <c r="E900" s="5">
        <v>15000</v>
      </c>
      <c r="F900" t="s">
        <v>572</v>
      </c>
      <c r="G900" s="7">
        <v>46038</v>
      </c>
      <c r="H900" s="5">
        <v>0</v>
      </c>
      <c r="I90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00" t="b">
        <f>((ISNUMBER(Table3[[#This Row],[Quantity]]) )* (Table3[[#This Row],[Quantity]]&gt;0))=1</f>
        <v>1</v>
      </c>
      <c r="K900" t="b">
        <f>((Table3[[#This Row],[Quantity]]&gt;=Table3[[#This Row],[Return Qty]])*(ISNUMBER(Table3[[#This Row],[Quantity]])))=1</f>
        <v>1</v>
      </c>
      <c r="L900" t="b">
        <f>ISNUMBER(Table3[[#This Row],[Unit Price]])</f>
        <v>1</v>
      </c>
      <c r="M900" t="b">
        <f>ISNUMBER(Table3[[#This Row],[Order Date]])</f>
        <v>1</v>
      </c>
      <c r="N900">
        <f>IFERROR(IF(Table3[[#This Row],[Quantity]]*Table3[[#This Row],[Unit Price]]&lt;0, "N/A", Table3[[#This Row],[Quantity]]*Table3[[#This Row],[Unit Price]]), "N/A")</f>
        <v>360000</v>
      </c>
      <c r="O900">
        <f>IFERROR(Table3[[#This Row],[Unit Price]]*Table3[[#This Row],[Return Qty]], "N/A")</f>
        <v>0</v>
      </c>
      <c r="P900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90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01" spans="1:17" x14ac:dyDescent="0.2">
      <c r="A901" t="s">
        <v>1291</v>
      </c>
      <c r="B901" t="s">
        <v>14</v>
      </c>
      <c r="C901" t="s">
        <v>32</v>
      </c>
      <c r="D901" s="6">
        <v>18</v>
      </c>
      <c r="E901" s="5">
        <v>8000</v>
      </c>
      <c r="F901" t="s">
        <v>595</v>
      </c>
      <c r="G901" s="7">
        <v>46156</v>
      </c>
      <c r="H901" s="5">
        <v>0</v>
      </c>
      <c r="I90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01" t="b">
        <f>((ISNUMBER(Table3[[#This Row],[Quantity]]) )* (Table3[[#This Row],[Quantity]]&gt;0))=1</f>
        <v>1</v>
      </c>
      <c r="K901" t="b">
        <f>((Table3[[#This Row],[Quantity]]&gt;=Table3[[#This Row],[Return Qty]])*(ISNUMBER(Table3[[#This Row],[Quantity]])))=1</f>
        <v>1</v>
      </c>
      <c r="L901" t="b">
        <f>ISNUMBER(Table3[[#This Row],[Unit Price]])</f>
        <v>1</v>
      </c>
      <c r="M901" t="b">
        <f>ISNUMBER(Table3[[#This Row],[Order Date]])</f>
        <v>1</v>
      </c>
      <c r="N901">
        <f>IFERROR(IF(Table3[[#This Row],[Quantity]]*Table3[[#This Row],[Unit Price]]&lt;0, "N/A", Table3[[#This Row],[Quantity]]*Table3[[#This Row],[Unit Price]]), "N/A")</f>
        <v>144000</v>
      </c>
      <c r="O901">
        <f>IFERROR(Table3[[#This Row],[Unit Price]]*Table3[[#This Row],[Return Qty]], "N/A")</f>
        <v>0</v>
      </c>
      <c r="P901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90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02" spans="1:17" x14ac:dyDescent="0.2">
      <c r="A902" t="s">
        <v>1292</v>
      </c>
      <c r="B902" t="s">
        <v>9</v>
      </c>
      <c r="C902" t="s">
        <v>70</v>
      </c>
      <c r="D902" s="6">
        <v>13</v>
      </c>
      <c r="E902" s="5">
        <v>28000</v>
      </c>
      <c r="F902" t="s">
        <v>480</v>
      </c>
      <c r="G902" s="7">
        <v>46058</v>
      </c>
      <c r="H902" s="5">
        <v>0</v>
      </c>
      <c r="I90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02" t="b">
        <f>((ISNUMBER(Table3[[#This Row],[Quantity]]) )* (Table3[[#This Row],[Quantity]]&gt;0))=1</f>
        <v>1</v>
      </c>
      <c r="K902" t="b">
        <f>((Table3[[#This Row],[Quantity]]&gt;=Table3[[#This Row],[Return Qty]])*(ISNUMBER(Table3[[#This Row],[Quantity]])))=1</f>
        <v>1</v>
      </c>
      <c r="L902" t="b">
        <f>ISNUMBER(Table3[[#This Row],[Unit Price]])</f>
        <v>1</v>
      </c>
      <c r="M902" t="b">
        <f>ISNUMBER(Table3[[#This Row],[Order Date]])</f>
        <v>1</v>
      </c>
      <c r="N902">
        <f>IFERROR(IF(Table3[[#This Row],[Quantity]]*Table3[[#This Row],[Unit Price]]&lt;0, "N/A", Table3[[#This Row],[Quantity]]*Table3[[#This Row],[Unit Price]]), "N/A")</f>
        <v>364000</v>
      </c>
      <c r="O902">
        <f>IFERROR(Table3[[#This Row],[Unit Price]]*Table3[[#This Row],[Return Qty]], "N/A")</f>
        <v>0</v>
      </c>
      <c r="P902">
        <f>IFERROR(IF((Table3[[#This Row],[Revenue before return]]-Table3[[#This Row],[Amount of order  returned]])&lt;0, "N/A", Table3[[#This Row],[Revenue before return]]-Table3[[#This Row],[Amount of order  returned]]), "N/A")</f>
        <v>364000</v>
      </c>
      <c r="Q90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03" spans="1:17" x14ac:dyDescent="0.2">
      <c r="A903" t="s">
        <v>1293</v>
      </c>
      <c r="B903" t="s">
        <v>14</v>
      </c>
      <c r="C903" t="s">
        <v>39</v>
      </c>
      <c r="D903" s="6">
        <v>8</v>
      </c>
      <c r="E903" s="5">
        <v>12000</v>
      </c>
      <c r="F903" t="s">
        <v>667</v>
      </c>
      <c r="G903" s="7">
        <v>46046</v>
      </c>
      <c r="H903" s="5">
        <v>0</v>
      </c>
      <c r="I90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03" t="b">
        <f>((ISNUMBER(Table3[[#This Row],[Quantity]]) )* (Table3[[#This Row],[Quantity]]&gt;0))=1</f>
        <v>1</v>
      </c>
      <c r="K903" t="b">
        <f>((Table3[[#This Row],[Quantity]]&gt;=Table3[[#This Row],[Return Qty]])*(ISNUMBER(Table3[[#This Row],[Quantity]])))=1</f>
        <v>1</v>
      </c>
      <c r="L903" t="b">
        <f>ISNUMBER(Table3[[#This Row],[Unit Price]])</f>
        <v>1</v>
      </c>
      <c r="M903" t="b">
        <f>ISNUMBER(Table3[[#This Row],[Order Date]])</f>
        <v>1</v>
      </c>
      <c r="N903">
        <f>IFERROR(IF(Table3[[#This Row],[Quantity]]*Table3[[#This Row],[Unit Price]]&lt;0, "N/A", Table3[[#This Row],[Quantity]]*Table3[[#This Row],[Unit Price]]), "N/A")</f>
        <v>96000</v>
      </c>
      <c r="O903">
        <f>IFERROR(Table3[[#This Row],[Unit Price]]*Table3[[#This Row],[Return Qty]], "N/A")</f>
        <v>0</v>
      </c>
      <c r="P903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90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04" spans="1:17" x14ac:dyDescent="0.2">
      <c r="A904" t="s">
        <v>1294</v>
      </c>
      <c r="B904" t="s">
        <v>25</v>
      </c>
      <c r="C904" t="s">
        <v>39</v>
      </c>
      <c r="D904" s="6">
        <v>2</v>
      </c>
      <c r="E904" s="5">
        <v>36000</v>
      </c>
      <c r="F904" t="s">
        <v>795</v>
      </c>
      <c r="G904" s="7">
        <v>46138</v>
      </c>
      <c r="H904" s="5">
        <v>0</v>
      </c>
      <c r="I90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04" t="b">
        <f>((ISNUMBER(Table3[[#This Row],[Quantity]]) )* (Table3[[#This Row],[Quantity]]&gt;0))=1</f>
        <v>1</v>
      </c>
      <c r="K904" t="b">
        <f>((Table3[[#This Row],[Quantity]]&gt;=Table3[[#This Row],[Return Qty]])*(ISNUMBER(Table3[[#This Row],[Quantity]])))=1</f>
        <v>1</v>
      </c>
      <c r="L904" t="b">
        <f>ISNUMBER(Table3[[#This Row],[Unit Price]])</f>
        <v>1</v>
      </c>
      <c r="M904" t="b">
        <f>ISNUMBER(Table3[[#This Row],[Order Date]])</f>
        <v>1</v>
      </c>
      <c r="N904">
        <f>IFERROR(IF(Table3[[#This Row],[Quantity]]*Table3[[#This Row],[Unit Price]]&lt;0, "N/A", Table3[[#This Row],[Quantity]]*Table3[[#This Row],[Unit Price]]), "N/A")</f>
        <v>72000</v>
      </c>
      <c r="O904">
        <f>IFERROR(Table3[[#This Row],[Unit Price]]*Table3[[#This Row],[Return Qty]], "N/A")</f>
        <v>0</v>
      </c>
      <c r="P904">
        <f>IFERROR(IF((Table3[[#This Row],[Revenue before return]]-Table3[[#This Row],[Amount of order  returned]])&lt;0, "N/A", Table3[[#This Row],[Revenue before return]]-Table3[[#This Row],[Amount of order  returned]]), "N/A")</f>
        <v>72000</v>
      </c>
      <c r="Q90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05" spans="1:17" x14ac:dyDescent="0.2">
      <c r="A905" t="s">
        <v>1295</v>
      </c>
      <c r="B905" t="s">
        <v>9</v>
      </c>
      <c r="C905" t="s">
        <v>22</v>
      </c>
      <c r="D905" s="6">
        <v>11</v>
      </c>
      <c r="E905" s="5">
        <v>35000</v>
      </c>
      <c r="F905" t="s">
        <v>937</v>
      </c>
      <c r="G905" s="7">
        <v>46171</v>
      </c>
      <c r="H905" s="5">
        <v>0</v>
      </c>
      <c r="I90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05" t="b">
        <f>((ISNUMBER(Table3[[#This Row],[Quantity]]) )* (Table3[[#This Row],[Quantity]]&gt;0))=1</f>
        <v>1</v>
      </c>
      <c r="K905" t="b">
        <f>((Table3[[#This Row],[Quantity]]&gt;=Table3[[#This Row],[Return Qty]])*(ISNUMBER(Table3[[#This Row],[Quantity]])))=1</f>
        <v>1</v>
      </c>
      <c r="L905" t="b">
        <f>ISNUMBER(Table3[[#This Row],[Unit Price]])</f>
        <v>1</v>
      </c>
      <c r="M905" t="b">
        <f>ISNUMBER(Table3[[#This Row],[Order Date]])</f>
        <v>1</v>
      </c>
      <c r="N905">
        <f>IFERROR(IF(Table3[[#This Row],[Quantity]]*Table3[[#This Row],[Unit Price]]&lt;0, "N/A", Table3[[#This Row],[Quantity]]*Table3[[#This Row],[Unit Price]]), "N/A")</f>
        <v>385000</v>
      </c>
      <c r="O905">
        <f>IFERROR(Table3[[#This Row],[Unit Price]]*Table3[[#This Row],[Return Qty]], "N/A")</f>
        <v>0</v>
      </c>
      <c r="P905">
        <f>IFERROR(IF((Table3[[#This Row],[Revenue before return]]-Table3[[#This Row],[Amount of order  returned]])&lt;0, "N/A", Table3[[#This Row],[Revenue before return]]-Table3[[#This Row],[Amount of order  returned]]), "N/A")</f>
        <v>385000</v>
      </c>
      <c r="Q90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06" spans="1:17" x14ac:dyDescent="0.2">
      <c r="A906" t="s">
        <v>1296</v>
      </c>
      <c r="B906" t="s">
        <v>25</v>
      </c>
      <c r="C906" t="s">
        <v>45</v>
      </c>
      <c r="D906" s="6">
        <v>7</v>
      </c>
      <c r="E906" s="5">
        <v>20000</v>
      </c>
      <c r="F906" t="s">
        <v>337</v>
      </c>
      <c r="G906" s="7">
        <v>46145</v>
      </c>
      <c r="H906" s="5">
        <v>0</v>
      </c>
      <c r="I90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06" t="b">
        <f>((ISNUMBER(Table3[[#This Row],[Quantity]]) )* (Table3[[#This Row],[Quantity]]&gt;0))=1</f>
        <v>1</v>
      </c>
      <c r="K906" t="b">
        <f>((Table3[[#This Row],[Quantity]]&gt;=Table3[[#This Row],[Return Qty]])*(ISNUMBER(Table3[[#This Row],[Quantity]])))=1</f>
        <v>1</v>
      </c>
      <c r="L906" t="b">
        <f>ISNUMBER(Table3[[#This Row],[Unit Price]])</f>
        <v>1</v>
      </c>
      <c r="M906" t="b">
        <f>ISNUMBER(Table3[[#This Row],[Order Date]])</f>
        <v>1</v>
      </c>
      <c r="N906">
        <f>IFERROR(IF(Table3[[#This Row],[Quantity]]*Table3[[#This Row],[Unit Price]]&lt;0, "N/A", Table3[[#This Row],[Quantity]]*Table3[[#This Row],[Unit Price]]), "N/A")</f>
        <v>140000</v>
      </c>
      <c r="O906">
        <f>IFERROR(Table3[[#This Row],[Unit Price]]*Table3[[#This Row],[Return Qty]], "N/A")</f>
        <v>0</v>
      </c>
      <c r="P906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90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07" spans="1:17" x14ac:dyDescent="0.2">
      <c r="A907" t="s">
        <v>1297</v>
      </c>
      <c r="B907" t="s">
        <v>9</v>
      </c>
      <c r="C907" t="s">
        <v>18</v>
      </c>
      <c r="D907" s="6">
        <v>15</v>
      </c>
      <c r="E907" s="5">
        <v>50000</v>
      </c>
      <c r="F907" t="s">
        <v>456</v>
      </c>
      <c r="G907" s="7">
        <v>46054</v>
      </c>
      <c r="H907" s="5">
        <v>0</v>
      </c>
      <c r="I90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07" t="b">
        <f>((ISNUMBER(Table3[[#This Row],[Quantity]]) )* (Table3[[#This Row],[Quantity]]&gt;0))=1</f>
        <v>1</v>
      </c>
      <c r="K907" t="b">
        <f>((Table3[[#This Row],[Quantity]]&gt;=Table3[[#This Row],[Return Qty]])*(ISNUMBER(Table3[[#This Row],[Quantity]])))=1</f>
        <v>1</v>
      </c>
      <c r="L907" t="b">
        <f>ISNUMBER(Table3[[#This Row],[Unit Price]])</f>
        <v>1</v>
      </c>
      <c r="M907" t="b">
        <f>ISNUMBER(Table3[[#This Row],[Order Date]])</f>
        <v>1</v>
      </c>
      <c r="N907">
        <f>IFERROR(IF(Table3[[#This Row],[Quantity]]*Table3[[#This Row],[Unit Price]]&lt;0, "N/A", Table3[[#This Row],[Quantity]]*Table3[[#This Row],[Unit Price]]), "N/A")</f>
        <v>750000</v>
      </c>
      <c r="O907">
        <f>IFERROR(Table3[[#This Row],[Unit Price]]*Table3[[#This Row],[Return Qty]], "N/A")</f>
        <v>0</v>
      </c>
      <c r="P907">
        <f>IFERROR(IF((Table3[[#This Row],[Revenue before return]]-Table3[[#This Row],[Amount of order  returned]])&lt;0, "N/A", Table3[[#This Row],[Revenue before return]]-Table3[[#This Row],[Amount of order  returned]]), "N/A")</f>
        <v>750000</v>
      </c>
      <c r="Q90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08" spans="1:17" x14ac:dyDescent="0.2">
      <c r="A908" t="s">
        <v>1298</v>
      </c>
      <c r="B908" t="s">
        <v>21</v>
      </c>
      <c r="C908" t="s">
        <v>26</v>
      </c>
      <c r="D908" s="6">
        <v>12</v>
      </c>
      <c r="E908" s="5">
        <v>20000</v>
      </c>
      <c r="F908" t="s">
        <v>449</v>
      </c>
      <c r="G908" s="7">
        <v>46078</v>
      </c>
      <c r="H908" s="5">
        <v>0</v>
      </c>
      <c r="I90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08" t="b">
        <f>((ISNUMBER(Table3[[#This Row],[Quantity]]) )* (Table3[[#This Row],[Quantity]]&gt;0))=1</f>
        <v>1</v>
      </c>
      <c r="K908" t="b">
        <f>((Table3[[#This Row],[Quantity]]&gt;=Table3[[#This Row],[Return Qty]])*(ISNUMBER(Table3[[#This Row],[Quantity]])))=1</f>
        <v>1</v>
      </c>
      <c r="L908" t="b">
        <f>ISNUMBER(Table3[[#This Row],[Unit Price]])</f>
        <v>1</v>
      </c>
      <c r="M908" t="b">
        <f>ISNUMBER(Table3[[#This Row],[Order Date]])</f>
        <v>1</v>
      </c>
      <c r="N908">
        <f>IFERROR(IF(Table3[[#This Row],[Quantity]]*Table3[[#This Row],[Unit Price]]&lt;0, "N/A", Table3[[#This Row],[Quantity]]*Table3[[#This Row],[Unit Price]]), "N/A")</f>
        <v>240000</v>
      </c>
      <c r="O908">
        <f>IFERROR(Table3[[#This Row],[Unit Price]]*Table3[[#This Row],[Return Qty]], "N/A")</f>
        <v>0</v>
      </c>
      <c r="P908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90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09" spans="1:17" x14ac:dyDescent="0.2">
      <c r="A909" t="s">
        <v>1299</v>
      </c>
      <c r="B909" t="s">
        <v>9</v>
      </c>
      <c r="C909" t="s">
        <v>18</v>
      </c>
      <c r="D909" s="6">
        <v>11</v>
      </c>
      <c r="E909" s="5">
        <v>50000</v>
      </c>
      <c r="F909" t="s">
        <v>324</v>
      </c>
      <c r="G909" s="7">
        <v>46120</v>
      </c>
      <c r="H909" s="5">
        <v>5</v>
      </c>
      <c r="I90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09" t="b">
        <f>((ISNUMBER(Table3[[#This Row],[Quantity]]) )* (Table3[[#This Row],[Quantity]]&gt;0))=1</f>
        <v>1</v>
      </c>
      <c r="K909" t="b">
        <f>((Table3[[#This Row],[Quantity]]&gt;=Table3[[#This Row],[Return Qty]])*(ISNUMBER(Table3[[#This Row],[Quantity]])))=1</f>
        <v>1</v>
      </c>
      <c r="L909" t="b">
        <f>ISNUMBER(Table3[[#This Row],[Unit Price]])</f>
        <v>1</v>
      </c>
      <c r="M909" t="b">
        <f>ISNUMBER(Table3[[#This Row],[Order Date]])</f>
        <v>1</v>
      </c>
      <c r="N909">
        <f>IFERROR(IF(Table3[[#This Row],[Quantity]]*Table3[[#This Row],[Unit Price]]&lt;0, "N/A", Table3[[#This Row],[Quantity]]*Table3[[#This Row],[Unit Price]]), "N/A")</f>
        <v>550000</v>
      </c>
      <c r="O909">
        <f>IFERROR(Table3[[#This Row],[Unit Price]]*Table3[[#This Row],[Return Qty]], "N/A")</f>
        <v>250000</v>
      </c>
      <c r="P909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90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10" spans="1:17" x14ac:dyDescent="0.2">
      <c r="A910" t="s">
        <v>1300</v>
      </c>
      <c r="B910" t="s">
        <v>14</v>
      </c>
      <c r="C910" t="s">
        <v>32</v>
      </c>
      <c r="D910" s="6">
        <v>10</v>
      </c>
      <c r="E910" s="5">
        <v>8000</v>
      </c>
      <c r="F910" t="s">
        <v>710</v>
      </c>
      <c r="G910" s="7">
        <v>46118</v>
      </c>
      <c r="H910" s="5">
        <v>0</v>
      </c>
      <c r="I91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10" t="b">
        <f>((ISNUMBER(Table3[[#This Row],[Quantity]]) )* (Table3[[#This Row],[Quantity]]&gt;0))=1</f>
        <v>1</v>
      </c>
      <c r="K910" t="b">
        <f>((Table3[[#This Row],[Quantity]]&gt;=Table3[[#This Row],[Return Qty]])*(ISNUMBER(Table3[[#This Row],[Quantity]])))=1</f>
        <v>1</v>
      </c>
      <c r="L910" t="b">
        <f>ISNUMBER(Table3[[#This Row],[Unit Price]])</f>
        <v>1</v>
      </c>
      <c r="M910" t="b">
        <f>ISNUMBER(Table3[[#This Row],[Order Date]])</f>
        <v>1</v>
      </c>
      <c r="N910">
        <f>IFERROR(IF(Table3[[#This Row],[Quantity]]*Table3[[#This Row],[Unit Price]]&lt;0, "N/A", Table3[[#This Row],[Quantity]]*Table3[[#This Row],[Unit Price]]), "N/A")</f>
        <v>80000</v>
      </c>
      <c r="O910">
        <f>IFERROR(Table3[[#This Row],[Unit Price]]*Table3[[#This Row],[Return Qty]], "N/A")</f>
        <v>0</v>
      </c>
      <c r="P910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91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11" spans="1:17" x14ac:dyDescent="0.2">
      <c r="A911" t="s">
        <v>1301</v>
      </c>
      <c r="B911" t="s">
        <v>9</v>
      </c>
      <c r="C911" t="s">
        <v>70</v>
      </c>
      <c r="D911" s="6">
        <v>15</v>
      </c>
      <c r="E911" s="5">
        <v>56000</v>
      </c>
      <c r="F911" t="s">
        <v>730</v>
      </c>
      <c r="G911" s="7">
        <v>46028</v>
      </c>
      <c r="H911" s="5">
        <v>0</v>
      </c>
      <c r="I91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11" t="b">
        <f>((ISNUMBER(Table3[[#This Row],[Quantity]]) )* (Table3[[#This Row],[Quantity]]&gt;0))=1</f>
        <v>1</v>
      </c>
      <c r="K911" t="b">
        <f>((Table3[[#This Row],[Quantity]]&gt;=Table3[[#This Row],[Return Qty]])*(ISNUMBER(Table3[[#This Row],[Quantity]])))=1</f>
        <v>1</v>
      </c>
      <c r="L911" t="b">
        <f>ISNUMBER(Table3[[#This Row],[Unit Price]])</f>
        <v>1</v>
      </c>
      <c r="M911" t="b">
        <f>ISNUMBER(Table3[[#This Row],[Order Date]])</f>
        <v>1</v>
      </c>
      <c r="N911">
        <f>IFERROR(IF(Table3[[#This Row],[Quantity]]*Table3[[#This Row],[Unit Price]]&lt;0, "N/A", Table3[[#This Row],[Quantity]]*Table3[[#This Row],[Unit Price]]), "N/A")</f>
        <v>840000</v>
      </c>
      <c r="O911">
        <f>IFERROR(Table3[[#This Row],[Unit Price]]*Table3[[#This Row],[Return Qty]], "N/A")</f>
        <v>0</v>
      </c>
      <c r="P911">
        <f>IFERROR(IF((Table3[[#This Row],[Revenue before return]]-Table3[[#This Row],[Amount of order  returned]])&lt;0, "N/A", Table3[[#This Row],[Revenue before return]]-Table3[[#This Row],[Amount of order  returned]]), "N/A")</f>
        <v>840000</v>
      </c>
      <c r="Q91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12" spans="1:17" x14ac:dyDescent="0.2">
      <c r="A912" t="s">
        <v>1302</v>
      </c>
      <c r="B912" t="s">
        <v>25</v>
      </c>
      <c r="C912" t="s">
        <v>18</v>
      </c>
      <c r="D912" s="6" t="s">
        <v>11</v>
      </c>
      <c r="E912" s="5">
        <v>50000</v>
      </c>
      <c r="F912" t="s">
        <v>983</v>
      </c>
      <c r="G912" s="7">
        <v>46111</v>
      </c>
      <c r="H912" s="5">
        <v>4</v>
      </c>
      <c r="I91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12" t="b">
        <f>((ISNUMBER(Table3[[#This Row],[Quantity]]) )* (Table3[[#This Row],[Quantity]]&gt;0))=1</f>
        <v>0</v>
      </c>
      <c r="K912" t="b">
        <f>((Table3[[#This Row],[Quantity]]&gt;=Table3[[#This Row],[Return Qty]])*(ISNUMBER(Table3[[#This Row],[Quantity]])))=1</f>
        <v>0</v>
      </c>
      <c r="L912" t="b">
        <f>ISNUMBER(Table3[[#This Row],[Unit Price]])</f>
        <v>1</v>
      </c>
      <c r="M912" t="b">
        <f>ISNUMBER(Table3[[#This Row],[Order Date]])</f>
        <v>1</v>
      </c>
      <c r="N912" t="str">
        <f>IFERROR(IF(Table3[[#This Row],[Quantity]]*Table3[[#This Row],[Unit Price]]&lt;0, "N/A", Table3[[#This Row],[Quantity]]*Table3[[#This Row],[Unit Price]]), "N/A")</f>
        <v>N/A</v>
      </c>
      <c r="O912">
        <f>IFERROR(Table3[[#This Row],[Unit Price]]*Table3[[#This Row],[Return Qty]], "N/A")</f>
        <v>200000</v>
      </c>
      <c r="P912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91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13" spans="1:17" x14ac:dyDescent="0.2">
      <c r="A913" t="s">
        <v>1303</v>
      </c>
      <c r="B913" t="s">
        <v>21</v>
      </c>
      <c r="C913" t="s">
        <v>70</v>
      </c>
      <c r="D913" s="6">
        <v>22</v>
      </c>
      <c r="E913" s="5">
        <v>28000</v>
      </c>
      <c r="F913" t="s">
        <v>27</v>
      </c>
      <c r="G913" s="7">
        <v>46048</v>
      </c>
      <c r="H913" s="5">
        <v>0</v>
      </c>
      <c r="I91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13" t="b">
        <f>((ISNUMBER(Table3[[#This Row],[Quantity]]) )* (Table3[[#This Row],[Quantity]]&gt;0))=1</f>
        <v>1</v>
      </c>
      <c r="K913" t="b">
        <f>((Table3[[#This Row],[Quantity]]&gt;=Table3[[#This Row],[Return Qty]])*(ISNUMBER(Table3[[#This Row],[Quantity]])))=1</f>
        <v>1</v>
      </c>
      <c r="L913" t="b">
        <f>ISNUMBER(Table3[[#This Row],[Unit Price]])</f>
        <v>1</v>
      </c>
      <c r="M913" t="b">
        <f>ISNUMBER(Table3[[#This Row],[Order Date]])</f>
        <v>1</v>
      </c>
      <c r="N913">
        <f>IFERROR(IF(Table3[[#This Row],[Quantity]]*Table3[[#This Row],[Unit Price]]&lt;0, "N/A", Table3[[#This Row],[Quantity]]*Table3[[#This Row],[Unit Price]]), "N/A")</f>
        <v>616000</v>
      </c>
      <c r="O913">
        <f>IFERROR(Table3[[#This Row],[Unit Price]]*Table3[[#This Row],[Return Qty]], "N/A")</f>
        <v>0</v>
      </c>
      <c r="P913">
        <f>IFERROR(IF((Table3[[#This Row],[Revenue before return]]-Table3[[#This Row],[Amount of order  returned]])&lt;0, "N/A", Table3[[#This Row],[Revenue before return]]-Table3[[#This Row],[Amount of order  returned]]), "N/A")</f>
        <v>616000</v>
      </c>
      <c r="Q91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14" spans="1:17" x14ac:dyDescent="0.2">
      <c r="A914" t="s">
        <v>1304</v>
      </c>
      <c r="B914" t="s">
        <v>21</v>
      </c>
      <c r="C914" t="s">
        <v>18</v>
      </c>
      <c r="D914" s="6">
        <v>21</v>
      </c>
      <c r="E914" s="5">
        <v>50000</v>
      </c>
      <c r="F914" t="s">
        <v>241</v>
      </c>
      <c r="G914" s="7">
        <v>46055</v>
      </c>
      <c r="H914" s="5">
        <v>0</v>
      </c>
      <c r="I91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14" t="b">
        <f>((ISNUMBER(Table3[[#This Row],[Quantity]]) )* (Table3[[#This Row],[Quantity]]&gt;0))=1</f>
        <v>1</v>
      </c>
      <c r="K914" t="b">
        <f>((Table3[[#This Row],[Quantity]]&gt;=Table3[[#This Row],[Return Qty]])*(ISNUMBER(Table3[[#This Row],[Quantity]])))=1</f>
        <v>1</v>
      </c>
      <c r="L914" t="b">
        <f>ISNUMBER(Table3[[#This Row],[Unit Price]])</f>
        <v>1</v>
      </c>
      <c r="M914" t="b">
        <f>ISNUMBER(Table3[[#This Row],[Order Date]])</f>
        <v>1</v>
      </c>
      <c r="N914">
        <f>IFERROR(IF(Table3[[#This Row],[Quantity]]*Table3[[#This Row],[Unit Price]]&lt;0, "N/A", Table3[[#This Row],[Quantity]]*Table3[[#This Row],[Unit Price]]), "N/A")</f>
        <v>1050000</v>
      </c>
      <c r="O914">
        <f>IFERROR(Table3[[#This Row],[Unit Price]]*Table3[[#This Row],[Return Qty]], "N/A")</f>
        <v>0</v>
      </c>
      <c r="P914">
        <f>IFERROR(IF((Table3[[#This Row],[Revenue before return]]-Table3[[#This Row],[Amount of order  returned]])&lt;0, "N/A", Table3[[#This Row],[Revenue before return]]-Table3[[#This Row],[Amount of order  returned]]), "N/A")</f>
        <v>1050000</v>
      </c>
      <c r="Q91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15" spans="1:17" x14ac:dyDescent="0.2">
      <c r="A915" t="s">
        <v>1305</v>
      </c>
      <c r="B915" t="s">
        <v>14</v>
      </c>
      <c r="C915" t="s">
        <v>26</v>
      </c>
      <c r="D915" s="6">
        <v>18</v>
      </c>
      <c r="E915" s="5">
        <v>20000</v>
      </c>
      <c r="F915" t="s">
        <v>431</v>
      </c>
      <c r="G915" s="7">
        <v>46161</v>
      </c>
      <c r="H915" s="5">
        <v>0</v>
      </c>
      <c r="I91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15" t="b">
        <f>((ISNUMBER(Table3[[#This Row],[Quantity]]) )* (Table3[[#This Row],[Quantity]]&gt;0))=1</f>
        <v>1</v>
      </c>
      <c r="K915" t="b">
        <f>((Table3[[#This Row],[Quantity]]&gt;=Table3[[#This Row],[Return Qty]])*(ISNUMBER(Table3[[#This Row],[Quantity]])))=1</f>
        <v>1</v>
      </c>
      <c r="L915" t="b">
        <f>ISNUMBER(Table3[[#This Row],[Unit Price]])</f>
        <v>1</v>
      </c>
      <c r="M915" t="b">
        <f>ISNUMBER(Table3[[#This Row],[Order Date]])</f>
        <v>1</v>
      </c>
      <c r="N915">
        <f>IFERROR(IF(Table3[[#This Row],[Quantity]]*Table3[[#This Row],[Unit Price]]&lt;0, "N/A", Table3[[#This Row],[Quantity]]*Table3[[#This Row],[Unit Price]]), "N/A")</f>
        <v>360000</v>
      </c>
      <c r="O915">
        <f>IFERROR(Table3[[#This Row],[Unit Price]]*Table3[[#This Row],[Return Qty]], "N/A")</f>
        <v>0</v>
      </c>
      <c r="P915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91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16" spans="1:17" x14ac:dyDescent="0.2">
      <c r="A916" t="s">
        <v>1306</v>
      </c>
      <c r="B916" t="s">
        <v>14</v>
      </c>
      <c r="C916" t="s">
        <v>10</v>
      </c>
      <c r="D916" s="6">
        <v>4</v>
      </c>
      <c r="E916" s="5">
        <v>15000</v>
      </c>
      <c r="F916" t="s">
        <v>416</v>
      </c>
      <c r="G916" s="7">
        <v>46138</v>
      </c>
      <c r="H916" s="5">
        <v>0</v>
      </c>
      <c r="I91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16" t="b">
        <f>((ISNUMBER(Table3[[#This Row],[Quantity]]) )* (Table3[[#This Row],[Quantity]]&gt;0))=1</f>
        <v>1</v>
      </c>
      <c r="K916" t="b">
        <f>((Table3[[#This Row],[Quantity]]&gt;=Table3[[#This Row],[Return Qty]])*(ISNUMBER(Table3[[#This Row],[Quantity]])))=1</f>
        <v>1</v>
      </c>
      <c r="L916" t="b">
        <f>ISNUMBER(Table3[[#This Row],[Unit Price]])</f>
        <v>1</v>
      </c>
      <c r="M916" t="b">
        <f>ISNUMBER(Table3[[#This Row],[Order Date]])</f>
        <v>1</v>
      </c>
      <c r="N916">
        <f>IFERROR(IF(Table3[[#This Row],[Quantity]]*Table3[[#This Row],[Unit Price]]&lt;0, "N/A", Table3[[#This Row],[Quantity]]*Table3[[#This Row],[Unit Price]]), "N/A")</f>
        <v>60000</v>
      </c>
      <c r="O916">
        <f>IFERROR(Table3[[#This Row],[Unit Price]]*Table3[[#This Row],[Return Qty]], "N/A")</f>
        <v>0</v>
      </c>
      <c r="P916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91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17" spans="1:17" x14ac:dyDescent="0.2">
      <c r="A917" t="s">
        <v>1307</v>
      </c>
      <c r="B917" t="s">
        <v>9</v>
      </c>
      <c r="C917" t="s">
        <v>39</v>
      </c>
      <c r="D917" s="6">
        <v>7</v>
      </c>
      <c r="E917" s="5">
        <v>12000</v>
      </c>
      <c r="F917" t="s">
        <v>306</v>
      </c>
      <c r="G917" s="7">
        <v>46115</v>
      </c>
      <c r="H917" s="5">
        <v>0</v>
      </c>
      <c r="I91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17" t="b">
        <f>((ISNUMBER(Table3[[#This Row],[Quantity]]) )* (Table3[[#This Row],[Quantity]]&gt;0))=1</f>
        <v>1</v>
      </c>
      <c r="K917" t="b">
        <f>((Table3[[#This Row],[Quantity]]&gt;=Table3[[#This Row],[Return Qty]])*(ISNUMBER(Table3[[#This Row],[Quantity]])))=1</f>
        <v>1</v>
      </c>
      <c r="L917" t="b">
        <f>ISNUMBER(Table3[[#This Row],[Unit Price]])</f>
        <v>1</v>
      </c>
      <c r="M917" t="b">
        <f>ISNUMBER(Table3[[#This Row],[Order Date]])</f>
        <v>1</v>
      </c>
      <c r="N917">
        <f>IFERROR(IF(Table3[[#This Row],[Quantity]]*Table3[[#This Row],[Unit Price]]&lt;0, "N/A", Table3[[#This Row],[Quantity]]*Table3[[#This Row],[Unit Price]]), "N/A")</f>
        <v>84000</v>
      </c>
      <c r="O917">
        <f>IFERROR(Table3[[#This Row],[Unit Price]]*Table3[[#This Row],[Return Qty]], "N/A")</f>
        <v>0</v>
      </c>
      <c r="P917">
        <f>IFERROR(IF((Table3[[#This Row],[Revenue before return]]-Table3[[#This Row],[Amount of order  returned]])&lt;0, "N/A", Table3[[#This Row],[Revenue before return]]-Table3[[#This Row],[Amount of order  returned]]), "N/A")</f>
        <v>84000</v>
      </c>
      <c r="Q91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18" spans="1:17" x14ac:dyDescent="0.2">
      <c r="A918" t="s">
        <v>1308</v>
      </c>
      <c r="B918" t="s">
        <v>14</v>
      </c>
      <c r="C918" t="s">
        <v>45</v>
      </c>
      <c r="D918" s="6">
        <v>2</v>
      </c>
      <c r="E918" s="5">
        <v>20000</v>
      </c>
      <c r="F918" t="s">
        <v>964</v>
      </c>
      <c r="G918" s="7">
        <v>46189</v>
      </c>
      <c r="H918" s="5">
        <v>1</v>
      </c>
      <c r="I91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18" t="b">
        <f>((ISNUMBER(Table3[[#This Row],[Quantity]]) )* (Table3[[#This Row],[Quantity]]&gt;0))=1</f>
        <v>1</v>
      </c>
      <c r="K918" t="b">
        <f>((Table3[[#This Row],[Quantity]]&gt;=Table3[[#This Row],[Return Qty]])*(ISNUMBER(Table3[[#This Row],[Quantity]])))=1</f>
        <v>1</v>
      </c>
      <c r="L918" t="b">
        <f>ISNUMBER(Table3[[#This Row],[Unit Price]])</f>
        <v>1</v>
      </c>
      <c r="M918" t="b">
        <f>ISNUMBER(Table3[[#This Row],[Order Date]])</f>
        <v>1</v>
      </c>
      <c r="N918">
        <f>IFERROR(IF(Table3[[#This Row],[Quantity]]*Table3[[#This Row],[Unit Price]]&lt;0, "N/A", Table3[[#This Row],[Quantity]]*Table3[[#This Row],[Unit Price]]), "N/A")</f>
        <v>40000</v>
      </c>
      <c r="O918">
        <f>IFERROR(Table3[[#This Row],[Unit Price]]*Table3[[#This Row],[Return Qty]], "N/A")</f>
        <v>20000</v>
      </c>
      <c r="P918">
        <f>IFERROR(IF((Table3[[#This Row],[Revenue before return]]-Table3[[#This Row],[Amount of order  returned]])&lt;0, "N/A", Table3[[#This Row],[Revenue before return]]-Table3[[#This Row],[Amount of order  returned]]), "N/A")</f>
        <v>20000</v>
      </c>
      <c r="Q91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19" spans="1:17" x14ac:dyDescent="0.2">
      <c r="A919" t="s">
        <v>1309</v>
      </c>
      <c r="B919" t="s">
        <v>14</v>
      </c>
      <c r="C919" t="s">
        <v>26</v>
      </c>
      <c r="D919" s="6">
        <v>17</v>
      </c>
      <c r="E919" s="5">
        <v>20000</v>
      </c>
      <c r="F919" t="s">
        <v>646</v>
      </c>
      <c r="G919" s="7">
        <v>46138</v>
      </c>
      <c r="H919" s="5">
        <v>0</v>
      </c>
      <c r="I91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19" t="b">
        <f>((ISNUMBER(Table3[[#This Row],[Quantity]]) )* (Table3[[#This Row],[Quantity]]&gt;0))=1</f>
        <v>1</v>
      </c>
      <c r="K919" t="b">
        <f>((Table3[[#This Row],[Quantity]]&gt;=Table3[[#This Row],[Return Qty]])*(ISNUMBER(Table3[[#This Row],[Quantity]])))=1</f>
        <v>1</v>
      </c>
      <c r="L919" t="b">
        <f>ISNUMBER(Table3[[#This Row],[Unit Price]])</f>
        <v>1</v>
      </c>
      <c r="M919" t="b">
        <f>ISNUMBER(Table3[[#This Row],[Order Date]])</f>
        <v>1</v>
      </c>
      <c r="N919">
        <f>IFERROR(IF(Table3[[#This Row],[Quantity]]*Table3[[#This Row],[Unit Price]]&lt;0, "N/A", Table3[[#This Row],[Quantity]]*Table3[[#This Row],[Unit Price]]), "N/A")</f>
        <v>340000</v>
      </c>
      <c r="O919">
        <f>IFERROR(Table3[[#This Row],[Unit Price]]*Table3[[#This Row],[Return Qty]], "N/A")</f>
        <v>0</v>
      </c>
      <c r="P919">
        <f>IFERROR(IF((Table3[[#This Row],[Revenue before return]]-Table3[[#This Row],[Amount of order  returned]])&lt;0, "N/A", Table3[[#This Row],[Revenue before return]]-Table3[[#This Row],[Amount of order  returned]]), "N/A")</f>
        <v>340000</v>
      </c>
      <c r="Q91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20" spans="1:17" x14ac:dyDescent="0.2">
      <c r="A920" t="s">
        <v>1310</v>
      </c>
      <c r="B920" t="s">
        <v>25</v>
      </c>
      <c r="C920" t="s">
        <v>18</v>
      </c>
      <c r="D920" s="6">
        <v>18</v>
      </c>
      <c r="E920" s="5">
        <v>50000</v>
      </c>
      <c r="F920" t="s">
        <v>730</v>
      </c>
      <c r="G920" s="7">
        <v>46071</v>
      </c>
      <c r="H920" s="5">
        <v>0</v>
      </c>
      <c r="I92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20" t="b">
        <f>((ISNUMBER(Table3[[#This Row],[Quantity]]) )* (Table3[[#This Row],[Quantity]]&gt;0))=1</f>
        <v>1</v>
      </c>
      <c r="K920" t="b">
        <f>((Table3[[#This Row],[Quantity]]&gt;=Table3[[#This Row],[Return Qty]])*(ISNUMBER(Table3[[#This Row],[Quantity]])))=1</f>
        <v>1</v>
      </c>
      <c r="L920" t="b">
        <f>ISNUMBER(Table3[[#This Row],[Unit Price]])</f>
        <v>1</v>
      </c>
      <c r="M920" t="b">
        <f>ISNUMBER(Table3[[#This Row],[Order Date]])</f>
        <v>1</v>
      </c>
      <c r="N920">
        <f>IFERROR(IF(Table3[[#This Row],[Quantity]]*Table3[[#This Row],[Unit Price]]&lt;0, "N/A", Table3[[#This Row],[Quantity]]*Table3[[#This Row],[Unit Price]]), "N/A")</f>
        <v>900000</v>
      </c>
      <c r="O920">
        <f>IFERROR(Table3[[#This Row],[Unit Price]]*Table3[[#This Row],[Return Qty]], "N/A")</f>
        <v>0</v>
      </c>
      <c r="P920">
        <f>IFERROR(IF((Table3[[#This Row],[Revenue before return]]-Table3[[#This Row],[Amount of order  returned]])&lt;0, "N/A", Table3[[#This Row],[Revenue before return]]-Table3[[#This Row],[Amount of order  returned]]), "N/A")</f>
        <v>900000</v>
      </c>
      <c r="Q92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21" spans="1:17" x14ac:dyDescent="0.2">
      <c r="A921" t="s">
        <v>1311</v>
      </c>
      <c r="B921" t="s">
        <v>25</v>
      </c>
      <c r="C921" t="s">
        <v>18</v>
      </c>
      <c r="D921" s="6">
        <v>24</v>
      </c>
      <c r="E921" s="5">
        <v>50000</v>
      </c>
      <c r="F921" t="s">
        <v>201</v>
      </c>
      <c r="G921" s="7">
        <v>46083</v>
      </c>
      <c r="H921" s="5">
        <v>5</v>
      </c>
      <c r="I92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21" t="b">
        <f>((ISNUMBER(Table3[[#This Row],[Quantity]]) )* (Table3[[#This Row],[Quantity]]&gt;0))=1</f>
        <v>1</v>
      </c>
      <c r="K921" t="b">
        <f>((Table3[[#This Row],[Quantity]]&gt;=Table3[[#This Row],[Return Qty]])*(ISNUMBER(Table3[[#This Row],[Quantity]])))=1</f>
        <v>1</v>
      </c>
      <c r="L921" t="b">
        <f>ISNUMBER(Table3[[#This Row],[Unit Price]])</f>
        <v>1</v>
      </c>
      <c r="M921" t="b">
        <f>ISNUMBER(Table3[[#This Row],[Order Date]])</f>
        <v>1</v>
      </c>
      <c r="N921">
        <f>IFERROR(IF(Table3[[#This Row],[Quantity]]*Table3[[#This Row],[Unit Price]]&lt;0, "N/A", Table3[[#This Row],[Quantity]]*Table3[[#This Row],[Unit Price]]), "N/A")</f>
        <v>1200000</v>
      </c>
      <c r="O921">
        <f>IFERROR(Table3[[#This Row],[Unit Price]]*Table3[[#This Row],[Return Qty]], "N/A")</f>
        <v>250000</v>
      </c>
      <c r="P921">
        <f>IFERROR(IF((Table3[[#This Row],[Revenue before return]]-Table3[[#This Row],[Amount of order  returned]])&lt;0, "N/A", Table3[[#This Row],[Revenue before return]]-Table3[[#This Row],[Amount of order  returned]]), "N/A")</f>
        <v>950000</v>
      </c>
      <c r="Q92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22" spans="1:17" x14ac:dyDescent="0.2">
      <c r="A922" t="s">
        <v>1312</v>
      </c>
      <c r="B922" t="s">
        <v>14</v>
      </c>
      <c r="C922" t="s">
        <v>22</v>
      </c>
      <c r="D922" s="6">
        <v>18</v>
      </c>
      <c r="E922" s="5">
        <v>35000</v>
      </c>
      <c r="F922" t="s">
        <v>1054</v>
      </c>
      <c r="G922" s="7">
        <v>46065</v>
      </c>
      <c r="H922" s="5">
        <v>0</v>
      </c>
      <c r="I92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22" t="b">
        <f>((ISNUMBER(Table3[[#This Row],[Quantity]]) )* (Table3[[#This Row],[Quantity]]&gt;0))=1</f>
        <v>1</v>
      </c>
      <c r="K922" t="b">
        <f>((Table3[[#This Row],[Quantity]]&gt;=Table3[[#This Row],[Return Qty]])*(ISNUMBER(Table3[[#This Row],[Quantity]])))=1</f>
        <v>1</v>
      </c>
      <c r="L922" t="b">
        <f>ISNUMBER(Table3[[#This Row],[Unit Price]])</f>
        <v>1</v>
      </c>
      <c r="M922" t="b">
        <f>ISNUMBER(Table3[[#This Row],[Order Date]])</f>
        <v>1</v>
      </c>
      <c r="N922">
        <f>IFERROR(IF(Table3[[#This Row],[Quantity]]*Table3[[#This Row],[Unit Price]]&lt;0, "N/A", Table3[[#This Row],[Quantity]]*Table3[[#This Row],[Unit Price]]), "N/A")</f>
        <v>630000</v>
      </c>
      <c r="O922">
        <f>IFERROR(Table3[[#This Row],[Unit Price]]*Table3[[#This Row],[Return Qty]], "N/A")</f>
        <v>0</v>
      </c>
      <c r="P922">
        <f>IFERROR(IF((Table3[[#This Row],[Revenue before return]]-Table3[[#This Row],[Amount of order  returned]])&lt;0, "N/A", Table3[[#This Row],[Revenue before return]]-Table3[[#This Row],[Amount of order  returned]]), "N/A")</f>
        <v>630000</v>
      </c>
      <c r="Q92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23" spans="1:17" x14ac:dyDescent="0.2">
      <c r="A923" t="s">
        <v>1313</v>
      </c>
      <c r="B923" t="s">
        <v>25</v>
      </c>
      <c r="C923" t="s">
        <v>39</v>
      </c>
      <c r="D923" s="6">
        <v>24</v>
      </c>
      <c r="E923" s="5">
        <v>12000</v>
      </c>
      <c r="F923" t="s">
        <v>845</v>
      </c>
      <c r="G923" s="7">
        <v>46064</v>
      </c>
      <c r="H923" s="5">
        <v>3</v>
      </c>
      <c r="I92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23" t="b">
        <f>((ISNUMBER(Table3[[#This Row],[Quantity]]) )* (Table3[[#This Row],[Quantity]]&gt;0))=1</f>
        <v>1</v>
      </c>
      <c r="K923" t="b">
        <f>((Table3[[#This Row],[Quantity]]&gt;=Table3[[#This Row],[Return Qty]])*(ISNUMBER(Table3[[#This Row],[Quantity]])))=1</f>
        <v>1</v>
      </c>
      <c r="L923" t="b">
        <f>ISNUMBER(Table3[[#This Row],[Unit Price]])</f>
        <v>1</v>
      </c>
      <c r="M923" t="b">
        <f>ISNUMBER(Table3[[#This Row],[Order Date]])</f>
        <v>1</v>
      </c>
      <c r="N923">
        <f>IFERROR(IF(Table3[[#This Row],[Quantity]]*Table3[[#This Row],[Unit Price]]&lt;0, "N/A", Table3[[#This Row],[Quantity]]*Table3[[#This Row],[Unit Price]]), "N/A")</f>
        <v>288000</v>
      </c>
      <c r="O923">
        <f>IFERROR(Table3[[#This Row],[Unit Price]]*Table3[[#This Row],[Return Qty]], "N/A")</f>
        <v>36000</v>
      </c>
      <c r="P923">
        <f>IFERROR(IF((Table3[[#This Row],[Revenue before return]]-Table3[[#This Row],[Amount of order  returned]])&lt;0, "N/A", Table3[[#This Row],[Revenue before return]]-Table3[[#This Row],[Amount of order  returned]]), "N/A")</f>
        <v>252000</v>
      </c>
      <c r="Q92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24" spans="1:17" x14ac:dyDescent="0.2">
      <c r="A924" t="s">
        <v>1314</v>
      </c>
      <c r="B924" t="s">
        <v>14</v>
      </c>
      <c r="C924" t="s">
        <v>10</v>
      </c>
      <c r="D924" s="6">
        <v>11</v>
      </c>
      <c r="E924" s="5">
        <v>15000</v>
      </c>
      <c r="F924" t="s">
        <v>760</v>
      </c>
      <c r="G924" s="7">
        <v>46023</v>
      </c>
      <c r="H924" s="5">
        <v>0</v>
      </c>
      <c r="I92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24" t="b">
        <f>((ISNUMBER(Table3[[#This Row],[Quantity]]) )* (Table3[[#This Row],[Quantity]]&gt;0))=1</f>
        <v>1</v>
      </c>
      <c r="K924" t="b">
        <f>((Table3[[#This Row],[Quantity]]&gt;=Table3[[#This Row],[Return Qty]])*(ISNUMBER(Table3[[#This Row],[Quantity]])))=1</f>
        <v>1</v>
      </c>
      <c r="L924" t="b">
        <f>ISNUMBER(Table3[[#This Row],[Unit Price]])</f>
        <v>1</v>
      </c>
      <c r="M924" t="b">
        <f>ISNUMBER(Table3[[#This Row],[Order Date]])</f>
        <v>1</v>
      </c>
      <c r="N924">
        <f>IFERROR(IF(Table3[[#This Row],[Quantity]]*Table3[[#This Row],[Unit Price]]&lt;0, "N/A", Table3[[#This Row],[Quantity]]*Table3[[#This Row],[Unit Price]]), "N/A")</f>
        <v>165000</v>
      </c>
      <c r="O924">
        <f>IFERROR(Table3[[#This Row],[Unit Price]]*Table3[[#This Row],[Return Qty]], "N/A")</f>
        <v>0</v>
      </c>
      <c r="P924">
        <f>IFERROR(IF((Table3[[#This Row],[Revenue before return]]-Table3[[#This Row],[Amount of order  returned]])&lt;0, "N/A", Table3[[#This Row],[Revenue before return]]-Table3[[#This Row],[Amount of order  returned]]), "N/A")</f>
        <v>165000</v>
      </c>
      <c r="Q92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25" spans="1:17" x14ac:dyDescent="0.2">
      <c r="A925" t="s">
        <v>1315</v>
      </c>
      <c r="B925" t="s">
        <v>21</v>
      </c>
      <c r="C925" t="s">
        <v>39</v>
      </c>
      <c r="D925" s="6">
        <v>3</v>
      </c>
      <c r="E925" s="5">
        <v>12000</v>
      </c>
      <c r="F925" t="s">
        <v>712</v>
      </c>
      <c r="G925" s="7">
        <v>46105</v>
      </c>
      <c r="H925" s="5">
        <v>0</v>
      </c>
      <c r="I92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25" t="b">
        <f>((ISNUMBER(Table3[[#This Row],[Quantity]]) )* (Table3[[#This Row],[Quantity]]&gt;0))=1</f>
        <v>1</v>
      </c>
      <c r="K925" t="b">
        <f>((Table3[[#This Row],[Quantity]]&gt;=Table3[[#This Row],[Return Qty]])*(ISNUMBER(Table3[[#This Row],[Quantity]])))=1</f>
        <v>1</v>
      </c>
      <c r="L925" t="b">
        <f>ISNUMBER(Table3[[#This Row],[Unit Price]])</f>
        <v>1</v>
      </c>
      <c r="M925" t="b">
        <f>ISNUMBER(Table3[[#This Row],[Order Date]])</f>
        <v>1</v>
      </c>
      <c r="N925">
        <f>IFERROR(IF(Table3[[#This Row],[Quantity]]*Table3[[#This Row],[Unit Price]]&lt;0, "N/A", Table3[[#This Row],[Quantity]]*Table3[[#This Row],[Unit Price]]), "N/A")</f>
        <v>36000</v>
      </c>
      <c r="O925">
        <f>IFERROR(Table3[[#This Row],[Unit Price]]*Table3[[#This Row],[Return Qty]], "N/A")</f>
        <v>0</v>
      </c>
      <c r="P925">
        <f>IFERROR(IF((Table3[[#This Row],[Revenue before return]]-Table3[[#This Row],[Amount of order  returned]])&lt;0, "N/A", Table3[[#This Row],[Revenue before return]]-Table3[[#This Row],[Amount of order  returned]]), "N/A")</f>
        <v>36000</v>
      </c>
      <c r="Q92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26" spans="1:17" x14ac:dyDescent="0.2">
      <c r="A926" t="s">
        <v>1316</v>
      </c>
      <c r="B926" t="s">
        <v>9</v>
      </c>
      <c r="C926" t="s">
        <v>39</v>
      </c>
      <c r="D926" s="6">
        <v>10</v>
      </c>
      <c r="E926" s="5">
        <v>6000</v>
      </c>
      <c r="F926" t="s">
        <v>431</v>
      </c>
      <c r="G926" s="7">
        <v>46084</v>
      </c>
      <c r="H926" s="5">
        <v>1</v>
      </c>
      <c r="I92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26" t="b">
        <f>((ISNUMBER(Table3[[#This Row],[Quantity]]) )* (Table3[[#This Row],[Quantity]]&gt;0))=1</f>
        <v>1</v>
      </c>
      <c r="K926" t="b">
        <f>((Table3[[#This Row],[Quantity]]&gt;=Table3[[#This Row],[Return Qty]])*(ISNUMBER(Table3[[#This Row],[Quantity]])))=1</f>
        <v>1</v>
      </c>
      <c r="L926" t="b">
        <f>ISNUMBER(Table3[[#This Row],[Unit Price]])</f>
        <v>1</v>
      </c>
      <c r="M926" t="b">
        <f>ISNUMBER(Table3[[#This Row],[Order Date]])</f>
        <v>1</v>
      </c>
      <c r="N926">
        <f>IFERROR(IF(Table3[[#This Row],[Quantity]]*Table3[[#This Row],[Unit Price]]&lt;0, "N/A", Table3[[#This Row],[Quantity]]*Table3[[#This Row],[Unit Price]]), "N/A")</f>
        <v>60000</v>
      </c>
      <c r="O926">
        <f>IFERROR(Table3[[#This Row],[Unit Price]]*Table3[[#This Row],[Return Qty]], "N/A")</f>
        <v>6000</v>
      </c>
      <c r="P926">
        <f>IFERROR(IF((Table3[[#This Row],[Revenue before return]]-Table3[[#This Row],[Amount of order  returned]])&lt;0, "N/A", Table3[[#This Row],[Revenue before return]]-Table3[[#This Row],[Amount of order  returned]]), "N/A")</f>
        <v>54000</v>
      </c>
      <c r="Q92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27" spans="1:17" x14ac:dyDescent="0.2">
      <c r="A927" t="s">
        <v>1317</v>
      </c>
      <c r="B927" t="s">
        <v>9</v>
      </c>
      <c r="C927" t="s">
        <v>26</v>
      </c>
      <c r="D927" s="6">
        <v>11</v>
      </c>
      <c r="E927" s="5">
        <v>20000</v>
      </c>
      <c r="F927" t="s">
        <v>11</v>
      </c>
      <c r="G927" s="7">
        <v>46157</v>
      </c>
      <c r="H927" s="5">
        <v>0</v>
      </c>
      <c r="I92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27" t="b">
        <f>((ISNUMBER(Table3[[#This Row],[Quantity]]) )* (Table3[[#This Row],[Quantity]]&gt;0))=1</f>
        <v>1</v>
      </c>
      <c r="K927" t="b">
        <f>((Table3[[#This Row],[Quantity]]&gt;=Table3[[#This Row],[Return Qty]])*(ISNUMBER(Table3[[#This Row],[Quantity]])))=1</f>
        <v>1</v>
      </c>
      <c r="L927" t="b">
        <f>ISNUMBER(Table3[[#This Row],[Unit Price]])</f>
        <v>1</v>
      </c>
      <c r="M927" t="b">
        <f>ISNUMBER(Table3[[#This Row],[Order Date]])</f>
        <v>1</v>
      </c>
      <c r="N927">
        <f>IFERROR(IF(Table3[[#This Row],[Quantity]]*Table3[[#This Row],[Unit Price]]&lt;0, "N/A", Table3[[#This Row],[Quantity]]*Table3[[#This Row],[Unit Price]]), "N/A")</f>
        <v>220000</v>
      </c>
      <c r="O927">
        <f>IFERROR(Table3[[#This Row],[Unit Price]]*Table3[[#This Row],[Return Qty]], "N/A")</f>
        <v>0</v>
      </c>
      <c r="P927">
        <f>IFERROR(IF((Table3[[#This Row],[Revenue before return]]-Table3[[#This Row],[Amount of order  returned]])&lt;0, "N/A", Table3[[#This Row],[Revenue before return]]-Table3[[#This Row],[Amount of order  returned]]), "N/A")</f>
        <v>220000</v>
      </c>
      <c r="Q92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28" spans="1:17" x14ac:dyDescent="0.2">
      <c r="A928" t="s">
        <v>1318</v>
      </c>
      <c r="B928" t="s">
        <v>21</v>
      </c>
      <c r="C928" t="s">
        <v>39</v>
      </c>
      <c r="D928" s="6">
        <v>2</v>
      </c>
      <c r="E928" s="5">
        <v>12000</v>
      </c>
      <c r="F928" t="s">
        <v>155</v>
      </c>
      <c r="G928" s="7">
        <v>46095</v>
      </c>
      <c r="H928" s="5">
        <v>0</v>
      </c>
      <c r="I92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28" t="b">
        <f>((ISNUMBER(Table3[[#This Row],[Quantity]]) )* (Table3[[#This Row],[Quantity]]&gt;0))=1</f>
        <v>1</v>
      </c>
      <c r="K928" t="b">
        <f>((Table3[[#This Row],[Quantity]]&gt;=Table3[[#This Row],[Return Qty]])*(ISNUMBER(Table3[[#This Row],[Quantity]])))=1</f>
        <v>1</v>
      </c>
      <c r="L928" t="b">
        <f>ISNUMBER(Table3[[#This Row],[Unit Price]])</f>
        <v>1</v>
      </c>
      <c r="M928" t="b">
        <f>ISNUMBER(Table3[[#This Row],[Order Date]])</f>
        <v>1</v>
      </c>
      <c r="N928">
        <f>IFERROR(IF(Table3[[#This Row],[Quantity]]*Table3[[#This Row],[Unit Price]]&lt;0, "N/A", Table3[[#This Row],[Quantity]]*Table3[[#This Row],[Unit Price]]), "N/A")</f>
        <v>24000</v>
      </c>
      <c r="O928">
        <f>IFERROR(Table3[[#This Row],[Unit Price]]*Table3[[#This Row],[Return Qty]], "N/A")</f>
        <v>0</v>
      </c>
      <c r="P928">
        <f>IFERROR(IF((Table3[[#This Row],[Revenue before return]]-Table3[[#This Row],[Amount of order  returned]])&lt;0, "N/A", Table3[[#This Row],[Revenue before return]]-Table3[[#This Row],[Amount of order  returned]]), "N/A")</f>
        <v>24000</v>
      </c>
      <c r="Q92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29" spans="1:17" x14ac:dyDescent="0.2">
      <c r="A929" t="s">
        <v>1319</v>
      </c>
      <c r="B929" t="s">
        <v>14</v>
      </c>
      <c r="C929" t="s">
        <v>45</v>
      </c>
      <c r="D929" s="6">
        <v>10</v>
      </c>
      <c r="E929" s="5">
        <v>20000</v>
      </c>
      <c r="F929" t="s">
        <v>551</v>
      </c>
      <c r="G929" s="7">
        <v>46178</v>
      </c>
      <c r="H929" s="5">
        <v>0</v>
      </c>
      <c r="I92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29" t="b">
        <f>((ISNUMBER(Table3[[#This Row],[Quantity]]) )* (Table3[[#This Row],[Quantity]]&gt;0))=1</f>
        <v>1</v>
      </c>
      <c r="K929" t="b">
        <f>((Table3[[#This Row],[Quantity]]&gt;=Table3[[#This Row],[Return Qty]])*(ISNUMBER(Table3[[#This Row],[Quantity]])))=1</f>
        <v>1</v>
      </c>
      <c r="L929" t="b">
        <f>ISNUMBER(Table3[[#This Row],[Unit Price]])</f>
        <v>1</v>
      </c>
      <c r="M929" t="b">
        <f>ISNUMBER(Table3[[#This Row],[Order Date]])</f>
        <v>1</v>
      </c>
      <c r="N929">
        <f>IFERROR(IF(Table3[[#This Row],[Quantity]]*Table3[[#This Row],[Unit Price]]&lt;0, "N/A", Table3[[#This Row],[Quantity]]*Table3[[#This Row],[Unit Price]]), "N/A")</f>
        <v>200000</v>
      </c>
      <c r="O929">
        <f>IFERROR(Table3[[#This Row],[Unit Price]]*Table3[[#This Row],[Return Qty]], "N/A")</f>
        <v>0</v>
      </c>
      <c r="P929">
        <f>IFERROR(IF((Table3[[#This Row],[Revenue before return]]-Table3[[#This Row],[Amount of order  returned]])&lt;0, "N/A", Table3[[#This Row],[Revenue before return]]-Table3[[#This Row],[Amount of order  returned]]), "N/A")</f>
        <v>200000</v>
      </c>
      <c r="Q92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30" spans="1:17" x14ac:dyDescent="0.2">
      <c r="A930" t="s">
        <v>1320</v>
      </c>
      <c r="B930" t="s">
        <v>25</v>
      </c>
      <c r="C930" t="s">
        <v>22</v>
      </c>
      <c r="D930" s="6">
        <v>14</v>
      </c>
      <c r="E930" s="5">
        <v>35000</v>
      </c>
      <c r="F930" t="s">
        <v>42</v>
      </c>
      <c r="G930" s="7">
        <v>46197</v>
      </c>
      <c r="H930" s="5">
        <v>0</v>
      </c>
      <c r="I93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30" t="b">
        <f>((ISNUMBER(Table3[[#This Row],[Quantity]]) )* (Table3[[#This Row],[Quantity]]&gt;0))=1</f>
        <v>1</v>
      </c>
      <c r="K930" t="b">
        <f>((Table3[[#This Row],[Quantity]]&gt;=Table3[[#This Row],[Return Qty]])*(ISNUMBER(Table3[[#This Row],[Quantity]])))=1</f>
        <v>1</v>
      </c>
      <c r="L930" t="b">
        <f>ISNUMBER(Table3[[#This Row],[Unit Price]])</f>
        <v>1</v>
      </c>
      <c r="M930" t="b">
        <f>ISNUMBER(Table3[[#This Row],[Order Date]])</f>
        <v>1</v>
      </c>
      <c r="N930">
        <f>IFERROR(IF(Table3[[#This Row],[Quantity]]*Table3[[#This Row],[Unit Price]]&lt;0, "N/A", Table3[[#This Row],[Quantity]]*Table3[[#This Row],[Unit Price]]), "N/A")</f>
        <v>490000</v>
      </c>
      <c r="O930">
        <f>IFERROR(Table3[[#This Row],[Unit Price]]*Table3[[#This Row],[Return Qty]], "N/A")</f>
        <v>0</v>
      </c>
      <c r="P930">
        <f>IFERROR(IF((Table3[[#This Row],[Revenue before return]]-Table3[[#This Row],[Amount of order  returned]])&lt;0, "N/A", Table3[[#This Row],[Revenue before return]]-Table3[[#This Row],[Amount of order  returned]]), "N/A")</f>
        <v>490000</v>
      </c>
      <c r="Q93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31" spans="1:17" x14ac:dyDescent="0.2">
      <c r="A931" t="s">
        <v>1321</v>
      </c>
      <c r="B931" t="s">
        <v>9</v>
      </c>
      <c r="C931" t="s">
        <v>10</v>
      </c>
      <c r="D931" s="6">
        <v>3</v>
      </c>
      <c r="E931" s="5">
        <v>15000</v>
      </c>
      <c r="F931" t="s">
        <v>333</v>
      </c>
      <c r="G931" s="7">
        <v>46195</v>
      </c>
      <c r="H931" s="5">
        <v>0</v>
      </c>
      <c r="I93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31" t="b">
        <f>((ISNUMBER(Table3[[#This Row],[Quantity]]) )* (Table3[[#This Row],[Quantity]]&gt;0))=1</f>
        <v>1</v>
      </c>
      <c r="K931" t="b">
        <f>((Table3[[#This Row],[Quantity]]&gt;=Table3[[#This Row],[Return Qty]])*(ISNUMBER(Table3[[#This Row],[Quantity]])))=1</f>
        <v>1</v>
      </c>
      <c r="L931" t="b">
        <f>ISNUMBER(Table3[[#This Row],[Unit Price]])</f>
        <v>1</v>
      </c>
      <c r="M931" t="b">
        <f>ISNUMBER(Table3[[#This Row],[Order Date]])</f>
        <v>1</v>
      </c>
      <c r="N931">
        <f>IFERROR(IF(Table3[[#This Row],[Quantity]]*Table3[[#This Row],[Unit Price]]&lt;0, "N/A", Table3[[#This Row],[Quantity]]*Table3[[#This Row],[Unit Price]]), "N/A")</f>
        <v>45000</v>
      </c>
      <c r="O931">
        <f>IFERROR(Table3[[#This Row],[Unit Price]]*Table3[[#This Row],[Return Qty]], "N/A")</f>
        <v>0</v>
      </c>
      <c r="P931">
        <f>IFERROR(IF((Table3[[#This Row],[Revenue before return]]-Table3[[#This Row],[Amount of order  returned]])&lt;0, "N/A", Table3[[#This Row],[Revenue before return]]-Table3[[#This Row],[Amount of order  returned]]), "N/A")</f>
        <v>45000</v>
      </c>
      <c r="Q93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32" spans="1:17" x14ac:dyDescent="0.2">
      <c r="A932" t="s">
        <v>1322</v>
      </c>
      <c r="B932" t="s">
        <v>9</v>
      </c>
      <c r="C932" t="s">
        <v>10</v>
      </c>
      <c r="D932" s="6">
        <v>25</v>
      </c>
      <c r="E932" s="5">
        <v>15000</v>
      </c>
      <c r="F932" t="s">
        <v>583</v>
      </c>
      <c r="G932" s="7">
        <v>46104</v>
      </c>
      <c r="H932" s="5">
        <v>0</v>
      </c>
      <c r="I93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32" t="b">
        <f>((ISNUMBER(Table3[[#This Row],[Quantity]]) )* (Table3[[#This Row],[Quantity]]&gt;0))=1</f>
        <v>1</v>
      </c>
      <c r="K932" t="b">
        <f>((Table3[[#This Row],[Quantity]]&gt;=Table3[[#This Row],[Return Qty]])*(ISNUMBER(Table3[[#This Row],[Quantity]])))=1</f>
        <v>1</v>
      </c>
      <c r="L932" t="b">
        <f>ISNUMBER(Table3[[#This Row],[Unit Price]])</f>
        <v>1</v>
      </c>
      <c r="M932" t="b">
        <f>ISNUMBER(Table3[[#This Row],[Order Date]])</f>
        <v>1</v>
      </c>
      <c r="N932">
        <f>IFERROR(IF(Table3[[#This Row],[Quantity]]*Table3[[#This Row],[Unit Price]]&lt;0, "N/A", Table3[[#This Row],[Quantity]]*Table3[[#This Row],[Unit Price]]), "N/A")</f>
        <v>375000</v>
      </c>
      <c r="O932">
        <f>IFERROR(Table3[[#This Row],[Unit Price]]*Table3[[#This Row],[Return Qty]], "N/A")</f>
        <v>0</v>
      </c>
      <c r="P932">
        <f>IFERROR(IF((Table3[[#This Row],[Revenue before return]]-Table3[[#This Row],[Amount of order  returned]])&lt;0, "N/A", Table3[[#This Row],[Revenue before return]]-Table3[[#This Row],[Amount of order  returned]]), "N/A")</f>
        <v>375000</v>
      </c>
      <c r="Q93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33" spans="1:17" x14ac:dyDescent="0.2">
      <c r="A933" t="s">
        <v>1323</v>
      </c>
      <c r="B933" t="s">
        <v>21</v>
      </c>
      <c r="C933" t="s">
        <v>32</v>
      </c>
      <c r="D933" s="6">
        <v>17</v>
      </c>
      <c r="E933" s="5">
        <v>8000</v>
      </c>
      <c r="F933" t="s">
        <v>113</v>
      </c>
      <c r="G933" s="7">
        <v>46036</v>
      </c>
      <c r="H933" s="5">
        <v>0</v>
      </c>
      <c r="I93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33" t="b">
        <f>((ISNUMBER(Table3[[#This Row],[Quantity]]) )* (Table3[[#This Row],[Quantity]]&gt;0))=1</f>
        <v>1</v>
      </c>
      <c r="K933" t="b">
        <f>((Table3[[#This Row],[Quantity]]&gt;=Table3[[#This Row],[Return Qty]])*(ISNUMBER(Table3[[#This Row],[Quantity]])))=1</f>
        <v>1</v>
      </c>
      <c r="L933" t="b">
        <f>ISNUMBER(Table3[[#This Row],[Unit Price]])</f>
        <v>1</v>
      </c>
      <c r="M933" t="b">
        <f>ISNUMBER(Table3[[#This Row],[Order Date]])</f>
        <v>1</v>
      </c>
      <c r="N933">
        <f>IFERROR(IF(Table3[[#This Row],[Quantity]]*Table3[[#This Row],[Unit Price]]&lt;0, "N/A", Table3[[#This Row],[Quantity]]*Table3[[#This Row],[Unit Price]]), "N/A")</f>
        <v>136000</v>
      </c>
      <c r="O933">
        <f>IFERROR(Table3[[#This Row],[Unit Price]]*Table3[[#This Row],[Return Qty]], "N/A")</f>
        <v>0</v>
      </c>
      <c r="P933">
        <f>IFERROR(IF((Table3[[#This Row],[Revenue before return]]-Table3[[#This Row],[Amount of order  returned]])&lt;0, "N/A", Table3[[#This Row],[Revenue before return]]-Table3[[#This Row],[Amount of order  returned]]), "N/A")</f>
        <v>136000</v>
      </c>
      <c r="Q93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34" spans="1:17" x14ac:dyDescent="0.2">
      <c r="A934" t="s">
        <v>1324</v>
      </c>
      <c r="B934" t="s">
        <v>25</v>
      </c>
      <c r="C934" t="s">
        <v>26</v>
      </c>
      <c r="D934" s="6">
        <v>13</v>
      </c>
      <c r="E934" s="5">
        <v>20000</v>
      </c>
      <c r="F934" t="s">
        <v>42</v>
      </c>
      <c r="G934" s="7">
        <v>46134</v>
      </c>
      <c r="H934" s="5">
        <v>0</v>
      </c>
      <c r="I93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34" t="b">
        <f>((ISNUMBER(Table3[[#This Row],[Quantity]]) )* (Table3[[#This Row],[Quantity]]&gt;0))=1</f>
        <v>1</v>
      </c>
      <c r="K934" t="b">
        <f>((Table3[[#This Row],[Quantity]]&gt;=Table3[[#This Row],[Return Qty]])*(ISNUMBER(Table3[[#This Row],[Quantity]])))=1</f>
        <v>1</v>
      </c>
      <c r="L934" t="b">
        <f>ISNUMBER(Table3[[#This Row],[Unit Price]])</f>
        <v>1</v>
      </c>
      <c r="M934" t="b">
        <f>ISNUMBER(Table3[[#This Row],[Order Date]])</f>
        <v>1</v>
      </c>
      <c r="N934">
        <f>IFERROR(IF(Table3[[#This Row],[Quantity]]*Table3[[#This Row],[Unit Price]]&lt;0, "N/A", Table3[[#This Row],[Quantity]]*Table3[[#This Row],[Unit Price]]), "N/A")</f>
        <v>260000</v>
      </c>
      <c r="O934">
        <f>IFERROR(Table3[[#This Row],[Unit Price]]*Table3[[#This Row],[Return Qty]], "N/A")</f>
        <v>0</v>
      </c>
      <c r="P934">
        <f>IFERROR(IF((Table3[[#This Row],[Revenue before return]]-Table3[[#This Row],[Amount of order  returned]])&lt;0, "N/A", Table3[[#This Row],[Revenue before return]]-Table3[[#This Row],[Amount of order  returned]]), "N/A")</f>
        <v>260000</v>
      </c>
      <c r="Q93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35" spans="1:17" x14ac:dyDescent="0.2">
      <c r="A935" t="s">
        <v>1325</v>
      </c>
      <c r="B935" t="s">
        <v>9</v>
      </c>
      <c r="C935" t="s">
        <v>45</v>
      </c>
      <c r="D935" s="6">
        <v>22</v>
      </c>
      <c r="E935" s="5">
        <v>20000</v>
      </c>
      <c r="F935" t="s">
        <v>137</v>
      </c>
      <c r="G935" s="7">
        <v>46065</v>
      </c>
      <c r="H935" s="5">
        <v>0</v>
      </c>
      <c r="I93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35" t="b">
        <f>((ISNUMBER(Table3[[#This Row],[Quantity]]) )* (Table3[[#This Row],[Quantity]]&gt;0))=1</f>
        <v>1</v>
      </c>
      <c r="K935" t="b">
        <f>((Table3[[#This Row],[Quantity]]&gt;=Table3[[#This Row],[Return Qty]])*(ISNUMBER(Table3[[#This Row],[Quantity]])))=1</f>
        <v>1</v>
      </c>
      <c r="L935" t="b">
        <f>ISNUMBER(Table3[[#This Row],[Unit Price]])</f>
        <v>1</v>
      </c>
      <c r="M935" t="b">
        <f>ISNUMBER(Table3[[#This Row],[Order Date]])</f>
        <v>1</v>
      </c>
      <c r="N935">
        <f>IFERROR(IF(Table3[[#This Row],[Quantity]]*Table3[[#This Row],[Unit Price]]&lt;0, "N/A", Table3[[#This Row],[Quantity]]*Table3[[#This Row],[Unit Price]]), "N/A")</f>
        <v>440000</v>
      </c>
      <c r="O935">
        <f>IFERROR(Table3[[#This Row],[Unit Price]]*Table3[[#This Row],[Return Qty]], "N/A")</f>
        <v>0</v>
      </c>
      <c r="P935">
        <f>IFERROR(IF((Table3[[#This Row],[Revenue before return]]-Table3[[#This Row],[Amount of order  returned]])&lt;0, "N/A", Table3[[#This Row],[Revenue before return]]-Table3[[#This Row],[Amount of order  returned]]), "N/A")</f>
        <v>440000</v>
      </c>
      <c r="Q93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36" spans="1:17" x14ac:dyDescent="0.2">
      <c r="A936" t="s">
        <v>1326</v>
      </c>
      <c r="B936" t="s">
        <v>9</v>
      </c>
      <c r="C936" t="s">
        <v>18</v>
      </c>
      <c r="D936" s="6">
        <v>19</v>
      </c>
      <c r="E936" s="5">
        <v>50000</v>
      </c>
      <c r="F936" t="s">
        <v>82</v>
      </c>
      <c r="G936" s="7">
        <v>46093</v>
      </c>
      <c r="H936" s="5">
        <v>0</v>
      </c>
      <c r="I93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36" t="b">
        <f>((ISNUMBER(Table3[[#This Row],[Quantity]]) )* (Table3[[#This Row],[Quantity]]&gt;0))=1</f>
        <v>1</v>
      </c>
      <c r="K936" t="b">
        <f>((Table3[[#This Row],[Quantity]]&gt;=Table3[[#This Row],[Return Qty]])*(ISNUMBER(Table3[[#This Row],[Quantity]])))=1</f>
        <v>1</v>
      </c>
      <c r="L936" t="b">
        <f>ISNUMBER(Table3[[#This Row],[Unit Price]])</f>
        <v>1</v>
      </c>
      <c r="M936" t="b">
        <f>ISNUMBER(Table3[[#This Row],[Order Date]])</f>
        <v>1</v>
      </c>
      <c r="N936">
        <f>IFERROR(IF(Table3[[#This Row],[Quantity]]*Table3[[#This Row],[Unit Price]]&lt;0, "N/A", Table3[[#This Row],[Quantity]]*Table3[[#This Row],[Unit Price]]), "N/A")</f>
        <v>950000</v>
      </c>
      <c r="O936">
        <f>IFERROR(Table3[[#This Row],[Unit Price]]*Table3[[#This Row],[Return Qty]], "N/A")</f>
        <v>0</v>
      </c>
      <c r="P936">
        <f>IFERROR(IF((Table3[[#This Row],[Revenue before return]]-Table3[[#This Row],[Amount of order  returned]])&lt;0, "N/A", Table3[[#This Row],[Revenue before return]]-Table3[[#This Row],[Amount of order  returned]]), "N/A")</f>
        <v>950000</v>
      </c>
      <c r="Q93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37" spans="1:17" x14ac:dyDescent="0.2">
      <c r="A937" t="s">
        <v>1327</v>
      </c>
      <c r="B937" t="s">
        <v>14</v>
      </c>
      <c r="C937" t="s">
        <v>18</v>
      </c>
      <c r="D937" s="6">
        <v>3</v>
      </c>
      <c r="E937" s="5">
        <v>50000</v>
      </c>
      <c r="F937" t="s">
        <v>125</v>
      </c>
      <c r="G937" s="7">
        <v>46153</v>
      </c>
      <c r="H937" s="5">
        <v>0</v>
      </c>
      <c r="I93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37" t="b">
        <f>((ISNUMBER(Table3[[#This Row],[Quantity]]) )* (Table3[[#This Row],[Quantity]]&gt;0))=1</f>
        <v>1</v>
      </c>
      <c r="K937" t="b">
        <f>((Table3[[#This Row],[Quantity]]&gt;=Table3[[#This Row],[Return Qty]])*(ISNUMBER(Table3[[#This Row],[Quantity]])))=1</f>
        <v>1</v>
      </c>
      <c r="L937" t="b">
        <f>ISNUMBER(Table3[[#This Row],[Unit Price]])</f>
        <v>1</v>
      </c>
      <c r="M937" t="b">
        <f>ISNUMBER(Table3[[#This Row],[Order Date]])</f>
        <v>1</v>
      </c>
      <c r="N937">
        <f>IFERROR(IF(Table3[[#This Row],[Quantity]]*Table3[[#This Row],[Unit Price]]&lt;0, "N/A", Table3[[#This Row],[Quantity]]*Table3[[#This Row],[Unit Price]]), "N/A")</f>
        <v>150000</v>
      </c>
      <c r="O937">
        <f>IFERROR(Table3[[#This Row],[Unit Price]]*Table3[[#This Row],[Return Qty]], "N/A")</f>
        <v>0</v>
      </c>
      <c r="P937">
        <f>IFERROR(IF((Table3[[#This Row],[Revenue before return]]-Table3[[#This Row],[Amount of order  returned]])&lt;0, "N/A", Table3[[#This Row],[Revenue before return]]-Table3[[#This Row],[Amount of order  returned]]), "N/A")</f>
        <v>150000</v>
      </c>
      <c r="Q93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38" spans="1:17" x14ac:dyDescent="0.2">
      <c r="A938" t="s">
        <v>1328</v>
      </c>
      <c r="B938" t="s">
        <v>21</v>
      </c>
      <c r="C938" t="s">
        <v>18</v>
      </c>
      <c r="D938" s="6">
        <v>6</v>
      </c>
      <c r="E938" s="5">
        <v>50000</v>
      </c>
      <c r="F938" t="s">
        <v>220</v>
      </c>
      <c r="G938" s="7">
        <v>46134</v>
      </c>
      <c r="H938" s="5">
        <v>4</v>
      </c>
      <c r="I93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38" t="b">
        <f>((ISNUMBER(Table3[[#This Row],[Quantity]]) )* (Table3[[#This Row],[Quantity]]&gt;0))=1</f>
        <v>1</v>
      </c>
      <c r="K938" t="b">
        <f>((Table3[[#This Row],[Quantity]]&gt;=Table3[[#This Row],[Return Qty]])*(ISNUMBER(Table3[[#This Row],[Quantity]])))=1</f>
        <v>1</v>
      </c>
      <c r="L938" t="b">
        <f>ISNUMBER(Table3[[#This Row],[Unit Price]])</f>
        <v>1</v>
      </c>
      <c r="M938" t="b">
        <f>ISNUMBER(Table3[[#This Row],[Order Date]])</f>
        <v>1</v>
      </c>
      <c r="N938">
        <f>IFERROR(IF(Table3[[#This Row],[Quantity]]*Table3[[#This Row],[Unit Price]]&lt;0, "N/A", Table3[[#This Row],[Quantity]]*Table3[[#This Row],[Unit Price]]), "N/A")</f>
        <v>300000</v>
      </c>
      <c r="O938">
        <f>IFERROR(Table3[[#This Row],[Unit Price]]*Table3[[#This Row],[Return Qty]], "N/A")</f>
        <v>200000</v>
      </c>
      <c r="P938">
        <f>IFERROR(IF((Table3[[#This Row],[Revenue before return]]-Table3[[#This Row],[Amount of order  returned]])&lt;0, "N/A", Table3[[#This Row],[Revenue before return]]-Table3[[#This Row],[Amount of order  returned]]), "N/A")</f>
        <v>100000</v>
      </c>
      <c r="Q93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39" spans="1:17" x14ac:dyDescent="0.2">
      <c r="A939" t="s">
        <v>1329</v>
      </c>
      <c r="B939" t="s">
        <v>14</v>
      </c>
      <c r="C939" t="s">
        <v>22</v>
      </c>
      <c r="D939" s="6">
        <v>7</v>
      </c>
      <c r="E939" s="5">
        <v>35000</v>
      </c>
      <c r="F939" t="s">
        <v>588</v>
      </c>
      <c r="G939" s="7">
        <v>46073</v>
      </c>
      <c r="H939" s="5">
        <v>0</v>
      </c>
      <c r="I93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39" t="b">
        <f>((ISNUMBER(Table3[[#This Row],[Quantity]]) )* (Table3[[#This Row],[Quantity]]&gt;0))=1</f>
        <v>1</v>
      </c>
      <c r="K939" t="b">
        <f>((Table3[[#This Row],[Quantity]]&gt;=Table3[[#This Row],[Return Qty]])*(ISNUMBER(Table3[[#This Row],[Quantity]])))=1</f>
        <v>1</v>
      </c>
      <c r="L939" t="b">
        <f>ISNUMBER(Table3[[#This Row],[Unit Price]])</f>
        <v>1</v>
      </c>
      <c r="M939" t="b">
        <f>ISNUMBER(Table3[[#This Row],[Order Date]])</f>
        <v>1</v>
      </c>
      <c r="N939">
        <f>IFERROR(IF(Table3[[#This Row],[Quantity]]*Table3[[#This Row],[Unit Price]]&lt;0, "N/A", Table3[[#This Row],[Quantity]]*Table3[[#This Row],[Unit Price]]), "N/A")</f>
        <v>245000</v>
      </c>
      <c r="O939">
        <f>IFERROR(Table3[[#This Row],[Unit Price]]*Table3[[#This Row],[Return Qty]], "N/A")</f>
        <v>0</v>
      </c>
      <c r="P939">
        <f>IFERROR(IF((Table3[[#This Row],[Revenue before return]]-Table3[[#This Row],[Amount of order  returned]])&lt;0, "N/A", Table3[[#This Row],[Revenue before return]]-Table3[[#This Row],[Amount of order  returned]]), "N/A")</f>
        <v>245000</v>
      </c>
      <c r="Q93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40" spans="1:17" x14ac:dyDescent="0.2">
      <c r="A940" t="s">
        <v>1330</v>
      </c>
      <c r="B940" t="s">
        <v>9</v>
      </c>
      <c r="C940" t="s">
        <v>70</v>
      </c>
      <c r="D940" s="6">
        <v>17</v>
      </c>
      <c r="E940" s="5">
        <v>14000</v>
      </c>
      <c r="F940" t="s">
        <v>428</v>
      </c>
      <c r="G940" s="7">
        <v>46045</v>
      </c>
      <c r="H940" s="5">
        <v>0</v>
      </c>
      <c r="I94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40" t="b">
        <f>((ISNUMBER(Table3[[#This Row],[Quantity]]) )* (Table3[[#This Row],[Quantity]]&gt;0))=1</f>
        <v>1</v>
      </c>
      <c r="K940" t="b">
        <f>((Table3[[#This Row],[Quantity]]&gt;=Table3[[#This Row],[Return Qty]])*(ISNUMBER(Table3[[#This Row],[Quantity]])))=1</f>
        <v>1</v>
      </c>
      <c r="L940" t="b">
        <f>ISNUMBER(Table3[[#This Row],[Unit Price]])</f>
        <v>1</v>
      </c>
      <c r="M940" t="b">
        <f>ISNUMBER(Table3[[#This Row],[Order Date]])</f>
        <v>1</v>
      </c>
      <c r="N940">
        <f>IFERROR(IF(Table3[[#This Row],[Quantity]]*Table3[[#This Row],[Unit Price]]&lt;0, "N/A", Table3[[#This Row],[Quantity]]*Table3[[#This Row],[Unit Price]]), "N/A")</f>
        <v>238000</v>
      </c>
      <c r="O940">
        <f>IFERROR(Table3[[#This Row],[Unit Price]]*Table3[[#This Row],[Return Qty]], "N/A")</f>
        <v>0</v>
      </c>
      <c r="P940">
        <f>IFERROR(IF((Table3[[#This Row],[Revenue before return]]-Table3[[#This Row],[Amount of order  returned]])&lt;0, "N/A", Table3[[#This Row],[Revenue before return]]-Table3[[#This Row],[Amount of order  returned]]), "N/A")</f>
        <v>238000</v>
      </c>
      <c r="Q94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41" spans="1:17" x14ac:dyDescent="0.2">
      <c r="A941" t="s">
        <v>1331</v>
      </c>
      <c r="B941" t="s">
        <v>25</v>
      </c>
      <c r="C941" t="s">
        <v>70</v>
      </c>
      <c r="D941" s="6">
        <v>21</v>
      </c>
      <c r="E941" s="5" t="s">
        <v>11</v>
      </c>
      <c r="F941" t="s">
        <v>499</v>
      </c>
      <c r="G941" s="7">
        <v>46116</v>
      </c>
      <c r="H941" s="5">
        <v>0</v>
      </c>
      <c r="I94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41" t="b">
        <f>((ISNUMBER(Table3[[#This Row],[Quantity]]) )* (Table3[[#This Row],[Quantity]]&gt;0))=1</f>
        <v>1</v>
      </c>
      <c r="K941" t="b">
        <f>((Table3[[#This Row],[Quantity]]&gt;=Table3[[#This Row],[Return Qty]])*(ISNUMBER(Table3[[#This Row],[Quantity]])))=1</f>
        <v>1</v>
      </c>
      <c r="L941" t="b">
        <f>ISNUMBER(Table3[[#This Row],[Unit Price]])</f>
        <v>0</v>
      </c>
      <c r="M941" t="b">
        <f>ISNUMBER(Table3[[#This Row],[Order Date]])</f>
        <v>1</v>
      </c>
      <c r="N941" t="str">
        <f>IFERROR(IF(Table3[[#This Row],[Quantity]]*Table3[[#This Row],[Unit Price]]&lt;0, "N/A", Table3[[#This Row],[Quantity]]*Table3[[#This Row],[Unit Price]]), "N/A")</f>
        <v>N/A</v>
      </c>
      <c r="O941" t="str">
        <f>IFERROR(Table3[[#This Row],[Unit Price]]*Table3[[#This Row],[Return Qty]], "N/A")</f>
        <v>N/A</v>
      </c>
      <c r="P941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94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42" spans="1:17" x14ac:dyDescent="0.2">
      <c r="A942" t="s">
        <v>1332</v>
      </c>
      <c r="B942" t="s">
        <v>25</v>
      </c>
      <c r="C942" t="s">
        <v>22</v>
      </c>
      <c r="D942" s="6">
        <v>23</v>
      </c>
      <c r="E942" s="5">
        <v>35000</v>
      </c>
      <c r="F942" t="s">
        <v>175</v>
      </c>
      <c r="G942" s="7">
        <v>46056</v>
      </c>
      <c r="H942" s="5">
        <v>0</v>
      </c>
      <c r="I94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42" t="b">
        <f>((ISNUMBER(Table3[[#This Row],[Quantity]]) )* (Table3[[#This Row],[Quantity]]&gt;0))=1</f>
        <v>1</v>
      </c>
      <c r="K942" t="b">
        <f>((Table3[[#This Row],[Quantity]]&gt;=Table3[[#This Row],[Return Qty]])*(ISNUMBER(Table3[[#This Row],[Quantity]])))=1</f>
        <v>1</v>
      </c>
      <c r="L942" t="b">
        <f>ISNUMBER(Table3[[#This Row],[Unit Price]])</f>
        <v>1</v>
      </c>
      <c r="M942" t="b">
        <f>ISNUMBER(Table3[[#This Row],[Order Date]])</f>
        <v>1</v>
      </c>
      <c r="N942">
        <f>IFERROR(IF(Table3[[#This Row],[Quantity]]*Table3[[#This Row],[Unit Price]]&lt;0, "N/A", Table3[[#This Row],[Quantity]]*Table3[[#This Row],[Unit Price]]), "N/A")</f>
        <v>805000</v>
      </c>
      <c r="O942">
        <f>IFERROR(Table3[[#This Row],[Unit Price]]*Table3[[#This Row],[Return Qty]], "N/A")</f>
        <v>0</v>
      </c>
      <c r="P942">
        <f>IFERROR(IF((Table3[[#This Row],[Revenue before return]]-Table3[[#This Row],[Amount of order  returned]])&lt;0, "N/A", Table3[[#This Row],[Revenue before return]]-Table3[[#This Row],[Amount of order  returned]]), "N/A")</f>
        <v>805000</v>
      </c>
      <c r="Q94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43" spans="1:17" x14ac:dyDescent="0.2">
      <c r="A943" t="s">
        <v>1333</v>
      </c>
      <c r="B943" t="s">
        <v>14</v>
      </c>
      <c r="C943" t="s">
        <v>18</v>
      </c>
      <c r="D943" s="6">
        <v>17</v>
      </c>
      <c r="E943" s="5">
        <v>50000</v>
      </c>
      <c r="F943" t="s">
        <v>891</v>
      </c>
      <c r="G943" s="7" t="s">
        <v>11</v>
      </c>
      <c r="H943" s="5">
        <v>0</v>
      </c>
      <c r="I94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43" t="b">
        <f>((ISNUMBER(Table3[[#This Row],[Quantity]]) )* (Table3[[#This Row],[Quantity]]&gt;0))=1</f>
        <v>1</v>
      </c>
      <c r="K943" t="b">
        <f>((Table3[[#This Row],[Quantity]]&gt;=Table3[[#This Row],[Return Qty]])*(ISNUMBER(Table3[[#This Row],[Quantity]])))=1</f>
        <v>1</v>
      </c>
      <c r="L943" t="b">
        <f>ISNUMBER(Table3[[#This Row],[Unit Price]])</f>
        <v>1</v>
      </c>
      <c r="M943" t="b">
        <f>ISNUMBER(Table3[[#This Row],[Order Date]])</f>
        <v>0</v>
      </c>
      <c r="N943">
        <f>IFERROR(IF(Table3[[#This Row],[Quantity]]*Table3[[#This Row],[Unit Price]]&lt;0, "N/A", Table3[[#This Row],[Quantity]]*Table3[[#This Row],[Unit Price]]), "N/A")</f>
        <v>850000</v>
      </c>
      <c r="O943">
        <f>IFERROR(Table3[[#This Row],[Unit Price]]*Table3[[#This Row],[Return Qty]], "N/A")</f>
        <v>0</v>
      </c>
      <c r="P943">
        <f>IFERROR(IF((Table3[[#This Row],[Revenue before return]]-Table3[[#This Row],[Amount of order  returned]])&lt;0, "N/A", Table3[[#This Row],[Revenue before return]]-Table3[[#This Row],[Amount of order  returned]]), "N/A")</f>
        <v>850000</v>
      </c>
      <c r="Q94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44" spans="1:17" x14ac:dyDescent="0.2">
      <c r="A944" t="s">
        <v>1334</v>
      </c>
      <c r="B944" t="s">
        <v>25</v>
      </c>
      <c r="C944" t="s">
        <v>70</v>
      </c>
      <c r="D944" s="6">
        <v>-2</v>
      </c>
      <c r="E944" s="5">
        <v>28000</v>
      </c>
      <c r="F944" t="s">
        <v>246</v>
      </c>
      <c r="G944" s="7">
        <v>46031</v>
      </c>
      <c r="H944" s="5">
        <v>2</v>
      </c>
      <c r="I94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44" t="b">
        <f>((ISNUMBER(Table3[[#This Row],[Quantity]]) )* (Table3[[#This Row],[Quantity]]&gt;0))=1</f>
        <v>0</v>
      </c>
      <c r="K944" t="b">
        <f>((Table3[[#This Row],[Quantity]]&gt;=Table3[[#This Row],[Return Qty]])*(ISNUMBER(Table3[[#This Row],[Quantity]])))=1</f>
        <v>0</v>
      </c>
      <c r="L944" t="b">
        <f>ISNUMBER(Table3[[#This Row],[Unit Price]])</f>
        <v>1</v>
      </c>
      <c r="M944" t="b">
        <f>ISNUMBER(Table3[[#This Row],[Order Date]])</f>
        <v>1</v>
      </c>
      <c r="N944" t="str">
        <f>IFERROR(IF(Table3[[#This Row],[Quantity]]*Table3[[#This Row],[Unit Price]]&lt;0, "N/A", Table3[[#This Row],[Quantity]]*Table3[[#This Row],[Unit Price]]), "N/A")</f>
        <v>N/A</v>
      </c>
      <c r="O944">
        <f>IFERROR(Table3[[#This Row],[Unit Price]]*Table3[[#This Row],[Return Qty]], "N/A")</f>
        <v>56000</v>
      </c>
      <c r="P944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94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45" spans="1:17" x14ac:dyDescent="0.2">
      <c r="A945" t="s">
        <v>1335</v>
      </c>
      <c r="B945" t="s">
        <v>14</v>
      </c>
      <c r="C945" t="s">
        <v>18</v>
      </c>
      <c r="D945" s="6">
        <v>24</v>
      </c>
      <c r="E945" s="5">
        <v>50000</v>
      </c>
      <c r="F945" t="s">
        <v>805</v>
      </c>
      <c r="G945" s="7">
        <v>46048</v>
      </c>
      <c r="H945" s="5">
        <v>0</v>
      </c>
      <c r="I94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45" t="b">
        <f>((ISNUMBER(Table3[[#This Row],[Quantity]]) )* (Table3[[#This Row],[Quantity]]&gt;0))=1</f>
        <v>1</v>
      </c>
      <c r="K945" t="b">
        <f>((Table3[[#This Row],[Quantity]]&gt;=Table3[[#This Row],[Return Qty]])*(ISNUMBER(Table3[[#This Row],[Quantity]])))=1</f>
        <v>1</v>
      </c>
      <c r="L945" t="b">
        <f>ISNUMBER(Table3[[#This Row],[Unit Price]])</f>
        <v>1</v>
      </c>
      <c r="M945" t="b">
        <f>ISNUMBER(Table3[[#This Row],[Order Date]])</f>
        <v>1</v>
      </c>
      <c r="N945">
        <f>IFERROR(IF(Table3[[#This Row],[Quantity]]*Table3[[#This Row],[Unit Price]]&lt;0, "N/A", Table3[[#This Row],[Quantity]]*Table3[[#This Row],[Unit Price]]), "N/A")</f>
        <v>1200000</v>
      </c>
      <c r="O945">
        <f>IFERROR(Table3[[#This Row],[Unit Price]]*Table3[[#This Row],[Return Qty]], "N/A")</f>
        <v>0</v>
      </c>
      <c r="P945">
        <f>IFERROR(IF((Table3[[#This Row],[Revenue before return]]-Table3[[#This Row],[Amount of order  returned]])&lt;0, "N/A", Table3[[#This Row],[Revenue before return]]-Table3[[#This Row],[Amount of order  returned]]), "N/A")</f>
        <v>1200000</v>
      </c>
      <c r="Q94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46" spans="1:17" x14ac:dyDescent="0.2">
      <c r="A946" t="s">
        <v>1336</v>
      </c>
      <c r="B946" t="s">
        <v>9</v>
      </c>
      <c r="C946" t="s">
        <v>39</v>
      </c>
      <c r="D946" s="6">
        <v>7</v>
      </c>
      <c r="E946" s="5">
        <v>12000</v>
      </c>
      <c r="F946" t="s">
        <v>11</v>
      </c>
      <c r="G946" s="7">
        <v>46032</v>
      </c>
      <c r="H946" s="5">
        <v>0</v>
      </c>
      <c r="I94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46" t="b">
        <f>((ISNUMBER(Table3[[#This Row],[Quantity]]) )* (Table3[[#This Row],[Quantity]]&gt;0))=1</f>
        <v>1</v>
      </c>
      <c r="K946" t="b">
        <f>((Table3[[#This Row],[Quantity]]&gt;=Table3[[#This Row],[Return Qty]])*(ISNUMBER(Table3[[#This Row],[Quantity]])))=1</f>
        <v>1</v>
      </c>
      <c r="L946" t="b">
        <f>ISNUMBER(Table3[[#This Row],[Unit Price]])</f>
        <v>1</v>
      </c>
      <c r="M946" t="b">
        <f>ISNUMBER(Table3[[#This Row],[Order Date]])</f>
        <v>1</v>
      </c>
      <c r="N946">
        <f>IFERROR(IF(Table3[[#This Row],[Quantity]]*Table3[[#This Row],[Unit Price]]&lt;0, "N/A", Table3[[#This Row],[Quantity]]*Table3[[#This Row],[Unit Price]]), "N/A")</f>
        <v>84000</v>
      </c>
      <c r="O946">
        <f>IFERROR(Table3[[#This Row],[Unit Price]]*Table3[[#This Row],[Return Qty]], "N/A")</f>
        <v>0</v>
      </c>
      <c r="P946">
        <f>IFERROR(IF((Table3[[#This Row],[Revenue before return]]-Table3[[#This Row],[Amount of order  returned]])&lt;0, "N/A", Table3[[#This Row],[Revenue before return]]-Table3[[#This Row],[Amount of order  returned]]), "N/A")</f>
        <v>84000</v>
      </c>
      <c r="Q94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47" spans="1:17" x14ac:dyDescent="0.2">
      <c r="A947" t="s">
        <v>1337</v>
      </c>
      <c r="B947" t="s">
        <v>9</v>
      </c>
      <c r="C947" t="s">
        <v>18</v>
      </c>
      <c r="D947" s="6">
        <v>9</v>
      </c>
      <c r="E947" s="5">
        <v>50000</v>
      </c>
      <c r="F947" t="s">
        <v>1339</v>
      </c>
      <c r="G947" s="7">
        <v>46056</v>
      </c>
      <c r="H947" s="5">
        <v>3</v>
      </c>
      <c r="I94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47" t="b">
        <f>((ISNUMBER(Table3[[#This Row],[Quantity]]) )* (Table3[[#This Row],[Quantity]]&gt;0))=1</f>
        <v>1</v>
      </c>
      <c r="K947" t="b">
        <f>((Table3[[#This Row],[Quantity]]&gt;=Table3[[#This Row],[Return Qty]])*(ISNUMBER(Table3[[#This Row],[Quantity]])))=1</f>
        <v>1</v>
      </c>
      <c r="L947" t="b">
        <f>ISNUMBER(Table3[[#This Row],[Unit Price]])</f>
        <v>1</v>
      </c>
      <c r="M947" t="b">
        <f>ISNUMBER(Table3[[#This Row],[Order Date]])</f>
        <v>1</v>
      </c>
      <c r="N947">
        <f>IFERROR(IF(Table3[[#This Row],[Quantity]]*Table3[[#This Row],[Unit Price]]&lt;0, "N/A", Table3[[#This Row],[Quantity]]*Table3[[#This Row],[Unit Price]]), "N/A")</f>
        <v>450000</v>
      </c>
      <c r="O947">
        <f>IFERROR(Table3[[#This Row],[Unit Price]]*Table3[[#This Row],[Return Qty]], "N/A")</f>
        <v>150000</v>
      </c>
      <c r="P947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94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48" spans="1:17" x14ac:dyDescent="0.2">
      <c r="A948" t="s">
        <v>1340</v>
      </c>
      <c r="B948" t="s">
        <v>14</v>
      </c>
      <c r="C948" t="s">
        <v>10</v>
      </c>
      <c r="D948" s="6">
        <v>21</v>
      </c>
      <c r="E948" s="5">
        <v>15000</v>
      </c>
      <c r="F948" t="s">
        <v>1177</v>
      </c>
      <c r="G948" s="7">
        <v>46035</v>
      </c>
      <c r="H948" s="5">
        <v>0</v>
      </c>
      <c r="I94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48" t="b">
        <f>((ISNUMBER(Table3[[#This Row],[Quantity]]) )* (Table3[[#This Row],[Quantity]]&gt;0))=1</f>
        <v>1</v>
      </c>
      <c r="K948" t="b">
        <f>((Table3[[#This Row],[Quantity]]&gt;=Table3[[#This Row],[Return Qty]])*(ISNUMBER(Table3[[#This Row],[Quantity]])))=1</f>
        <v>1</v>
      </c>
      <c r="L948" t="b">
        <f>ISNUMBER(Table3[[#This Row],[Unit Price]])</f>
        <v>1</v>
      </c>
      <c r="M948" t="b">
        <f>ISNUMBER(Table3[[#This Row],[Order Date]])</f>
        <v>1</v>
      </c>
      <c r="N948">
        <f>IFERROR(IF(Table3[[#This Row],[Quantity]]*Table3[[#This Row],[Unit Price]]&lt;0, "N/A", Table3[[#This Row],[Quantity]]*Table3[[#This Row],[Unit Price]]), "N/A")</f>
        <v>315000</v>
      </c>
      <c r="O948">
        <f>IFERROR(Table3[[#This Row],[Unit Price]]*Table3[[#This Row],[Return Qty]], "N/A")</f>
        <v>0</v>
      </c>
      <c r="P948">
        <f>IFERROR(IF((Table3[[#This Row],[Revenue before return]]-Table3[[#This Row],[Amount of order  returned]])&lt;0, "N/A", Table3[[#This Row],[Revenue before return]]-Table3[[#This Row],[Amount of order  returned]]), "N/A")</f>
        <v>315000</v>
      </c>
      <c r="Q94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49" spans="1:17" x14ac:dyDescent="0.2">
      <c r="A949" t="s">
        <v>1341</v>
      </c>
      <c r="B949" t="s">
        <v>9</v>
      </c>
      <c r="C949" t="s">
        <v>39</v>
      </c>
      <c r="D949" s="6">
        <v>8</v>
      </c>
      <c r="E949" s="5">
        <v>12000</v>
      </c>
      <c r="F949" t="s">
        <v>95</v>
      </c>
      <c r="G949" s="7">
        <v>46193</v>
      </c>
      <c r="H949" s="5">
        <v>0</v>
      </c>
      <c r="I94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49" t="b">
        <f>((ISNUMBER(Table3[[#This Row],[Quantity]]) )* (Table3[[#This Row],[Quantity]]&gt;0))=1</f>
        <v>1</v>
      </c>
      <c r="K949" t="b">
        <f>((Table3[[#This Row],[Quantity]]&gt;=Table3[[#This Row],[Return Qty]])*(ISNUMBER(Table3[[#This Row],[Quantity]])))=1</f>
        <v>1</v>
      </c>
      <c r="L949" t="b">
        <f>ISNUMBER(Table3[[#This Row],[Unit Price]])</f>
        <v>1</v>
      </c>
      <c r="M949" t="b">
        <f>ISNUMBER(Table3[[#This Row],[Order Date]])</f>
        <v>1</v>
      </c>
      <c r="N949">
        <f>IFERROR(IF(Table3[[#This Row],[Quantity]]*Table3[[#This Row],[Unit Price]]&lt;0, "N/A", Table3[[#This Row],[Quantity]]*Table3[[#This Row],[Unit Price]]), "N/A")</f>
        <v>96000</v>
      </c>
      <c r="O949">
        <f>IFERROR(Table3[[#This Row],[Unit Price]]*Table3[[#This Row],[Return Qty]], "N/A")</f>
        <v>0</v>
      </c>
      <c r="P949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94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50" spans="1:17" x14ac:dyDescent="0.2">
      <c r="A950" t="s">
        <v>1342</v>
      </c>
      <c r="B950" t="s">
        <v>14</v>
      </c>
      <c r="C950" t="s">
        <v>10</v>
      </c>
      <c r="D950" s="6">
        <v>-7</v>
      </c>
      <c r="E950" s="5">
        <v>15000</v>
      </c>
      <c r="F950" t="s">
        <v>57</v>
      </c>
      <c r="G950" s="7">
        <v>46180</v>
      </c>
      <c r="H950" s="5">
        <v>0</v>
      </c>
      <c r="I95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50" t="b">
        <f>((ISNUMBER(Table3[[#This Row],[Quantity]]) )* (Table3[[#This Row],[Quantity]]&gt;0))=1</f>
        <v>0</v>
      </c>
      <c r="K950" t="b">
        <f>((Table3[[#This Row],[Quantity]]&gt;=Table3[[#This Row],[Return Qty]])*(ISNUMBER(Table3[[#This Row],[Quantity]])))=1</f>
        <v>0</v>
      </c>
      <c r="L950" t="b">
        <f>ISNUMBER(Table3[[#This Row],[Unit Price]])</f>
        <v>1</v>
      </c>
      <c r="M950" t="b">
        <f>ISNUMBER(Table3[[#This Row],[Order Date]])</f>
        <v>1</v>
      </c>
      <c r="N950" t="str">
        <f>IFERROR(IF(Table3[[#This Row],[Quantity]]*Table3[[#This Row],[Unit Price]]&lt;0, "N/A", Table3[[#This Row],[Quantity]]*Table3[[#This Row],[Unit Price]]), "N/A")</f>
        <v>N/A</v>
      </c>
      <c r="O950">
        <f>IFERROR(Table3[[#This Row],[Unit Price]]*Table3[[#This Row],[Return Qty]], "N/A")</f>
        <v>0</v>
      </c>
      <c r="P950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95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51" spans="1:17" x14ac:dyDescent="0.2">
      <c r="A951" t="s">
        <v>1343</v>
      </c>
      <c r="B951" t="s">
        <v>25</v>
      </c>
      <c r="C951" t="s">
        <v>22</v>
      </c>
      <c r="D951" s="6">
        <v>23</v>
      </c>
      <c r="E951" s="5">
        <v>35000</v>
      </c>
      <c r="F951" t="s">
        <v>599</v>
      </c>
      <c r="G951" s="7">
        <v>46033</v>
      </c>
      <c r="H951" s="5">
        <v>0</v>
      </c>
      <c r="I95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51" t="b">
        <f>((ISNUMBER(Table3[[#This Row],[Quantity]]) )* (Table3[[#This Row],[Quantity]]&gt;0))=1</f>
        <v>1</v>
      </c>
      <c r="K951" t="b">
        <f>((Table3[[#This Row],[Quantity]]&gt;=Table3[[#This Row],[Return Qty]])*(ISNUMBER(Table3[[#This Row],[Quantity]])))=1</f>
        <v>1</v>
      </c>
      <c r="L951" t="b">
        <f>ISNUMBER(Table3[[#This Row],[Unit Price]])</f>
        <v>1</v>
      </c>
      <c r="M951" t="b">
        <f>ISNUMBER(Table3[[#This Row],[Order Date]])</f>
        <v>1</v>
      </c>
      <c r="N951">
        <f>IFERROR(IF(Table3[[#This Row],[Quantity]]*Table3[[#This Row],[Unit Price]]&lt;0, "N/A", Table3[[#This Row],[Quantity]]*Table3[[#This Row],[Unit Price]]), "N/A")</f>
        <v>805000</v>
      </c>
      <c r="O951">
        <f>IFERROR(Table3[[#This Row],[Unit Price]]*Table3[[#This Row],[Return Qty]], "N/A")</f>
        <v>0</v>
      </c>
      <c r="P951">
        <f>IFERROR(IF((Table3[[#This Row],[Revenue before return]]-Table3[[#This Row],[Amount of order  returned]])&lt;0, "N/A", Table3[[#This Row],[Revenue before return]]-Table3[[#This Row],[Amount of order  returned]]), "N/A")</f>
        <v>805000</v>
      </c>
      <c r="Q95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52" spans="1:17" x14ac:dyDescent="0.2">
      <c r="A952" t="s">
        <v>1344</v>
      </c>
      <c r="B952" t="s">
        <v>21</v>
      </c>
      <c r="C952" t="s">
        <v>22</v>
      </c>
      <c r="D952" s="6">
        <v>25</v>
      </c>
      <c r="E952" s="5">
        <v>35000</v>
      </c>
      <c r="F952" t="s">
        <v>199</v>
      </c>
      <c r="G952" s="7">
        <v>46086</v>
      </c>
      <c r="H952" s="5">
        <v>0</v>
      </c>
      <c r="I95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52" t="b">
        <f>((ISNUMBER(Table3[[#This Row],[Quantity]]) )* (Table3[[#This Row],[Quantity]]&gt;0))=1</f>
        <v>1</v>
      </c>
      <c r="K952" t="b">
        <f>((Table3[[#This Row],[Quantity]]&gt;=Table3[[#This Row],[Return Qty]])*(ISNUMBER(Table3[[#This Row],[Quantity]])))=1</f>
        <v>1</v>
      </c>
      <c r="L952" t="b">
        <f>ISNUMBER(Table3[[#This Row],[Unit Price]])</f>
        <v>1</v>
      </c>
      <c r="M952" t="b">
        <f>ISNUMBER(Table3[[#This Row],[Order Date]])</f>
        <v>1</v>
      </c>
      <c r="N952">
        <f>IFERROR(IF(Table3[[#This Row],[Quantity]]*Table3[[#This Row],[Unit Price]]&lt;0, "N/A", Table3[[#This Row],[Quantity]]*Table3[[#This Row],[Unit Price]]), "N/A")</f>
        <v>875000</v>
      </c>
      <c r="O952">
        <f>IFERROR(Table3[[#This Row],[Unit Price]]*Table3[[#This Row],[Return Qty]], "N/A")</f>
        <v>0</v>
      </c>
      <c r="P952">
        <f>IFERROR(IF((Table3[[#This Row],[Revenue before return]]-Table3[[#This Row],[Amount of order  returned]])&lt;0, "N/A", Table3[[#This Row],[Revenue before return]]-Table3[[#This Row],[Amount of order  returned]]), "N/A")</f>
        <v>875000</v>
      </c>
      <c r="Q95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53" spans="1:17" x14ac:dyDescent="0.2">
      <c r="A953" t="s">
        <v>1345</v>
      </c>
      <c r="B953" t="s">
        <v>21</v>
      </c>
      <c r="C953" t="s">
        <v>18</v>
      </c>
      <c r="D953" s="6">
        <v>11</v>
      </c>
      <c r="E953" s="5">
        <v>50000</v>
      </c>
      <c r="F953" t="s">
        <v>35</v>
      </c>
      <c r="G953" s="7">
        <v>46192</v>
      </c>
      <c r="H953" s="5">
        <v>5</v>
      </c>
      <c r="I95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53" t="b">
        <f>((ISNUMBER(Table3[[#This Row],[Quantity]]) )* (Table3[[#This Row],[Quantity]]&gt;0))=1</f>
        <v>1</v>
      </c>
      <c r="K953" t="b">
        <f>((Table3[[#This Row],[Quantity]]&gt;=Table3[[#This Row],[Return Qty]])*(ISNUMBER(Table3[[#This Row],[Quantity]])))=1</f>
        <v>1</v>
      </c>
      <c r="L953" t="b">
        <f>ISNUMBER(Table3[[#This Row],[Unit Price]])</f>
        <v>1</v>
      </c>
      <c r="M953" t="b">
        <f>ISNUMBER(Table3[[#This Row],[Order Date]])</f>
        <v>1</v>
      </c>
      <c r="N953">
        <f>IFERROR(IF(Table3[[#This Row],[Quantity]]*Table3[[#This Row],[Unit Price]]&lt;0, "N/A", Table3[[#This Row],[Quantity]]*Table3[[#This Row],[Unit Price]]), "N/A")</f>
        <v>550000</v>
      </c>
      <c r="O953">
        <f>IFERROR(Table3[[#This Row],[Unit Price]]*Table3[[#This Row],[Return Qty]], "N/A")</f>
        <v>250000</v>
      </c>
      <c r="P953">
        <f>IFERROR(IF((Table3[[#This Row],[Revenue before return]]-Table3[[#This Row],[Amount of order  returned]])&lt;0, "N/A", Table3[[#This Row],[Revenue before return]]-Table3[[#This Row],[Amount of order  returned]]), "N/A")</f>
        <v>300000</v>
      </c>
      <c r="Q95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54" spans="1:17" x14ac:dyDescent="0.2">
      <c r="A954" t="s">
        <v>1346</v>
      </c>
      <c r="B954" t="s">
        <v>25</v>
      </c>
      <c r="C954" t="s">
        <v>10</v>
      </c>
      <c r="D954" s="6">
        <v>10</v>
      </c>
      <c r="E954" s="5">
        <v>15000</v>
      </c>
      <c r="F954" t="s">
        <v>1203</v>
      </c>
      <c r="G954" s="7">
        <v>46087</v>
      </c>
      <c r="H954" s="5">
        <v>16</v>
      </c>
      <c r="I95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54" t="b">
        <f>((ISNUMBER(Table3[[#This Row],[Quantity]]) )* (Table3[[#This Row],[Quantity]]&gt;0))=1</f>
        <v>1</v>
      </c>
      <c r="K954" t="b">
        <f>((Table3[[#This Row],[Quantity]]&gt;=Table3[[#This Row],[Return Qty]])*(ISNUMBER(Table3[[#This Row],[Quantity]])))=1</f>
        <v>0</v>
      </c>
      <c r="L954" t="b">
        <f>ISNUMBER(Table3[[#This Row],[Unit Price]])</f>
        <v>1</v>
      </c>
      <c r="M954" t="b">
        <f>ISNUMBER(Table3[[#This Row],[Order Date]])</f>
        <v>1</v>
      </c>
      <c r="N954">
        <f>IFERROR(IF(Table3[[#This Row],[Quantity]]*Table3[[#This Row],[Unit Price]]&lt;0, "N/A", Table3[[#This Row],[Quantity]]*Table3[[#This Row],[Unit Price]]), "N/A")</f>
        <v>150000</v>
      </c>
      <c r="O954">
        <f>IFERROR(Table3[[#This Row],[Unit Price]]*Table3[[#This Row],[Return Qty]], "N/A")</f>
        <v>240000</v>
      </c>
      <c r="P954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95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55" spans="1:17" x14ac:dyDescent="0.2">
      <c r="A955" t="s">
        <v>1347</v>
      </c>
      <c r="B955" t="s">
        <v>9</v>
      </c>
      <c r="C955" t="s">
        <v>10</v>
      </c>
      <c r="D955" s="6">
        <v>1</v>
      </c>
      <c r="E955" s="5">
        <v>15000</v>
      </c>
      <c r="F955" t="s">
        <v>253</v>
      </c>
      <c r="G955" s="7">
        <v>46110</v>
      </c>
      <c r="H955" s="5">
        <v>0</v>
      </c>
      <c r="I95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55" t="b">
        <f>((ISNUMBER(Table3[[#This Row],[Quantity]]) )* (Table3[[#This Row],[Quantity]]&gt;0))=1</f>
        <v>1</v>
      </c>
      <c r="K955" t="b">
        <f>((Table3[[#This Row],[Quantity]]&gt;=Table3[[#This Row],[Return Qty]])*(ISNUMBER(Table3[[#This Row],[Quantity]])))=1</f>
        <v>1</v>
      </c>
      <c r="L955" t="b">
        <f>ISNUMBER(Table3[[#This Row],[Unit Price]])</f>
        <v>1</v>
      </c>
      <c r="M955" t="b">
        <f>ISNUMBER(Table3[[#This Row],[Order Date]])</f>
        <v>1</v>
      </c>
      <c r="N955">
        <f>IFERROR(IF(Table3[[#This Row],[Quantity]]*Table3[[#This Row],[Unit Price]]&lt;0, "N/A", Table3[[#This Row],[Quantity]]*Table3[[#This Row],[Unit Price]]), "N/A")</f>
        <v>15000</v>
      </c>
      <c r="O955">
        <f>IFERROR(Table3[[#This Row],[Unit Price]]*Table3[[#This Row],[Return Qty]], "N/A")</f>
        <v>0</v>
      </c>
      <c r="P955">
        <f>IFERROR(IF((Table3[[#This Row],[Revenue before return]]-Table3[[#This Row],[Amount of order  returned]])&lt;0, "N/A", Table3[[#This Row],[Revenue before return]]-Table3[[#This Row],[Amount of order  returned]]), "N/A")</f>
        <v>15000</v>
      </c>
      <c r="Q95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56" spans="1:17" x14ac:dyDescent="0.2">
      <c r="A956" t="s">
        <v>1348</v>
      </c>
      <c r="B956" t="s">
        <v>14</v>
      </c>
      <c r="C956" t="s">
        <v>70</v>
      </c>
      <c r="D956" s="6">
        <v>11</v>
      </c>
      <c r="E956" s="5">
        <v>28000</v>
      </c>
      <c r="F956" t="s">
        <v>71</v>
      </c>
      <c r="G956" s="7">
        <v>46176</v>
      </c>
      <c r="H956" s="5">
        <v>0</v>
      </c>
      <c r="I95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56" t="b">
        <f>((ISNUMBER(Table3[[#This Row],[Quantity]]) )* (Table3[[#This Row],[Quantity]]&gt;0))=1</f>
        <v>1</v>
      </c>
      <c r="K956" t="b">
        <f>((Table3[[#This Row],[Quantity]]&gt;=Table3[[#This Row],[Return Qty]])*(ISNUMBER(Table3[[#This Row],[Quantity]])))=1</f>
        <v>1</v>
      </c>
      <c r="L956" t="b">
        <f>ISNUMBER(Table3[[#This Row],[Unit Price]])</f>
        <v>1</v>
      </c>
      <c r="M956" t="b">
        <f>ISNUMBER(Table3[[#This Row],[Order Date]])</f>
        <v>1</v>
      </c>
      <c r="N956">
        <f>IFERROR(IF(Table3[[#This Row],[Quantity]]*Table3[[#This Row],[Unit Price]]&lt;0, "N/A", Table3[[#This Row],[Quantity]]*Table3[[#This Row],[Unit Price]]), "N/A")</f>
        <v>308000</v>
      </c>
      <c r="O956">
        <f>IFERROR(Table3[[#This Row],[Unit Price]]*Table3[[#This Row],[Return Qty]], "N/A")</f>
        <v>0</v>
      </c>
      <c r="P956">
        <f>IFERROR(IF((Table3[[#This Row],[Revenue before return]]-Table3[[#This Row],[Amount of order  returned]])&lt;0, "N/A", Table3[[#This Row],[Revenue before return]]-Table3[[#This Row],[Amount of order  returned]]), "N/A")</f>
        <v>308000</v>
      </c>
      <c r="Q95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57" spans="1:17" x14ac:dyDescent="0.2">
      <c r="A957" t="s">
        <v>1349</v>
      </c>
      <c r="B957" t="s">
        <v>451</v>
      </c>
      <c r="C957" t="s">
        <v>32</v>
      </c>
      <c r="D957" s="6">
        <v>10</v>
      </c>
      <c r="E957" s="5">
        <v>8000</v>
      </c>
      <c r="F957" t="s">
        <v>280</v>
      </c>
      <c r="G957" s="7">
        <v>46117</v>
      </c>
      <c r="H957" s="5">
        <v>0</v>
      </c>
      <c r="I95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57" t="b">
        <f>((ISNUMBER(Table3[[#This Row],[Quantity]]) )* (Table3[[#This Row],[Quantity]]&gt;0))=1</f>
        <v>1</v>
      </c>
      <c r="K957" t="b">
        <f>((Table3[[#This Row],[Quantity]]&gt;=Table3[[#This Row],[Return Qty]])*(ISNUMBER(Table3[[#This Row],[Quantity]])))=1</f>
        <v>1</v>
      </c>
      <c r="L957" t="b">
        <f>ISNUMBER(Table3[[#This Row],[Unit Price]])</f>
        <v>1</v>
      </c>
      <c r="M957" t="b">
        <f>ISNUMBER(Table3[[#This Row],[Order Date]])</f>
        <v>1</v>
      </c>
      <c r="N957">
        <f>IFERROR(IF(Table3[[#This Row],[Quantity]]*Table3[[#This Row],[Unit Price]]&lt;0, "N/A", Table3[[#This Row],[Quantity]]*Table3[[#This Row],[Unit Price]]), "N/A")</f>
        <v>80000</v>
      </c>
      <c r="O957">
        <f>IFERROR(Table3[[#This Row],[Unit Price]]*Table3[[#This Row],[Return Qty]], "N/A")</f>
        <v>0</v>
      </c>
      <c r="P957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95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58" spans="1:17" x14ac:dyDescent="0.2">
      <c r="A958" t="s">
        <v>1350</v>
      </c>
      <c r="B958" t="s">
        <v>25</v>
      </c>
      <c r="C958" t="s">
        <v>18</v>
      </c>
      <c r="D958" s="6">
        <v>2</v>
      </c>
      <c r="E958" s="5">
        <v>50000</v>
      </c>
      <c r="F958" t="s">
        <v>377</v>
      </c>
      <c r="G958" s="7">
        <v>46172</v>
      </c>
      <c r="H958" s="5">
        <v>0</v>
      </c>
      <c r="I95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58" t="b">
        <f>((ISNUMBER(Table3[[#This Row],[Quantity]]) )* (Table3[[#This Row],[Quantity]]&gt;0))=1</f>
        <v>1</v>
      </c>
      <c r="K958" t="b">
        <f>((Table3[[#This Row],[Quantity]]&gt;=Table3[[#This Row],[Return Qty]])*(ISNUMBER(Table3[[#This Row],[Quantity]])))=1</f>
        <v>1</v>
      </c>
      <c r="L958" t="b">
        <f>ISNUMBER(Table3[[#This Row],[Unit Price]])</f>
        <v>1</v>
      </c>
      <c r="M958" t="b">
        <f>ISNUMBER(Table3[[#This Row],[Order Date]])</f>
        <v>1</v>
      </c>
      <c r="N958">
        <f>IFERROR(IF(Table3[[#This Row],[Quantity]]*Table3[[#This Row],[Unit Price]]&lt;0, "N/A", Table3[[#This Row],[Quantity]]*Table3[[#This Row],[Unit Price]]), "N/A")</f>
        <v>100000</v>
      </c>
      <c r="O958">
        <f>IFERROR(Table3[[#This Row],[Unit Price]]*Table3[[#This Row],[Return Qty]], "N/A")</f>
        <v>0</v>
      </c>
      <c r="P958">
        <f>IFERROR(IF((Table3[[#This Row],[Revenue before return]]-Table3[[#This Row],[Amount of order  returned]])&lt;0, "N/A", Table3[[#This Row],[Revenue before return]]-Table3[[#This Row],[Amount of order  returned]]), "N/A")</f>
        <v>100000</v>
      </c>
      <c r="Q95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59" spans="1:17" x14ac:dyDescent="0.2">
      <c r="A959" t="s">
        <v>1351</v>
      </c>
      <c r="B959" t="s">
        <v>14</v>
      </c>
      <c r="C959" t="s">
        <v>45</v>
      </c>
      <c r="D959" s="6">
        <v>-3</v>
      </c>
      <c r="E959" s="5">
        <v>20000</v>
      </c>
      <c r="F959" t="s">
        <v>898</v>
      </c>
      <c r="G959" s="7">
        <v>46099</v>
      </c>
      <c r="H959" s="5">
        <v>0</v>
      </c>
      <c r="I95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59" t="b">
        <f>((ISNUMBER(Table3[[#This Row],[Quantity]]) )* (Table3[[#This Row],[Quantity]]&gt;0))=1</f>
        <v>0</v>
      </c>
      <c r="K959" t="b">
        <f>((Table3[[#This Row],[Quantity]]&gt;=Table3[[#This Row],[Return Qty]])*(ISNUMBER(Table3[[#This Row],[Quantity]])))=1</f>
        <v>0</v>
      </c>
      <c r="L959" t="b">
        <f>ISNUMBER(Table3[[#This Row],[Unit Price]])</f>
        <v>1</v>
      </c>
      <c r="M959" t="b">
        <f>ISNUMBER(Table3[[#This Row],[Order Date]])</f>
        <v>1</v>
      </c>
      <c r="N959" t="str">
        <f>IFERROR(IF(Table3[[#This Row],[Quantity]]*Table3[[#This Row],[Unit Price]]&lt;0, "N/A", Table3[[#This Row],[Quantity]]*Table3[[#This Row],[Unit Price]]), "N/A")</f>
        <v>N/A</v>
      </c>
      <c r="O959">
        <f>IFERROR(Table3[[#This Row],[Unit Price]]*Table3[[#This Row],[Return Qty]], "N/A")</f>
        <v>0</v>
      </c>
      <c r="P959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95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60" spans="1:17" x14ac:dyDescent="0.2">
      <c r="A960" t="s">
        <v>1352</v>
      </c>
      <c r="B960" t="s">
        <v>21</v>
      </c>
      <c r="C960" t="s">
        <v>39</v>
      </c>
      <c r="D960" s="6">
        <v>20</v>
      </c>
      <c r="E960" s="5">
        <v>12000</v>
      </c>
      <c r="F960" t="s">
        <v>103</v>
      </c>
      <c r="G960" s="7" t="s">
        <v>11</v>
      </c>
      <c r="H960" s="5">
        <v>0</v>
      </c>
      <c r="I96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60" t="b">
        <f>((ISNUMBER(Table3[[#This Row],[Quantity]]) )* (Table3[[#This Row],[Quantity]]&gt;0))=1</f>
        <v>1</v>
      </c>
      <c r="K960" t="b">
        <f>((Table3[[#This Row],[Quantity]]&gt;=Table3[[#This Row],[Return Qty]])*(ISNUMBER(Table3[[#This Row],[Quantity]])))=1</f>
        <v>1</v>
      </c>
      <c r="L960" t="b">
        <f>ISNUMBER(Table3[[#This Row],[Unit Price]])</f>
        <v>1</v>
      </c>
      <c r="M960" t="b">
        <f>ISNUMBER(Table3[[#This Row],[Order Date]])</f>
        <v>0</v>
      </c>
      <c r="N960">
        <f>IFERROR(IF(Table3[[#This Row],[Quantity]]*Table3[[#This Row],[Unit Price]]&lt;0, "N/A", Table3[[#This Row],[Quantity]]*Table3[[#This Row],[Unit Price]]), "N/A")</f>
        <v>240000</v>
      </c>
      <c r="O960">
        <f>IFERROR(Table3[[#This Row],[Unit Price]]*Table3[[#This Row],[Return Qty]], "N/A")</f>
        <v>0</v>
      </c>
      <c r="P960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96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61" spans="1:17" x14ac:dyDescent="0.2">
      <c r="A961" t="s">
        <v>1353</v>
      </c>
      <c r="B961" t="s">
        <v>25</v>
      </c>
      <c r="C961" t="s">
        <v>18</v>
      </c>
      <c r="D961" s="6">
        <v>3</v>
      </c>
      <c r="E961" s="5">
        <v>50000</v>
      </c>
      <c r="F961" t="s">
        <v>477</v>
      </c>
      <c r="G961" s="7">
        <v>46121</v>
      </c>
      <c r="H961" s="5">
        <v>0</v>
      </c>
      <c r="I96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61" t="b">
        <f>((ISNUMBER(Table3[[#This Row],[Quantity]]) )* (Table3[[#This Row],[Quantity]]&gt;0))=1</f>
        <v>1</v>
      </c>
      <c r="K961" t="b">
        <f>((Table3[[#This Row],[Quantity]]&gt;=Table3[[#This Row],[Return Qty]])*(ISNUMBER(Table3[[#This Row],[Quantity]])))=1</f>
        <v>1</v>
      </c>
      <c r="L961" t="b">
        <f>ISNUMBER(Table3[[#This Row],[Unit Price]])</f>
        <v>1</v>
      </c>
      <c r="M961" t="b">
        <f>ISNUMBER(Table3[[#This Row],[Order Date]])</f>
        <v>1</v>
      </c>
      <c r="N961">
        <f>IFERROR(IF(Table3[[#This Row],[Quantity]]*Table3[[#This Row],[Unit Price]]&lt;0, "N/A", Table3[[#This Row],[Quantity]]*Table3[[#This Row],[Unit Price]]), "N/A")</f>
        <v>150000</v>
      </c>
      <c r="O961">
        <f>IFERROR(Table3[[#This Row],[Unit Price]]*Table3[[#This Row],[Return Qty]], "N/A")</f>
        <v>0</v>
      </c>
      <c r="P961">
        <f>IFERROR(IF((Table3[[#This Row],[Revenue before return]]-Table3[[#This Row],[Amount of order  returned]])&lt;0, "N/A", Table3[[#This Row],[Revenue before return]]-Table3[[#This Row],[Amount of order  returned]]), "N/A")</f>
        <v>150000</v>
      </c>
      <c r="Q96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62" spans="1:17" x14ac:dyDescent="0.2">
      <c r="A962" t="s">
        <v>1354</v>
      </c>
      <c r="B962" t="s">
        <v>21</v>
      </c>
      <c r="C962" t="s">
        <v>26</v>
      </c>
      <c r="D962" s="6">
        <v>-2</v>
      </c>
      <c r="E962" s="5">
        <v>20000</v>
      </c>
      <c r="F962" t="s">
        <v>572</v>
      </c>
      <c r="G962" s="7">
        <v>46067</v>
      </c>
      <c r="H962" s="5">
        <v>0</v>
      </c>
      <c r="I96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62" t="b">
        <f>((ISNUMBER(Table3[[#This Row],[Quantity]]) )* (Table3[[#This Row],[Quantity]]&gt;0))=1</f>
        <v>0</v>
      </c>
      <c r="K962" t="b">
        <f>((Table3[[#This Row],[Quantity]]&gt;=Table3[[#This Row],[Return Qty]])*(ISNUMBER(Table3[[#This Row],[Quantity]])))=1</f>
        <v>0</v>
      </c>
      <c r="L962" t="b">
        <f>ISNUMBER(Table3[[#This Row],[Unit Price]])</f>
        <v>1</v>
      </c>
      <c r="M962" t="b">
        <f>ISNUMBER(Table3[[#This Row],[Order Date]])</f>
        <v>1</v>
      </c>
      <c r="N962" t="str">
        <f>IFERROR(IF(Table3[[#This Row],[Quantity]]*Table3[[#This Row],[Unit Price]]&lt;0, "N/A", Table3[[#This Row],[Quantity]]*Table3[[#This Row],[Unit Price]]), "N/A")</f>
        <v>N/A</v>
      </c>
      <c r="O962">
        <f>IFERROR(Table3[[#This Row],[Unit Price]]*Table3[[#This Row],[Return Qty]], "N/A")</f>
        <v>0</v>
      </c>
      <c r="P962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96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63" spans="1:17" x14ac:dyDescent="0.2">
      <c r="A963" t="s">
        <v>1355</v>
      </c>
      <c r="B963" t="s">
        <v>21</v>
      </c>
      <c r="C963" t="s">
        <v>32</v>
      </c>
      <c r="D963" s="6">
        <v>24</v>
      </c>
      <c r="E963" s="5">
        <v>8000</v>
      </c>
      <c r="F963" t="s">
        <v>656</v>
      </c>
      <c r="G963" s="7">
        <v>46141</v>
      </c>
      <c r="H963" s="5">
        <v>0</v>
      </c>
      <c r="I96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63" t="b">
        <f>((ISNUMBER(Table3[[#This Row],[Quantity]]) )* (Table3[[#This Row],[Quantity]]&gt;0))=1</f>
        <v>1</v>
      </c>
      <c r="K963" t="b">
        <f>((Table3[[#This Row],[Quantity]]&gt;=Table3[[#This Row],[Return Qty]])*(ISNUMBER(Table3[[#This Row],[Quantity]])))=1</f>
        <v>1</v>
      </c>
      <c r="L963" t="b">
        <f>ISNUMBER(Table3[[#This Row],[Unit Price]])</f>
        <v>1</v>
      </c>
      <c r="M963" t="b">
        <f>ISNUMBER(Table3[[#This Row],[Order Date]])</f>
        <v>1</v>
      </c>
      <c r="N963">
        <f>IFERROR(IF(Table3[[#This Row],[Quantity]]*Table3[[#This Row],[Unit Price]]&lt;0, "N/A", Table3[[#This Row],[Quantity]]*Table3[[#This Row],[Unit Price]]), "N/A")</f>
        <v>192000</v>
      </c>
      <c r="O963">
        <f>IFERROR(Table3[[#This Row],[Unit Price]]*Table3[[#This Row],[Return Qty]], "N/A")</f>
        <v>0</v>
      </c>
      <c r="P963">
        <f>IFERROR(IF((Table3[[#This Row],[Revenue before return]]-Table3[[#This Row],[Amount of order  returned]])&lt;0, "N/A", Table3[[#This Row],[Revenue before return]]-Table3[[#This Row],[Amount of order  returned]]), "N/A")</f>
        <v>192000</v>
      </c>
      <c r="Q96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64" spans="1:17" x14ac:dyDescent="0.2">
      <c r="A964" t="s">
        <v>1356</v>
      </c>
      <c r="B964" t="s">
        <v>14</v>
      </c>
      <c r="C964" t="s">
        <v>22</v>
      </c>
      <c r="D964" s="6">
        <v>23</v>
      </c>
      <c r="E964" s="5">
        <v>35000</v>
      </c>
      <c r="F964" t="s">
        <v>12</v>
      </c>
      <c r="G964" s="7">
        <v>46130</v>
      </c>
      <c r="H964" s="5">
        <v>0</v>
      </c>
      <c r="I96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64" t="b">
        <f>((ISNUMBER(Table3[[#This Row],[Quantity]]) )* (Table3[[#This Row],[Quantity]]&gt;0))=1</f>
        <v>1</v>
      </c>
      <c r="K964" t="b">
        <f>((Table3[[#This Row],[Quantity]]&gt;=Table3[[#This Row],[Return Qty]])*(ISNUMBER(Table3[[#This Row],[Quantity]])))=1</f>
        <v>1</v>
      </c>
      <c r="L964" t="b">
        <f>ISNUMBER(Table3[[#This Row],[Unit Price]])</f>
        <v>1</v>
      </c>
      <c r="M964" t="b">
        <f>ISNUMBER(Table3[[#This Row],[Order Date]])</f>
        <v>1</v>
      </c>
      <c r="N964">
        <f>IFERROR(IF(Table3[[#This Row],[Quantity]]*Table3[[#This Row],[Unit Price]]&lt;0, "N/A", Table3[[#This Row],[Quantity]]*Table3[[#This Row],[Unit Price]]), "N/A")</f>
        <v>805000</v>
      </c>
      <c r="O964">
        <f>IFERROR(Table3[[#This Row],[Unit Price]]*Table3[[#This Row],[Return Qty]], "N/A")</f>
        <v>0</v>
      </c>
      <c r="P964">
        <f>IFERROR(IF((Table3[[#This Row],[Revenue before return]]-Table3[[#This Row],[Amount of order  returned]])&lt;0, "N/A", Table3[[#This Row],[Revenue before return]]-Table3[[#This Row],[Amount of order  returned]]), "N/A")</f>
        <v>805000</v>
      </c>
      <c r="Q96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65" spans="1:17" x14ac:dyDescent="0.2">
      <c r="A965" t="s">
        <v>1357</v>
      </c>
      <c r="B965" t="s">
        <v>14</v>
      </c>
      <c r="C965" t="s">
        <v>32</v>
      </c>
      <c r="D965" s="6">
        <v>24</v>
      </c>
      <c r="E965" s="5">
        <v>8000</v>
      </c>
      <c r="F965" t="s">
        <v>179</v>
      </c>
      <c r="G965" s="7">
        <v>46031</v>
      </c>
      <c r="H965" s="5">
        <v>4</v>
      </c>
      <c r="I96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65" t="b">
        <f>((ISNUMBER(Table3[[#This Row],[Quantity]]) )* (Table3[[#This Row],[Quantity]]&gt;0))=1</f>
        <v>1</v>
      </c>
      <c r="K965" t="b">
        <f>((Table3[[#This Row],[Quantity]]&gt;=Table3[[#This Row],[Return Qty]])*(ISNUMBER(Table3[[#This Row],[Quantity]])))=1</f>
        <v>1</v>
      </c>
      <c r="L965" t="b">
        <f>ISNUMBER(Table3[[#This Row],[Unit Price]])</f>
        <v>1</v>
      </c>
      <c r="M965" t="b">
        <f>ISNUMBER(Table3[[#This Row],[Order Date]])</f>
        <v>1</v>
      </c>
      <c r="N965">
        <f>IFERROR(IF(Table3[[#This Row],[Quantity]]*Table3[[#This Row],[Unit Price]]&lt;0, "N/A", Table3[[#This Row],[Quantity]]*Table3[[#This Row],[Unit Price]]), "N/A")</f>
        <v>192000</v>
      </c>
      <c r="O965">
        <f>IFERROR(Table3[[#This Row],[Unit Price]]*Table3[[#This Row],[Return Qty]], "N/A")</f>
        <v>32000</v>
      </c>
      <c r="P965">
        <f>IFERROR(IF((Table3[[#This Row],[Revenue before return]]-Table3[[#This Row],[Amount of order  returned]])&lt;0, "N/A", Table3[[#This Row],[Revenue before return]]-Table3[[#This Row],[Amount of order  returned]]), "N/A")</f>
        <v>160000</v>
      </c>
      <c r="Q96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66" spans="1:17" x14ac:dyDescent="0.2">
      <c r="A966" t="s">
        <v>1358</v>
      </c>
      <c r="B966" t="s">
        <v>25</v>
      </c>
      <c r="C966" t="s">
        <v>26</v>
      </c>
      <c r="D966" s="6">
        <v>21</v>
      </c>
      <c r="E966" s="5">
        <v>20000</v>
      </c>
      <c r="F966" t="s">
        <v>1079</v>
      </c>
      <c r="G966" s="7">
        <v>46137</v>
      </c>
      <c r="H966" s="5">
        <v>0</v>
      </c>
      <c r="I96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66" t="b">
        <f>((ISNUMBER(Table3[[#This Row],[Quantity]]) )* (Table3[[#This Row],[Quantity]]&gt;0))=1</f>
        <v>1</v>
      </c>
      <c r="K966" t="b">
        <f>((Table3[[#This Row],[Quantity]]&gt;=Table3[[#This Row],[Return Qty]])*(ISNUMBER(Table3[[#This Row],[Quantity]])))=1</f>
        <v>1</v>
      </c>
      <c r="L966" t="b">
        <f>ISNUMBER(Table3[[#This Row],[Unit Price]])</f>
        <v>1</v>
      </c>
      <c r="M966" t="b">
        <f>ISNUMBER(Table3[[#This Row],[Order Date]])</f>
        <v>1</v>
      </c>
      <c r="N966">
        <f>IFERROR(IF(Table3[[#This Row],[Quantity]]*Table3[[#This Row],[Unit Price]]&lt;0, "N/A", Table3[[#This Row],[Quantity]]*Table3[[#This Row],[Unit Price]]), "N/A")</f>
        <v>420000</v>
      </c>
      <c r="O966">
        <f>IFERROR(Table3[[#This Row],[Unit Price]]*Table3[[#This Row],[Return Qty]], "N/A")</f>
        <v>0</v>
      </c>
      <c r="P966">
        <f>IFERROR(IF((Table3[[#This Row],[Revenue before return]]-Table3[[#This Row],[Amount of order  returned]])&lt;0, "N/A", Table3[[#This Row],[Revenue before return]]-Table3[[#This Row],[Amount of order  returned]]), "N/A")</f>
        <v>420000</v>
      </c>
      <c r="Q96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67" spans="1:17" x14ac:dyDescent="0.2">
      <c r="A967" t="s">
        <v>1359</v>
      </c>
      <c r="B967" t="s">
        <v>21</v>
      </c>
      <c r="C967" t="s">
        <v>39</v>
      </c>
      <c r="D967" s="6">
        <v>5</v>
      </c>
      <c r="E967" s="5">
        <v>12000</v>
      </c>
      <c r="F967" t="s">
        <v>1054</v>
      </c>
      <c r="G967" s="7">
        <v>46047</v>
      </c>
      <c r="H967" s="5">
        <v>0</v>
      </c>
      <c r="I96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67" t="b">
        <f>((ISNUMBER(Table3[[#This Row],[Quantity]]) )* (Table3[[#This Row],[Quantity]]&gt;0))=1</f>
        <v>1</v>
      </c>
      <c r="K967" t="b">
        <f>((Table3[[#This Row],[Quantity]]&gt;=Table3[[#This Row],[Return Qty]])*(ISNUMBER(Table3[[#This Row],[Quantity]])))=1</f>
        <v>1</v>
      </c>
      <c r="L967" t="b">
        <f>ISNUMBER(Table3[[#This Row],[Unit Price]])</f>
        <v>1</v>
      </c>
      <c r="M967" t="b">
        <f>ISNUMBER(Table3[[#This Row],[Order Date]])</f>
        <v>1</v>
      </c>
      <c r="N967">
        <f>IFERROR(IF(Table3[[#This Row],[Quantity]]*Table3[[#This Row],[Unit Price]]&lt;0, "N/A", Table3[[#This Row],[Quantity]]*Table3[[#This Row],[Unit Price]]), "N/A")</f>
        <v>60000</v>
      </c>
      <c r="O967">
        <f>IFERROR(Table3[[#This Row],[Unit Price]]*Table3[[#This Row],[Return Qty]], "N/A")</f>
        <v>0</v>
      </c>
      <c r="P967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96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68" spans="1:17" x14ac:dyDescent="0.2">
      <c r="A968" t="s">
        <v>1360</v>
      </c>
      <c r="B968" t="s">
        <v>21</v>
      </c>
      <c r="C968" t="s">
        <v>26</v>
      </c>
      <c r="D968" s="6">
        <v>5</v>
      </c>
      <c r="E968" s="5">
        <v>20000</v>
      </c>
      <c r="F968" t="s">
        <v>712</v>
      </c>
      <c r="G968" s="7">
        <v>46125</v>
      </c>
      <c r="H968" s="5">
        <v>0</v>
      </c>
      <c r="I96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68" t="b">
        <f>((ISNUMBER(Table3[[#This Row],[Quantity]]) )* (Table3[[#This Row],[Quantity]]&gt;0))=1</f>
        <v>1</v>
      </c>
      <c r="K968" t="b">
        <f>((Table3[[#This Row],[Quantity]]&gt;=Table3[[#This Row],[Return Qty]])*(ISNUMBER(Table3[[#This Row],[Quantity]])))=1</f>
        <v>1</v>
      </c>
      <c r="L968" t="b">
        <f>ISNUMBER(Table3[[#This Row],[Unit Price]])</f>
        <v>1</v>
      </c>
      <c r="M968" t="b">
        <f>ISNUMBER(Table3[[#This Row],[Order Date]])</f>
        <v>1</v>
      </c>
      <c r="N968">
        <f>IFERROR(IF(Table3[[#This Row],[Quantity]]*Table3[[#This Row],[Unit Price]]&lt;0, "N/A", Table3[[#This Row],[Quantity]]*Table3[[#This Row],[Unit Price]]), "N/A")</f>
        <v>100000</v>
      </c>
      <c r="O968">
        <f>IFERROR(Table3[[#This Row],[Unit Price]]*Table3[[#This Row],[Return Qty]], "N/A")</f>
        <v>0</v>
      </c>
      <c r="P968">
        <f>IFERROR(IF((Table3[[#This Row],[Revenue before return]]-Table3[[#This Row],[Amount of order  returned]])&lt;0, "N/A", Table3[[#This Row],[Revenue before return]]-Table3[[#This Row],[Amount of order  returned]]), "N/A")</f>
        <v>100000</v>
      </c>
      <c r="Q96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69" spans="1:17" x14ac:dyDescent="0.2">
      <c r="A969" t="s">
        <v>1361</v>
      </c>
      <c r="B969" t="s">
        <v>25</v>
      </c>
      <c r="C969" t="s">
        <v>22</v>
      </c>
      <c r="D969" s="6">
        <v>18</v>
      </c>
      <c r="E969" s="5">
        <v>35000</v>
      </c>
      <c r="F969" t="s">
        <v>784</v>
      </c>
      <c r="G969" s="7">
        <v>46144</v>
      </c>
      <c r="H969" s="5">
        <v>5</v>
      </c>
      <c r="I96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69" t="b">
        <f>((ISNUMBER(Table3[[#This Row],[Quantity]]) )* (Table3[[#This Row],[Quantity]]&gt;0))=1</f>
        <v>1</v>
      </c>
      <c r="K969" t="b">
        <f>((Table3[[#This Row],[Quantity]]&gt;=Table3[[#This Row],[Return Qty]])*(ISNUMBER(Table3[[#This Row],[Quantity]])))=1</f>
        <v>1</v>
      </c>
      <c r="L969" t="b">
        <f>ISNUMBER(Table3[[#This Row],[Unit Price]])</f>
        <v>1</v>
      </c>
      <c r="M969" t="b">
        <f>ISNUMBER(Table3[[#This Row],[Order Date]])</f>
        <v>1</v>
      </c>
      <c r="N969">
        <f>IFERROR(IF(Table3[[#This Row],[Quantity]]*Table3[[#This Row],[Unit Price]]&lt;0, "N/A", Table3[[#This Row],[Quantity]]*Table3[[#This Row],[Unit Price]]), "N/A")</f>
        <v>630000</v>
      </c>
      <c r="O969">
        <f>IFERROR(Table3[[#This Row],[Unit Price]]*Table3[[#This Row],[Return Qty]], "N/A")</f>
        <v>175000</v>
      </c>
      <c r="P969">
        <f>IFERROR(IF((Table3[[#This Row],[Revenue before return]]-Table3[[#This Row],[Amount of order  returned]])&lt;0, "N/A", Table3[[#This Row],[Revenue before return]]-Table3[[#This Row],[Amount of order  returned]]), "N/A")</f>
        <v>455000</v>
      </c>
      <c r="Q96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70" spans="1:17" x14ac:dyDescent="0.2">
      <c r="A970" t="s">
        <v>1362</v>
      </c>
      <c r="B970" t="s">
        <v>21</v>
      </c>
      <c r="C970" t="s">
        <v>32</v>
      </c>
      <c r="D970" s="6">
        <v>14</v>
      </c>
      <c r="E970" s="5">
        <v>8000</v>
      </c>
      <c r="F970" t="s">
        <v>1169</v>
      </c>
      <c r="G970" s="7">
        <v>46162</v>
      </c>
      <c r="H970" s="5">
        <v>0</v>
      </c>
      <c r="I97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70" t="b">
        <f>((ISNUMBER(Table3[[#This Row],[Quantity]]) )* (Table3[[#This Row],[Quantity]]&gt;0))=1</f>
        <v>1</v>
      </c>
      <c r="K970" t="b">
        <f>((Table3[[#This Row],[Quantity]]&gt;=Table3[[#This Row],[Return Qty]])*(ISNUMBER(Table3[[#This Row],[Quantity]])))=1</f>
        <v>1</v>
      </c>
      <c r="L970" t="b">
        <f>ISNUMBER(Table3[[#This Row],[Unit Price]])</f>
        <v>1</v>
      </c>
      <c r="M970" t="b">
        <f>ISNUMBER(Table3[[#This Row],[Order Date]])</f>
        <v>1</v>
      </c>
      <c r="N970">
        <f>IFERROR(IF(Table3[[#This Row],[Quantity]]*Table3[[#This Row],[Unit Price]]&lt;0, "N/A", Table3[[#This Row],[Quantity]]*Table3[[#This Row],[Unit Price]]), "N/A")</f>
        <v>112000</v>
      </c>
      <c r="O970">
        <f>IFERROR(Table3[[#This Row],[Unit Price]]*Table3[[#This Row],[Return Qty]], "N/A")</f>
        <v>0</v>
      </c>
      <c r="P970">
        <f>IFERROR(IF((Table3[[#This Row],[Revenue before return]]-Table3[[#This Row],[Amount of order  returned]])&lt;0, "N/A", Table3[[#This Row],[Revenue before return]]-Table3[[#This Row],[Amount of order  returned]]), "N/A")</f>
        <v>112000</v>
      </c>
      <c r="Q97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71" spans="1:17" x14ac:dyDescent="0.2">
      <c r="A971" t="s">
        <v>1363</v>
      </c>
      <c r="B971" t="s">
        <v>14</v>
      </c>
      <c r="C971" t="s">
        <v>39</v>
      </c>
      <c r="D971" s="6">
        <v>21</v>
      </c>
      <c r="E971" s="5">
        <v>12000</v>
      </c>
      <c r="F971" t="s">
        <v>75</v>
      </c>
      <c r="G971" s="7">
        <v>46151</v>
      </c>
      <c r="H971" s="5">
        <v>0</v>
      </c>
      <c r="I97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71" t="b">
        <f>((ISNUMBER(Table3[[#This Row],[Quantity]]) )* (Table3[[#This Row],[Quantity]]&gt;0))=1</f>
        <v>1</v>
      </c>
      <c r="K971" t="b">
        <f>((Table3[[#This Row],[Quantity]]&gt;=Table3[[#This Row],[Return Qty]])*(ISNUMBER(Table3[[#This Row],[Quantity]])))=1</f>
        <v>1</v>
      </c>
      <c r="L971" t="b">
        <f>ISNUMBER(Table3[[#This Row],[Unit Price]])</f>
        <v>1</v>
      </c>
      <c r="M971" t="b">
        <f>ISNUMBER(Table3[[#This Row],[Order Date]])</f>
        <v>1</v>
      </c>
      <c r="N971">
        <f>IFERROR(IF(Table3[[#This Row],[Quantity]]*Table3[[#This Row],[Unit Price]]&lt;0, "N/A", Table3[[#This Row],[Quantity]]*Table3[[#This Row],[Unit Price]]), "N/A")</f>
        <v>252000</v>
      </c>
      <c r="O971">
        <f>IFERROR(Table3[[#This Row],[Unit Price]]*Table3[[#This Row],[Return Qty]], "N/A")</f>
        <v>0</v>
      </c>
      <c r="P971">
        <f>IFERROR(IF((Table3[[#This Row],[Revenue before return]]-Table3[[#This Row],[Amount of order  returned]])&lt;0, "N/A", Table3[[#This Row],[Revenue before return]]-Table3[[#This Row],[Amount of order  returned]]), "N/A")</f>
        <v>252000</v>
      </c>
      <c r="Q97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72" spans="1:17" x14ac:dyDescent="0.2">
      <c r="A972" t="s">
        <v>1364</v>
      </c>
      <c r="B972" t="s">
        <v>21</v>
      </c>
      <c r="C972" t="s">
        <v>18</v>
      </c>
      <c r="D972" s="6">
        <v>15</v>
      </c>
      <c r="E972" s="5">
        <v>50000</v>
      </c>
      <c r="F972" t="s">
        <v>472</v>
      </c>
      <c r="G972" s="7">
        <v>46117</v>
      </c>
      <c r="H972" s="5">
        <v>0</v>
      </c>
      <c r="I97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72" t="b">
        <f>((ISNUMBER(Table3[[#This Row],[Quantity]]) )* (Table3[[#This Row],[Quantity]]&gt;0))=1</f>
        <v>1</v>
      </c>
      <c r="K972" t="b">
        <f>((Table3[[#This Row],[Quantity]]&gt;=Table3[[#This Row],[Return Qty]])*(ISNUMBER(Table3[[#This Row],[Quantity]])))=1</f>
        <v>1</v>
      </c>
      <c r="L972" t="b">
        <f>ISNUMBER(Table3[[#This Row],[Unit Price]])</f>
        <v>1</v>
      </c>
      <c r="M972" t="b">
        <f>ISNUMBER(Table3[[#This Row],[Order Date]])</f>
        <v>1</v>
      </c>
      <c r="N972">
        <f>IFERROR(IF(Table3[[#This Row],[Quantity]]*Table3[[#This Row],[Unit Price]]&lt;0, "N/A", Table3[[#This Row],[Quantity]]*Table3[[#This Row],[Unit Price]]), "N/A")</f>
        <v>750000</v>
      </c>
      <c r="O972">
        <f>IFERROR(Table3[[#This Row],[Unit Price]]*Table3[[#This Row],[Return Qty]], "N/A")</f>
        <v>0</v>
      </c>
      <c r="P972">
        <f>IFERROR(IF((Table3[[#This Row],[Revenue before return]]-Table3[[#This Row],[Amount of order  returned]])&lt;0, "N/A", Table3[[#This Row],[Revenue before return]]-Table3[[#This Row],[Amount of order  returned]]), "N/A")</f>
        <v>750000</v>
      </c>
      <c r="Q97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73" spans="1:17" x14ac:dyDescent="0.2">
      <c r="A973" t="s">
        <v>1365</v>
      </c>
      <c r="B973" t="s">
        <v>14</v>
      </c>
      <c r="C973" t="s">
        <v>22</v>
      </c>
      <c r="D973" s="6">
        <v>1</v>
      </c>
      <c r="E973" s="5">
        <v>35000</v>
      </c>
      <c r="F973" t="s">
        <v>1366</v>
      </c>
      <c r="G973" s="7">
        <v>46119</v>
      </c>
      <c r="H973" s="5">
        <v>0</v>
      </c>
      <c r="I97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73" t="b">
        <f>((ISNUMBER(Table3[[#This Row],[Quantity]]) )* (Table3[[#This Row],[Quantity]]&gt;0))=1</f>
        <v>1</v>
      </c>
      <c r="K973" t="b">
        <f>((Table3[[#This Row],[Quantity]]&gt;=Table3[[#This Row],[Return Qty]])*(ISNUMBER(Table3[[#This Row],[Quantity]])))=1</f>
        <v>1</v>
      </c>
      <c r="L973" t="b">
        <f>ISNUMBER(Table3[[#This Row],[Unit Price]])</f>
        <v>1</v>
      </c>
      <c r="M973" t="b">
        <f>ISNUMBER(Table3[[#This Row],[Order Date]])</f>
        <v>1</v>
      </c>
      <c r="N973">
        <f>IFERROR(IF(Table3[[#This Row],[Quantity]]*Table3[[#This Row],[Unit Price]]&lt;0, "N/A", Table3[[#This Row],[Quantity]]*Table3[[#This Row],[Unit Price]]), "N/A")</f>
        <v>35000</v>
      </c>
      <c r="O973">
        <f>IFERROR(Table3[[#This Row],[Unit Price]]*Table3[[#This Row],[Return Qty]], "N/A")</f>
        <v>0</v>
      </c>
      <c r="P973">
        <f>IFERROR(IF((Table3[[#This Row],[Revenue before return]]-Table3[[#This Row],[Amount of order  returned]])&lt;0, "N/A", Table3[[#This Row],[Revenue before return]]-Table3[[#This Row],[Amount of order  returned]]), "N/A")</f>
        <v>35000</v>
      </c>
      <c r="Q97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74" spans="1:17" x14ac:dyDescent="0.2">
      <c r="A974" t="s">
        <v>1367</v>
      </c>
      <c r="B974" t="s">
        <v>25</v>
      </c>
      <c r="C974" t="s">
        <v>22</v>
      </c>
      <c r="D974" s="6">
        <v>14</v>
      </c>
      <c r="E974" s="5">
        <v>35000</v>
      </c>
      <c r="F974" t="s">
        <v>190</v>
      </c>
      <c r="G974" s="7">
        <v>46152</v>
      </c>
      <c r="H974" s="5">
        <v>0</v>
      </c>
      <c r="I97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74" t="b">
        <f>((ISNUMBER(Table3[[#This Row],[Quantity]]) )* (Table3[[#This Row],[Quantity]]&gt;0))=1</f>
        <v>1</v>
      </c>
      <c r="K974" t="b">
        <f>((Table3[[#This Row],[Quantity]]&gt;=Table3[[#This Row],[Return Qty]])*(ISNUMBER(Table3[[#This Row],[Quantity]])))=1</f>
        <v>1</v>
      </c>
      <c r="L974" t="b">
        <f>ISNUMBER(Table3[[#This Row],[Unit Price]])</f>
        <v>1</v>
      </c>
      <c r="M974" t="b">
        <f>ISNUMBER(Table3[[#This Row],[Order Date]])</f>
        <v>1</v>
      </c>
      <c r="N974">
        <f>IFERROR(IF(Table3[[#This Row],[Quantity]]*Table3[[#This Row],[Unit Price]]&lt;0, "N/A", Table3[[#This Row],[Quantity]]*Table3[[#This Row],[Unit Price]]), "N/A")</f>
        <v>490000</v>
      </c>
      <c r="O974">
        <f>IFERROR(Table3[[#This Row],[Unit Price]]*Table3[[#This Row],[Return Qty]], "N/A")</f>
        <v>0</v>
      </c>
      <c r="P974">
        <f>IFERROR(IF((Table3[[#This Row],[Revenue before return]]-Table3[[#This Row],[Amount of order  returned]])&lt;0, "N/A", Table3[[#This Row],[Revenue before return]]-Table3[[#This Row],[Amount of order  returned]]), "N/A")</f>
        <v>490000</v>
      </c>
      <c r="Q97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75" spans="1:17" x14ac:dyDescent="0.2">
      <c r="A975" t="s">
        <v>1368</v>
      </c>
      <c r="B975" t="s">
        <v>25</v>
      </c>
      <c r="C975" t="s">
        <v>18</v>
      </c>
      <c r="D975" s="6">
        <v>16</v>
      </c>
      <c r="E975" s="5">
        <v>50000</v>
      </c>
      <c r="F975" t="s">
        <v>179</v>
      </c>
      <c r="G975" s="7">
        <v>46028</v>
      </c>
      <c r="H975" s="5">
        <v>0</v>
      </c>
      <c r="I97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75" t="b">
        <f>((ISNUMBER(Table3[[#This Row],[Quantity]]) )* (Table3[[#This Row],[Quantity]]&gt;0))=1</f>
        <v>1</v>
      </c>
      <c r="K975" t="b">
        <f>((Table3[[#This Row],[Quantity]]&gt;=Table3[[#This Row],[Return Qty]])*(ISNUMBER(Table3[[#This Row],[Quantity]])))=1</f>
        <v>1</v>
      </c>
      <c r="L975" t="b">
        <f>ISNUMBER(Table3[[#This Row],[Unit Price]])</f>
        <v>1</v>
      </c>
      <c r="M975" t="b">
        <f>ISNUMBER(Table3[[#This Row],[Order Date]])</f>
        <v>1</v>
      </c>
      <c r="N975">
        <f>IFERROR(IF(Table3[[#This Row],[Quantity]]*Table3[[#This Row],[Unit Price]]&lt;0, "N/A", Table3[[#This Row],[Quantity]]*Table3[[#This Row],[Unit Price]]), "N/A")</f>
        <v>800000</v>
      </c>
      <c r="O975">
        <f>IFERROR(Table3[[#This Row],[Unit Price]]*Table3[[#This Row],[Return Qty]], "N/A")</f>
        <v>0</v>
      </c>
      <c r="P975">
        <f>IFERROR(IF((Table3[[#This Row],[Revenue before return]]-Table3[[#This Row],[Amount of order  returned]])&lt;0, "N/A", Table3[[#This Row],[Revenue before return]]-Table3[[#This Row],[Amount of order  returned]]), "N/A")</f>
        <v>800000</v>
      </c>
      <c r="Q97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76" spans="1:17" x14ac:dyDescent="0.2">
      <c r="A976" t="s">
        <v>1369</v>
      </c>
      <c r="B976" t="s">
        <v>21</v>
      </c>
      <c r="C976" t="s">
        <v>45</v>
      </c>
      <c r="D976" s="6">
        <v>10</v>
      </c>
      <c r="E976" s="5">
        <v>20000</v>
      </c>
      <c r="F976" t="s">
        <v>402</v>
      </c>
      <c r="G976" s="7">
        <v>46160</v>
      </c>
      <c r="H976" s="5">
        <v>4</v>
      </c>
      <c r="I97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76" t="b">
        <f>((ISNUMBER(Table3[[#This Row],[Quantity]]) )* (Table3[[#This Row],[Quantity]]&gt;0))=1</f>
        <v>1</v>
      </c>
      <c r="K976" t="b">
        <f>((Table3[[#This Row],[Quantity]]&gt;=Table3[[#This Row],[Return Qty]])*(ISNUMBER(Table3[[#This Row],[Quantity]])))=1</f>
        <v>1</v>
      </c>
      <c r="L976" t="b">
        <f>ISNUMBER(Table3[[#This Row],[Unit Price]])</f>
        <v>1</v>
      </c>
      <c r="M976" t="b">
        <f>ISNUMBER(Table3[[#This Row],[Order Date]])</f>
        <v>1</v>
      </c>
      <c r="N976">
        <f>IFERROR(IF(Table3[[#This Row],[Quantity]]*Table3[[#This Row],[Unit Price]]&lt;0, "N/A", Table3[[#This Row],[Quantity]]*Table3[[#This Row],[Unit Price]]), "N/A")</f>
        <v>200000</v>
      </c>
      <c r="O976">
        <f>IFERROR(Table3[[#This Row],[Unit Price]]*Table3[[#This Row],[Return Qty]], "N/A")</f>
        <v>80000</v>
      </c>
      <c r="P976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97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77" spans="1:17" x14ac:dyDescent="0.2">
      <c r="A977" t="s">
        <v>1370</v>
      </c>
      <c r="B977" t="s">
        <v>21</v>
      </c>
      <c r="C977" t="s">
        <v>18</v>
      </c>
      <c r="D977" s="6">
        <v>15</v>
      </c>
      <c r="E977" s="5">
        <v>50000</v>
      </c>
      <c r="F977" t="s">
        <v>355</v>
      </c>
      <c r="G977" s="7">
        <v>46190</v>
      </c>
      <c r="H977" s="5">
        <v>16</v>
      </c>
      <c r="I97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77" t="b">
        <f>((ISNUMBER(Table3[[#This Row],[Quantity]]) )* (Table3[[#This Row],[Quantity]]&gt;0))=1</f>
        <v>1</v>
      </c>
      <c r="K977" t="b">
        <f>((Table3[[#This Row],[Quantity]]&gt;=Table3[[#This Row],[Return Qty]])*(ISNUMBER(Table3[[#This Row],[Quantity]])))=1</f>
        <v>0</v>
      </c>
      <c r="L977" t="b">
        <f>ISNUMBER(Table3[[#This Row],[Unit Price]])</f>
        <v>1</v>
      </c>
      <c r="M977" t="b">
        <f>ISNUMBER(Table3[[#This Row],[Order Date]])</f>
        <v>1</v>
      </c>
      <c r="N977">
        <f>IFERROR(IF(Table3[[#This Row],[Quantity]]*Table3[[#This Row],[Unit Price]]&lt;0, "N/A", Table3[[#This Row],[Quantity]]*Table3[[#This Row],[Unit Price]]), "N/A")</f>
        <v>750000</v>
      </c>
      <c r="O977">
        <f>IFERROR(Table3[[#This Row],[Unit Price]]*Table3[[#This Row],[Return Qty]], "N/A")</f>
        <v>800000</v>
      </c>
      <c r="P977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97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78" spans="1:17" x14ac:dyDescent="0.2">
      <c r="A978" t="s">
        <v>1371</v>
      </c>
      <c r="B978" t="s">
        <v>25</v>
      </c>
      <c r="C978" t="s">
        <v>26</v>
      </c>
      <c r="D978" s="6">
        <v>2</v>
      </c>
      <c r="E978" s="5">
        <v>20000</v>
      </c>
      <c r="F978" t="s">
        <v>280</v>
      </c>
      <c r="G978" s="7">
        <v>46136</v>
      </c>
      <c r="H978" s="5">
        <v>0</v>
      </c>
      <c r="I97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78" t="b">
        <f>((ISNUMBER(Table3[[#This Row],[Quantity]]) )* (Table3[[#This Row],[Quantity]]&gt;0))=1</f>
        <v>1</v>
      </c>
      <c r="K978" t="b">
        <f>((Table3[[#This Row],[Quantity]]&gt;=Table3[[#This Row],[Return Qty]])*(ISNUMBER(Table3[[#This Row],[Quantity]])))=1</f>
        <v>1</v>
      </c>
      <c r="L978" t="b">
        <f>ISNUMBER(Table3[[#This Row],[Unit Price]])</f>
        <v>1</v>
      </c>
      <c r="M978" t="b">
        <f>ISNUMBER(Table3[[#This Row],[Order Date]])</f>
        <v>1</v>
      </c>
      <c r="N978">
        <f>IFERROR(IF(Table3[[#This Row],[Quantity]]*Table3[[#This Row],[Unit Price]]&lt;0, "N/A", Table3[[#This Row],[Quantity]]*Table3[[#This Row],[Unit Price]]), "N/A")</f>
        <v>40000</v>
      </c>
      <c r="O978">
        <f>IFERROR(Table3[[#This Row],[Unit Price]]*Table3[[#This Row],[Return Qty]], "N/A")</f>
        <v>0</v>
      </c>
      <c r="P978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97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79" spans="1:17" x14ac:dyDescent="0.2">
      <c r="A979" t="s">
        <v>1372</v>
      </c>
      <c r="B979" t="s">
        <v>9</v>
      </c>
      <c r="C979" t="s">
        <v>10</v>
      </c>
      <c r="D979" s="6">
        <v>16</v>
      </c>
      <c r="E979" s="5">
        <v>15000</v>
      </c>
      <c r="F979" t="s">
        <v>630</v>
      </c>
      <c r="G979" s="7">
        <v>46175</v>
      </c>
      <c r="H979" s="5">
        <v>0</v>
      </c>
      <c r="I97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79" t="b">
        <f>((ISNUMBER(Table3[[#This Row],[Quantity]]) )* (Table3[[#This Row],[Quantity]]&gt;0))=1</f>
        <v>1</v>
      </c>
      <c r="K979" t="b">
        <f>((Table3[[#This Row],[Quantity]]&gt;=Table3[[#This Row],[Return Qty]])*(ISNUMBER(Table3[[#This Row],[Quantity]])))=1</f>
        <v>1</v>
      </c>
      <c r="L979" t="b">
        <f>ISNUMBER(Table3[[#This Row],[Unit Price]])</f>
        <v>1</v>
      </c>
      <c r="M979" t="b">
        <f>ISNUMBER(Table3[[#This Row],[Order Date]])</f>
        <v>1</v>
      </c>
      <c r="N979">
        <f>IFERROR(IF(Table3[[#This Row],[Quantity]]*Table3[[#This Row],[Unit Price]]&lt;0, "N/A", Table3[[#This Row],[Quantity]]*Table3[[#This Row],[Unit Price]]), "N/A")</f>
        <v>240000</v>
      </c>
      <c r="O979">
        <f>IFERROR(Table3[[#This Row],[Unit Price]]*Table3[[#This Row],[Return Qty]], "N/A")</f>
        <v>0</v>
      </c>
      <c r="P979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97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80" spans="1:17" x14ac:dyDescent="0.2">
      <c r="A980" t="s">
        <v>1373</v>
      </c>
      <c r="B980" t="s">
        <v>14</v>
      </c>
      <c r="C980" t="s">
        <v>70</v>
      </c>
      <c r="D980" s="6">
        <v>11</v>
      </c>
      <c r="E980" s="5">
        <v>28000</v>
      </c>
      <c r="F980" t="s">
        <v>530</v>
      </c>
      <c r="G980" s="7">
        <v>46177</v>
      </c>
      <c r="H980" s="5">
        <v>0</v>
      </c>
      <c r="I98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80" t="b">
        <f>((ISNUMBER(Table3[[#This Row],[Quantity]]) )* (Table3[[#This Row],[Quantity]]&gt;0))=1</f>
        <v>1</v>
      </c>
      <c r="K980" t="b">
        <f>((Table3[[#This Row],[Quantity]]&gt;=Table3[[#This Row],[Return Qty]])*(ISNUMBER(Table3[[#This Row],[Quantity]])))=1</f>
        <v>1</v>
      </c>
      <c r="L980" t="b">
        <f>ISNUMBER(Table3[[#This Row],[Unit Price]])</f>
        <v>1</v>
      </c>
      <c r="M980" t="b">
        <f>ISNUMBER(Table3[[#This Row],[Order Date]])</f>
        <v>1</v>
      </c>
      <c r="N980">
        <f>IFERROR(IF(Table3[[#This Row],[Quantity]]*Table3[[#This Row],[Unit Price]]&lt;0, "N/A", Table3[[#This Row],[Quantity]]*Table3[[#This Row],[Unit Price]]), "N/A")</f>
        <v>308000</v>
      </c>
      <c r="O980">
        <f>IFERROR(Table3[[#This Row],[Unit Price]]*Table3[[#This Row],[Return Qty]], "N/A")</f>
        <v>0</v>
      </c>
      <c r="P980">
        <f>IFERROR(IF((Table3[[#This Row],[Revenue before return]]-Table3[[#This Row],[Amount of order  returned]])&lt;0, "N/A", Table3[[#This Row],[Revenue before return]]-Table3[[#This Row],[Amount of order  returned]]), "N/A")</f>
        <v>308000</v>
      </c>
      <c r="Q98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81" spans="1:17" x14ac:dyDescent="0.2">
      <c r="A981" t="s">
        <v>1374</v>
      </c>
      <c r="B981" t="s">
        <v>14</v>
      </c>
      <c r="C981" t="s">
        <v>18</v>
      </c>
      <c r="D981" s="6">
        <v>24</v>
      </c>
      <c r="E981" s="5">
        <v>50000</v>
      </c>
      <c r="F981" t="s">
        <v>406</v>
      </c>
      <c r="G981" s="7">
        <v>46076</v>
      </c>
      <c r="H981" s="5">
        <v>0</v>
      </c>
      <c r="I98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81" t="b">
        <f>((ISNUMBER(Table3[[#This Row],[Quantity]]) )* (Table3[[#This Row],[Quantity]]&gt;0))=1</f>
        <v>1</v>
      </c>
      <c r="K981" t="b">
        <f>((Table3[[#This Row],[Quantity]]&gt;=Table3[[#This Row],[Return Qty]])*(ISNUMBER(Table3[[#This Row],[Quantity]])))=1</f>
        <v>1</v>
      </c>
      <c r="L981" t="b">
        <f>ISNUMBER(Table3[[#This Row],[Unit Price]])</f>
        <v>1</v>
      </c>
      <c r="M981" t="b">
        <f>ISNUMBER(Table3[[#This Row],[Order Date]])</f>
        <v>1</v>
      </c>
      <c r="N981">
        <f>IFERROR(IF(Table3[[#This Row],[Quantity]]*Table3[[#This Row],[Unit Price]]&lt;0, "N/A", Table3[[#This Row],[Quantity]]*Table3[[#This Row],[Unit Price]]), "N/A")</f>
        <v>1200000</v>
      </c>
      <c r="O981">
        <f>IFERROR(Table3[[#This Row],[Unit Price]]*Table3[[#This Row],[Return Qty]], "N/A")</f>
        <v>0</v>
      </c>
      <c r="P981">
        <f>IFERROR(IF((Table3[[#This Row],[Revenue before return]]-Table3[[#This Row],[Amount of order  returned]])&lt;0, "N/A", Table3[[#This Row],[Revenue before return]]-Table3[[#This Row],[Amount of order  returned]]), "N/A")</f>
        <v>1200000</v>
      </c>
      <c r="Q98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82" spans="1:17" x14ac:dyDescent="0.2">
      <c r="A982" t="s">
        <v>1375</v>
      </c>
      <c r="B982" t="s">
        <v>25</v>
      </c>
      <c r="C982" t="s">
        <v>39</v>
      </c>
      <c r="D982" s="6">
        <v>23</v>
      </c>
      <c r="E982" s="5">
        <v>12000</v>
      </c>
      <c r="F982" t="s">
        <v>626</v>
      </c>
      <c r="G982" s="7">
        <v>46099</v>
      </c>
      <c r="H982" s="5">
        <v>24</v>
      </c>
      <c r="I98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82" t="b">
        <f>((ISNUMBER(Table3[[#This Row],[Quantity]]) )* (Table3[[#This Row],[Quantity]]&gt;0))=1</f>
        <v>1</v>
      </c>
      <c r="K982" t="b">
        <f>((Table3[[#This Row],[Quantity]]&gt;=Table3[[#This Row],[Return Qty]])*(ISNUMBER(Table3[[#This Row],[Quantity]])))=1</f>
        <v>0</v>
      </c>
      <c r="L982" t="b">
        <f>ISNUMBER(Table3[[#This Row],[Unit Price]])</f>
        <v>1</v>
      </c>
      <c r="M982" t="b">
        <f>ISNUMBER(Table3[[#This Row],[Order Date]])</f>
        <v>1</v>
      </c>
      <c r="N982">
        <f>IFERROR(IF(Table3[[#This Row],[Quantity]]*Table3[[#This Row],[Unit Price]]&lt;0, "N/A", Table3[[#This Row],[Quantity]]*Table3[[#This Row],[Unit Price]]), "N/A")</f>
        <v>276000</v>
      </c>
      <c r="O982">
        <f>IFERROR(Table3[[#This Row],[Unit Price]]*Table3[[#This Row],[Return Qty]], "N/A")</f>
        <v>288000</v>
      </c>
      <c r="P982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98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83" spans="1:17" x14ac:dyDescent="0.2">
      <c r="A983" t="s">
        <v>1376</v>
      </c>
      <c r="B983" t="s">
        <v>21</v>
      </c>
      <c r="C983" t="s">
        <v>32</v>
      </c>
      <c r="D983" s="6">
        <v>19</v>
      </c>
      <c r="E983" s="5">
        <v>8000</v>
      </c>
      <c r="F983" t="s">
        <v>159</v>
      </c>
      <c r="G983" s="7">
        <v>46041</v>
      </c>
      <c r="H983" s="5">
        <v>2</v>
      </c>
      <c r="I98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83" t="b">
        <f>((ISNUMBER(Table3[[#This Row],[Quantity]]) )* (Table3[[#This Row],[Quantity]]&gt;0))=1</f>
        <v>1</v>
      </c>
      <c r="K983" t="b">
        <f>((Table3[[#This Row],[Quantity]]&gt;=Table3[[#This Row],[Return Qty]])*(ISNUMBER(Table3[[#This Row],[Quantity]])))=1</f>
        <v>1</v>
      </c>
      <c r="L983" t="b">
        <f>ISNUMBER(Table3[[#This Row],[Unit Price]])</f>
        <v>1</v>
      </c>
      <c r="M983" t="b">
        <f>ISNUMBER(Table3[[#This Row],[Order Date]])</f>
        <v>1</v>
      </c>
      <c r="N983">
        <f>IFERROR(IF(Table3[[#This Row],[Quantity]]*Table3[[#This Row],[Unit Price]]&lt;0, "N/A", Table3[[#This Row],[Quantity]]*Table3[[#This Row],[Unit Price]]), "N/A")</f>
        <v>152000</v>
      </c>
      <c r="O983">
        <f>IFERROR(Table3[[#This Row],[Unit Price]]*Table3[[#This Row],[Return Qty]], "N/A")</f>
        <v>16000</v>
      </c>
      <c r="P983">
        <f>IFERROR(IF((Table3[[#This Row],[Revenue before return]]-Table3[[#This Row],[Amount of order  returned]])&lt;0, "N/A", Table3[[#This Row],[Revenue before return]]-Table3[[#This Row],[Amount of order  returned]]), "N/A")</f>
        <v>136000</v>
      </c>
      <c r="Q98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84" spans="1:17" x14ac:dyDescent="0.2">
      <c r="A984" t="s">
        <v>1377</v>
      </c>
      <c r="B984" t="s">
        <v>21</v>
      </c>
      <c r="C984" t="s">
        <v>22</v>
      </c>
      <c r="D984" s="6">
        <v>2</v>
      </c>
      <c r="E984" s="5">
        <v>35000</v>
      </c>
      <c r="F984" t="s">
        <v>866</v>
      </c>
      <c r="G984" s="7">
        <v>46041</v>
      </c>
      <c r="H984" s="5">
        <v>0</v>
      </c>
      <c r="I98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84" t="b">
        <f>((ISNUMBER(Table3[[#This Row],[Quantity]]) )* (Table3[[#This Row],[Quantity]]&gt;0))=1</f>
        <v>1</v>
      </c>
      <c r="K984" t="b">
        <f>((Table3[[#This Row],[Quantity]]&gt;=Table3[[#This Row],[Return Qty]])*(ISNUMBER(Table3[[#This Row],[Quantity]])))=1</f>
        <v>1</v>
      </c>
      <c r="L984" t="b">
        <f>ISNUMBER(Table3[[#This Row],[Unit Price]])</f>
        <v>1</v>
      </c>
      <c r="M984" t="b">
        <f>ISNUMBER(Table3[[#This Row],[Order Date]])</f>
        <v>1</v>
      </c>
      <c r="N984">
        <f>IFERROR(IF(Table3[[#This Row],[Quantity]]*Table3[[#This Row],[Unit Price]]&lt;0, "N/A", Table3[[#This Row],[Quantity]]*Table3[[#This Row],[Unit Price]]), "N/A")</f>
        <v>70000</v>
      </c>
      <c r="O984">
        <f>IFERROR(Table3[[#This Row],[Unit Price]]*Table3[[#This Row],[Return Qty]], "N/A")</f>
        <v>0</v>
      </c>
      <c r="P984">
        <f>IFERROR(IF((Table3[[#This Row],[Revenue before return]]-Table3[[#This Row],[Amount of order  returned]])&lt;0, "N/A", Table3[[#This Row],[Revenue before return]]-Table3[[#This Row],[Amount of order  returned]]), "N/A")</f>
        <v>70000</v>
      </c>
      <c r="Q98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85" spans="1:17" x14ac:dyDescent="0.2">
      <c r="A985" t="s">
        <v>1378</v>
      </c>
      <c r="B985" t="s">
        <v>25</v>
      </c>
      <c r="C985" t="s">
        <v>10</v>
      </c>
      <c r="D985" s="6">
        <v>7</v>
      </c>
      <c r="E985" s="5">
        <v>15000</v>
      </c>
      <c r="F985" t="s">
        <v>61</v>
      </c>
      <c r="G985" s="7">
        <v>46099</v>
      </c>
      <c r="H985" s="5">
        <v>0</v>
      </c>
      <c r="I98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85" t="b">
        <f>((ISNUMBER(Table3[[#This Row],[Quantity]]) )* (Table3[[#This Row],[Quantity]]&gt;0))=1</f>
        <v>1</v>
      </c>
      <c r="K985" t="b">
        <f>((Table3[[#This Row],[Quantity]]&gt;=Table3[[#This Row],[Return Qty]])*(ISNUMBER(Table3[[#This Row],[Quantity]])))=1</f>
        <v>1</v>
      </c>
      <c r="L985" t="b">
        <f>ISNUMBER(Table3[[#This Row],[Unit Price]])</f>
        <v>1</v>
      </c>
      <c r="M985" t="b">
        <f>ISNUMBER(Table3[[#This Row],[Order Date]])</f>
        <v>1</v>
      </c>
      <c r="N985">
        <f>IFERROR(IF(Table3[[#This Row],[Quantity]]*Table3[[#This Row],[Unit Price]]&lt;0, "N/A", Table3[[#This Row],[Quantity]]*Table3[[#This Row],[Unit Price]]), "N/A")</f>
        <v>105000</v>
      </c>
      <c r="O985">
        <f>IFERROR(Table3[[#This Row],[Unit Price]]*Table3[[#This Row],[Return Qty]], "N/A")</f>
        <v>0</v>
      </c>
      <c r="P985">
        <f>IFERROR(IF((Table3[[#This Row],[Revenue before return]]-Table3[[#This Row],[Amount of order  returned]])&lt;0, "N/A", Table3[[#This Row],[Revenue before return]]-Table3[[#This Row],[Amount of order  returned]]), "N/A")</f>
        <v>105000</v>
      </c>
      <c r="Q98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86" spans="1:17" x14ac:dyDescent="0.2">
      <c r="A986" t="s">
        <v>1379</v>
      </c>
      <c r="B986" t="s">
        <v>9</v>
      </c>
      <c r="C986" t="s">
        <v>32</v>
      </c>
      <c r="D986" s="6">
        <v>11</v>
      </c>
      <c r="E986" s="5">
        <v>8000</v>
      </c>
      <c r="F986" t="s">
        <v>618</v>
      </c>
      <c r="G986" s="7">
        <v>46200</v>
      </c>
      <c r="H986" s="5">
        <v>0</v>
      </c>
      <c r="I98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86" t="b">
        <f>((ISNUMBER(Table3[[#This Row],[Quantity]]) )* (Table3[[#This Row],[Quantity]]&gt;0))=1</f>
        <v>1</v>
      </c>
      <c r="K986" t="b">
        <f>((Table3[[#This Row],[Quantity]]&gt;=Table3[[#This Row],[Return Qty]])*(ISNUMBER(Table3[[#This Row],[Quantity]])))=1</f>
        <v>1</v>
      </c>
      <c r="L986" t="b">
        <f>ISNUMBER(Table3[[#This Row],[Unit Price]])</f>
        <v>1</v>
      </c>
      <c r="M986" t="b">
        <f>ISNUMBER(Table3[[#This Row],[Order Date]])</f>
        <v>1</v>
      </c>
      <c r="N986">
        <f>IFERROR(IF(Table3[[#This Row],[Quantity]]*Table3[[#This Row],[Unit Price]]&lt;0, "N/A", Table3[[#This Row],[Quantity]]*Table3[[#This Row],[Unit Price]]), "N/A")</f>
        <v>88000</v>
      </c>
      <c r="O986">
        <f>IFERROR(Table3[[#This Row],[Unit Price]]*Table3[[#This Row],[Return Qty]], "N/A")</f>
        <v>0</v>
      </c>
      <c r="P986">
        <f>IFERROR(IF((Table3[[#This Row],[Revenue before return]]-Table3[[#This Row],[Amount of order  returned]])&lt;0, "N/A", Table3[[#This Row],[Revenue before return]]-Table3[[#This Row],[Amount of order  returned]]), "N/A")</f>
        <v>88000</v>
      </c>
      <c r="Q98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87" spans="1:17" x14ac:dyDescent="0.2">
      <c r="A987" t="s">
        <v>1380</v>
      </c>
      <c r="B987" t="s">
        <v>9</v>
      </c>
      <c r="C987" t="s">
        <v>22</v>
      </c>
      <c r="D987" s="6">
        <v>22</v>
      </c>
      <c r="E987" s="5">
        <v>35000</v>
      </c>
      <c r="F987" t="s">
        <v>163</v>
      </c>
      <c r="G987" s="7">
        <v>46141</v>
      </c>
      <c r="H987" s="5">
        <v>27</v>
      </c>
      <c r="I98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87" t="b">
        <f>((ISNUMBER(Table3[[#This Row],[Quantity]]) )* (Table3[[#This Row],[Quantity]]&gt;0))=1</f>
        <v>1</v>
      </c>
      <c r="K987" t="b">
        <f>((Table3[[#This Row],[Quantity]]&gt;=Table3[[#This Row],[Return Qty]])*(ISNUMBER(Table3[[#This Row],[Quantity]])))=1</f>
        <v>0</v>
      </c>
      <c r="L987" t="b">
        <f>ISNUMBER(Table3[[#This Row],[Unit Price]])</f>
        <v>1</v>
      </c>
      <c r="M987" t="b">
        <f>ISNUMBER(Table3[[#This Row],[Order Date]])</f>
        <v>1</v>
      </c>
      <c r="N987">
        <f>IFERROR(IF(Table3[[#This Row],[Quantity]]*Table3[[#This Row],[Unit Price]]&lt;0, "N/A", Table3[[#This Row],[Quantity]]*Table3[[#This Row],[Unit Price]]), "N/A")</f>
        <v>770000</v>
      </c>
      <c r="O987">
        <f>IFERROR(Table3[[#This Row],[Unit Price]]*Table3[[#This Row],[Return Qty]], "N/A")</f>
        <v>945000</v>
      </c>
      <c r="P987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98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88" spans="1:17" x14ac:dyDescent="0.2">
      <c r="A988" t="s">
        <v>1381</v>
      </c>
      <c r="B988" t="s">
        <v>21</v>
      </c>
      <c r="C988" t="s">
        <v>32</v>
      </c>
      <c r="D988" s="6">
        <v>12</v>
      </c>
      <c r="E988" s="5">
        <v>8000</v>
      </c>
      <c r="F988" t="s">
        <v>516</v>
      </c>
      <c r="G988" s="7">
        <v>46176</v>
      </c>
      <c r="H988" s="5">
        <v>0</v>
      </c>
      <c r="I98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88" t="b">
        <f>((ISNUMBER(Table3[[#This Row],[Quantity]]) )* (Table3[[#This Row],[Quantity]]&gt;0))=1</f>
        <v>1</v>
      </c>
      <c r="K988" t="b">
        <f>((Table3[[#This Row],[Quantity]]&gt;=Table3[[#This Row],[Return Qty]])*(ISNUMBER(Table3[[#This Row],[Quantity]])))=1</f>
        <v>1</v>
      </c>
      <c r="L988" t="b">
        <f>ISNUMBER(Table3[[#This Row],[Unit Price]])</f>
        <v>1</v>
      </c>
      <c r="M988" t="b">
        <f>ISNUMBER(Table3[[#This Row],[Order Date]])</f>
        <v>1</v>
      </c>
      <c r="N988">
        <f>IFERROR(IF(Table3[[#This Row],[Quantity]]*Table3[[#This Row],[Unit Price]]&lt;0, "N/A", Table3[[#This Row],[Quantity]]*Table3[[#This Row],[Unit Price]]), "N/A")</f>
        <v>96000</v>
      </c>
      <c r="O988">
        <f>IFERROR(Table3[[#This Row],[Unit Price]]*Table3[[#This Row],[Return Qty]], "N/A")</f>
        <v>0</v>
      </c>
      <c r="P988">
        <f>IFERROR(IF((Table3[[#This Row],[Revenue before return]]-Table3[[#This Row],[Amount of order  returned]])&lt;0, "N/A", Table3[[#This Row],[Revenue before return]]-Table3[[#This Row],[Amount of order  returned]]), "N/A")</f>
        <v>96000</v>
      </c>
      <c r="Q98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89" spans="1:17" x14ac:dyDescent="0.2">
      <c r="A989" t="s">
        <v>1382</v>
      </c>
      <c r="B989" t="s">
        <v>25</v>
      </c>
      <c r="C989" t="s">
        <v>22</v>
      </c>
      <c r="D989" s="6">
        <v>17</v>
      </c>
      <c r="E989" s="5">
        <v>52500</v>
      </c>
      <c r="F989" t="s">
        <v>937</v>
      </c>
      <c r="G989" s="7">
        <v>46186</v>
      </c>
      <c r="H989" s="5">
        <v>0</v>
      </c>
      <c r="I98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89" t="b">
        <f>((ISNUMBER(Table3[[#This Row],[Quantity]]) )* (Table3[[#This Row],[Quantity]]&gt;0))=1</f>
        <v>1</v>
      </c>
      <c r="K989" t="b">
        <f>((Table3[[#This Row],[Quantity]]&gt;=Table3[[#This Row],[Return Qty]])*(ISNUMBER(Table3[[#This Row],[Quantity]])))=1</f>
        <v>1</v>
      </c>
      <c r="L989" t="b">
        <f>ISNUMBER(Table3[[#This Row],[Unit Price]])</f>
        <v>1</v>
      </c>
      <c r="M989" t="b">
        <f>ISNUMBER(Table3[[#This Row],[Order Date]])</f>
        <v>1</v>
      </c>
      <c r="N989">
        <f>IFERROR(IF(Table3[[#This Row],[Quantity]]*Table3[[#This Row],[Unit Price]]&lt;0, "N/A", Table3[[#This Row],[Quantity]]*Table3[[#This Row],[Unit Price]]), "N/A")</f>
        <v>892500</v>
      </c>
      <c r="O989">
        <f>IFERROR(Table3[[#This Row],[Unit Price]]*Table3[[#This Row],[Return Qty]], "N/A")</f>
        <v>0</v>
      </c>
      <c r="P989">
        <f>IFERROR(IF((Table3[[#This Row],[Revenue before return]]-Table3[[#This Row],[Amount of order  returned]])&lt;0, "N/A", Table3[[#This Row],[Revenue before return]]-Table3[[#This Row],[Amount of order  returned]]), "N/A")</f>
        <v>892500</v>
      </c>
      <c r="Q98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90" spans="1:17" x14ac:dyDescent="0.2">
      <c r="A990" t="s">
        <v>1383</v>
      </c>
      <c r="B990" t="s">
        <v>21</v>
      </c>
      <c r="C990" t="s">
        <v>39</v>
      </c>
      <c r="D990" s="6">
        <v>300</v>
      </c>
      <c r="E990" s="5">
        <v>12000</v>
      </c>
      <c r="F990" t="s">
        <v>482</v>
      </c>
      <c r="G990" s="7">
        <v>46084</v>
      </c>
      <c r="H990" s="5">
        <v>0</v>
      </c>
      <c r="I99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90" t="b">
        <f>((ISNUMBER(Table3[[#This Row],[Quantity]]) )* (Table3[[#This Row],[Quantity]]&gt;0))=1</f>
        <v>1</v>
      </c>
      <c r="K990" t="b">
        <f>((Table3[[#This Row],[Quantity]]&gt;=Table3[[#This Row],[Return Qty]])*(ISNUMBER(Table3[[#This Row],[Quantity]])))=1</f>
        <v>1</v>
      </c>
      <c r="L990" t="b">
        <f>ISNUMBER(Table3[[#This Row],[Unit Price]])</f>
        <v>1</v>
      </c>
      <c r="M990" t="b">
        <f>ISNUMBER(Table3[[#This Row],[Order Date]])</f>
        <v>1</v>
      </c>
      <c r="N990">
        <f>IFERROR(IF(Table3[[#This Row],[Quantity]]*Table3[[#This Row],[Unit Price]]&lt;0, "N/A", Table3[[#This Row],[Quantity]]*Table3[[#This Row],[Unit Price]]), "N/A")</f>
        <v>3600000</v>
      </c>
      <c r="O990">
        <f>IFERROR(Table3[[#This Row],[Unit Price]]*Table3[[#This Row],[Return Qty]], "N/A")</f>
        <v>0</v>
      </c>
      <c r="P990">
        <f>IFERROR(IF((Table3[[#This Row],[Revenue before return]]-Table3[[#This Row],[Amount of order  returned]])&lt;0, "N/A", Table3[[#This Row],[Revenue before return]]-Table3[[#This Row],[Amount of order  returned]]), "N/A")</f>
        <v>3600000</v>
      </c>
      <c r="Q99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91" spans="1:17" x14ac:dyDescent="0.2">
      <c r="A991" t="s">
        <v>1384</v>
      </c>
      <c r="B991" t="s">
        <v>21</v>
      </c>
      <c r="C991" t="s">
        <v>10</v>
      </c>
      <c r="D991" s="6">
        <v>16</v>
      </c>
      <c r="E991" s="5">
        <v>15000</v>
      </c>
      <c r="F991" t="s">
        <v>577</v>
      </c>
      <c r="G991" s="7">
        <v>46164</v>
      </c>
      <c r="H991" s="5">
        <v>0</v>
      </c>
      <c r="I99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91" t="b">
        <f>((ISNUMBER(Table3[[#This Row],[Quantity]]) )* (Table3[[#This Row],[Quantity]]&gt;0))=1</f>
        <v>1</v>
      </c>
      <c r="K991" t="b">
        <f>((Table3[[#This Row],[Quantity]]&gt;=Table3[[#This Row],[Return Qty]])*(ISNUMBER(Table3[[#This Row],[Quantity]])))=1</f>
        <v>1</v>
      </c>
      <c r="L991" t="b">
        <f>ISNUMBER(Table3[[#This Row],[Unit Price]])</f>
        <v>1</v>
      </c>
      <c r="M991" t="b">
        <f>ISNUMBER(Table3[[#This Row],[Order Date]])</f>
        <v>1</v>
      </c>
      <c r="N991">
        <f>IFERROR(IF(Table3[[#This Row],[Quantity]]*Table3[[#This Row],[Unit Price]]&lt;0, "N/A", Table3[[#This Row],[Quantity]]*Table3[[#This Row],[Unit Price]]), "N/A")</f>
        <v>240000</v>
      </c>
      <c r="O991">
        <f>IFERROR(Table3[[#This Row],[Unit Price]]*Table3[[#This Row],[Return Qty]], "N/A")</f>
        <v>0</v>
      </c>
      <c r="P991">
        <f>IFERROR(IF((Table3[[#This Row],[Revenue before return]]-Table3[[#This Row],[Amount of order  returned]])&lt;0, "N/A", Table3[[#This Row],[Revenue before return]]-Table3[[#This Row],[Amount of order  returned]]), "N/A")</f>
        <v>240000</v>
      </c>
      <c r="Q99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92" spans="1:17" x14ac:dyDescent="0.2">
      <c r="A992" t="s">
        <v>1385</v>
      </c>
      <c r="B992" t="s">
        <v>21</v>
      </c>
      <c r="C992" t="s">
        <v>45</v>
      </c>
      <c r="D992" s="6">
        <v>9</v>
      </c>
      <c r="E992" s="5">
        <v>20000</v>
      </c>
      <c r="F992" t="s">
        <v>642</v>
      </c>
      <c r="G992" s="7">
        <v>46187</v>
      </c>
      <c r="H992" s="5">
        <v>11</v>
      </c>
      <c r="I99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92" t="b">
        <f>((ISNUMBER(Table3[[#This Row],[Quantity]]) )* (Table3[[#This Row],[Quantity]]&gt;0))=1</f>
        <v>1</v>
      </c>
      <c r="K992" t="b">
        <f>((Table3[[#This Row],[Quantity]]&gt;=Table3[[#This Row],[Return Qty]])*(ISNUMBER(Table3[[#This Row],[Quantity]])))=1</f>
        <v>0</v>
      </c>
      <c r="L992" t="b">
        <f>ISNUMBER(Table3[[#This Row],[Unit Price]])</f>
        <v>1</v>
      </c>
      <c r="M992" t="b">
        <f>ISNUMBER(Table3[[#This Row],[Order Date]])</f>
        <v>1</v>
      </c>
      <c r="N992">
        <f>IFERROR(IF(Table3[[#This Row],[Quantity]]*Table3[[#This Row],[Unit Price]]&lt;0, "N/A", Table3[[#This Row],[Quantity]]*Table3[[#This Row],[Unit Price]]), "N/A")</f>
        <v>180000</v>
      </c>
      <c r="O992">
        <f>IFERROR(Table3[[#This Row],[Unit Price]]*Table3[[#This Row],[Return Qty]], "N/A")</f>
        <v>220000</v>
      </c>
      <c r="P992" t="str">
        <f>IFERROR(IF((Table3[[#This Row],[Revenue before return]]-Table3[[#This Row],[Amount of order  returned]])&lt;0, "N/A", Table3[[#This Row],[Revenue before return]]-Table3[[#This Row],[Amount of order  returned]]), "N/A")</f>
        <v>N/A</v>
      </c>
      <c r="Q99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993" spans="1:17" x14ac:dyDescent="0.2">
      <c r="A993" t="s">
        <v>1386</v>
      </c>
      <c r="B993" t="s">
        <v>990</v>
      </c>
      <c r="C993" t="s">
        <v>32</v>
      </c>
      <c r="D993" s="6">
        <v>8</v>
      </c>
      <c r="E993" s="5">
        <v>8000</v>
      </c>
      <c r="F993" t="s">
        <v>484</v>
      </c>
      <c r="G993" s="7">
        <v>46048</v>
      </c>
      <c r="H993" s="5">
        <v>0</v>
      </c>
      <c r="I99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93" t="b">
        <f>((ISNUMBER(Table3[[#This Row],[Quantity]]) )* (Table3[[#This Row],[Quantity]]&gt;0))=1</f>
        <v>1</v>
      </c>
      <c r="K993" t="b">
        <f>((Table3[[#This Row],[Quantity]]&gt;=Table3[[#This Row],[Return Qty]])*(ISNUMBER(Table3[[#This Row],[Quantity]])))=1</f>
        <v>1</v>
      </c>
      <c r="L993" t="b">
        <f>ISNUMBER(Table3[[#This Row],[Unit Price]])</f>
        <v>1</v>
      </c>
      <c r="M993" t="b">
        <f>ISNUMBER(Table3[[#This Row],[Order Date]])</f>
        <v>1</v>
      </c>
      <c r="N993">
        <f>IFERROR(IF(Table3[[#This Row],[Quantity]]*Table3[[#This Row],[Unit Price]]&lt;0, "N/A", Table3[[#This Row],[Quantity]]*Table3[[#This Row],[Unit Price]]), "N/A")</f>
        <v>64000</v>
      </c>
      <c r="O993">
        <f>IFERROR(Table3[[#This Row],[Unit Price]]*Table3[[#This Row],[Return Qty]], "N/A")</f>
        <v>0</v>
      </c>
      <c r="P993">
        <f>IFERROR(IF((Table3[[#This Row],[Revenue before return]]-Table3[[#This Row],[Amount of order  returned]])&lt;0, "N/A", Table3[[#This Row],[Revenue before return]]-Table3[[#This Row],[Amount of order  returned]]), "N/A")</f>
        <v>64000</v>
      </c>
      <c r="Q99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94" spans="1:17" x14ac:dyDescent="0.2">
      <c r="A994" t="s">
        <v>1387</v>
      </c>
      <c r="B994" t="s">
        <v>21</v>
      </c>
      <c r="C994" t="s">
        <v>26</v>
      </c>
      <c r="D994" s="6">
        <v>3</v>
      </c>
      <c r="E994" s="5">
        <v>20000</v>
      </c>
      <c r="F994" t="s">
        <v>153</v>
      </c>
      <c r="G994" s="7">
        <v>46127</v>
      </c>
      <c r="H994" s="5">
        <v>0</v>
      </c>
      <c r="I99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94" t="b">
        <f>((ISNUMBER(Table3[[#This Row],[Quantity]]) )* (Table3[[#This Row],[Quantity]]&gt;0))=1</f>
        <v>1</v>
      </c>
      <c r="K994" t="b">
        <f>((Table3[[#This Row],[Quantity]]&gt;=Table3[[#This Row],[Return Qty]])*(ISNUMBER(Table3[[#This Row],[Quantity]])))=1</f>
        <v>1</v>
      </c>
      <c r="L994" t="b">
        <f>ISNUMBER(Table3[[#This Row],[Unit Price]])</f>
        <v>1</v>
      </c>
      <c r="M994" t="b">
        <f>ISNUMBER(Table3[[#This Row],[Order Date]])</f>
        <v>1</v>
      </c>
      <c r="N994">
        <f>IFERROR(IF(Table3[[#This Row],[Quantity]]*Table3[[#This Row],[Unit Price]]&lt;0, "N/A", Table3[[#This Row],[Quantity]]*Table3[[#This Row],[Unit Price]]), "N/A")</f>
        <v>60000</v>
      </c>
      <c r="O994">
        <f>IFERROR(Table3[[#This Row],[Unit Price]]*Table3[[#This Row],[Return Qty]], "N/A")</f>
        <v>0</v>
      </c>
      <c r="P994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99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95" spans="1:17" x14ac:dyDescent="0.2">
      <c r="A995" t="s">
        <v>1388</v>
      </c>
      <c r="B995" t="s">
        <v>9</v>
      </c>
      <c r="C995" t="s">
        <v>32</v>
      </c>
      <c r="D995" s="6">
        <v>17</v>
      </c>
      <c r="E995" s="5">
        <v>8000</v>
      </c>
      <c r="F995" t="s">
        <v>335</v>
      </c>
      <c r="G995" s="7">
        <v>46063</v>
      </c>
      <c r="H995" s="5">
        <v>0</v>
      </c>
      <c r="I99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95" t="b">
        <f>((ISNUMBER(Table3[[#This Row],[Quantity]]) )* (Table3[[#This Row],[Quantity]]&gt;0))=1</f>
        <v>1</v>
      </c>
      <c r="K995" t="b">
        <f>((Table3[[#This Row],[Quantity]]&gt;=Table3[[#This Row],[Return Qty]])*(ISNUMBER(Table3[[#This Row],[Quantity]])))=1</f>
        <v>1</v>
      </c>
      <c r="L995" t="b">
        <f>ISNUMBER(Table3[[#This Row],[Unit Price]])</f>
        <v>1</v>
      </c>
      <c r="M995" t="b">
        <f>ISNUMBER(Table3[[#This Row],[Order Date]])</f>
        <v>1</v>
      </c>
      <c r="N995">
        <f>IFERROR(IF(Table3[[#This Row],[Quantity]]*Table3[[#This Row],[Unit Price]]&lt;0, "N/A", Table3[[#This Row],[Quantity]]*Table3[[#This Row],[Unit Price]]), "N/A")</f>
        <v>136000</v>
      </c>
      <c r="O995">
        <f>IFERROR(Table3[[#This Row],[Unit Price]]*Table3[[#This Row],[Return Qty]], "N/A")</f>
        <v>0</v>
      </c>
      <c r="P995">
        <f>IFERROR(IF((Table3[[#This Row],[Revenue before return]]-Table3[[#This Row],[Amount of order  returned]])&lt;0, "N/A", Table3[[#This Row],[Revenue before return]]-Table3[[#This Row],[Amount of order  returned]]), "N/A")</f>
        <v>136000</v>
      </c>
      <c r="Q99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96" spans="1:17" x14ac:dyDescent="0.2">
      <c r="A996" t="s">
        <v>1389</v>
      </c>
      <c r="B996" t="s">
        <v>14</v>
      </c>
      <c r="C996" t="s">
        <v>45</v>
      </c>
      <c r="D996" s="6">
        <v>200</v>
      </c>
      <c r="E996" s="5">
        <v>20000</v>
      </c>
      <c r="F996" t="s">
        <v>614</v>
      </c>
      <c r="G996" s="7">
        <v>46097</v>
      </c>
      <c r="H996" s="5">
        <v>0</v>
      </c>
      <c r="I99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96" t="b">
        <f>((ISNUMBER(Table3[[#This Row],[Quantity]]) )* (Table3[[#This Row],[Quantity]]&gt;0))=1</f>
        <v>1</v>
      </c>
      <c r="K996" t="b">
        <f>((Table3[[#This Row],[Quantity]]&gt;=Table3[[#This Row],[Return Qty]])*(ISNUMBER(Table3[[#This Row],[Quantity]])))=1</f>
        <v>1</v>
      </c>
      <c r="L996" t="b">
        <f>ISNUMBER(Table3[[#This Row],[Unit Price]])</f>
        <v>1</v>
      </c>
      <c r="M996" t="b">
        <f>ISNUMBER(Table3[[#This Row],[Order Date]])</f>
        <v>1</v>
      </c>
      <c r="N996">
        <f>IFERROR(IF(Table3[[#This Row],[Quantity]]*Table3[[#This Row],[Unit Price]]&lt;0, "N/A", Table3[[#This Row],[Quantity]]*Table3[[#This Row],[Unit Price]]), "N/A")</f>
        <v>4000000</v>
      </c>
      <c r="O996">
        <f>IFERROR(Table3[[#This Row],[Unit Price]]*Table3[[#This Row],[Return Qty]], "N/A")</f>
        <v>0</v>
      </c>
      <c r="P996">
        <f>IFERROR(IF((Table3[[#This Row],[Revenue before return]]-Table3[[#This Row],[Amount of order  returned]])&lt;0, "N/A", Table3[[#This Row],[Revenue before return]]-Table3[[#This Row],[Amount of order  returned]]), "N/A")</f>
        <v>4000000</v>
      </c>
      <c r="Q99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97" spans="1:17" x14ac:dyDescent="0.2">
      <c r="A997" t="s">
        <v>1390</v>
      </c>
      <c r="B997" t="s">
        <v>9</v>
      </c>
      <c r="C997" t="s">
        <v>10</v>
      </c>
      <c r="D997" s="6">
        <v>4</v>
      </c>
      <c r="E997" s="5">
        <v>15000</v>
      </c>
      <c r="F997" t="s">
        <v>253</v>
      </c>
      <c r="G997" s="7">
        <v>46085</v>
      </c>
      <c r="H997" s="5">
        <v>0</v>
      </c>
      <c r="I99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97" t="b">
        <f>((ISNUMBER(Table3[[#This Row],[Quantity]]) )* (Table3[[#This Row],[Quantity]]&gt;0))=1</f>
        <v>1</v>
      </c>
      <c r="K997" t="b">
        <f>((Table3[[#This Row],[Quantity]]&gt;=Table3[[#This Row],[Return Qty]])*(ISNUMBER(Table3[[#This Row],[Quantity]])))=1</f>
        <v>1</v>
      </c>
      <c r="L997" t="b">
        <f>ISNUMBER(Table3[[#This Row],[Unit Price]])</f>
        <v>1</v>
      </c>
      <c r="M997" t="b">
        <f>ISNUMBER(Table3[[#This Row],[Order Date]])</f>
        <v>1</v>
      </c>
      <c r="N997">
        <f>IFERROR(IF(Table3[[#This Row],[Quantity]]*Table3[[#This Row],[Unit Price]]&lt;0, "N/A", Table3[[#This Row],[Quantity]]*Table3[[#This Row],[Unit Price]]), "N/A")</f>
        <v>60000</v>
      </c>
      <c r="O997">
        <f>IFERROR(Table3[[#This Row],[Unit Price]]*Table3[[#This Row],[Return Qty]], "N/A")</f>
        <v>0</v>
      </c>
      <c r="P997">
        <f>IFERROR(IF((Table3[[#This Row],[Revenue before return]]-Table3[[#This Row],[Amount of order  returned]])&lt;0, "N/A", Table3[[#This Row],[Revenue before return]]-Table3[[#This Row],[Amount of order  returned]]), "N/A")</f>
        <v>60000</v>
      </c>
      <c r="Q99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98" spans="1:17" x14ac:dyDescent="0.2">
      <c r="A998" t="s">
        <v>1391</v>
      </c>
      <c r="B998" t="s">
        <v>14</v>
      </c>
      <c r="C998" t="s">
        <v>39</v>
      </c>
      <c r="D998" s="6">
        <v>12</v>
      </c>
      <c r="E998" s="5">
        <v>12000</v>
      </c>
      <c r="F998" t="s">
        <v>820</v>
      </c>
      <c r="G998" s="7">
        <v>46031</v>
      </c>
      <c r="H998" s="5">
        <v>0</v>
      </c>
      <c r="I99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98" t="b">
        <f>((ISNUMBER(Table3[[#This Row],[Quantity]]) )* (Table3[[#This Row],[Quantity]]&gt;0))=1</f>
        <v>1</v>
      </c>
      <c r="K998" t="b">
        <f>((Table3[[#This Row],[Quantity]]&gt;=Table3[[#This Row],[Return Qty]])*(ISNUMBER(Table3[[#This Row],[Quantity]])))=1</f>
        <v>1</v>
      </c>
      <c r="L998" t="b">
        <f>ISNUMBER(Table3[[#This Row],[Unit Price]])</f>
        <v>1</v>
      </c>
      <c r="M998" t="b">
        <f>ISNUMBER(Table3[[#This Row],[Order Date]])</f>
        <v>1</v>
      </c>
      <c r="N998">
        <f>IFERROR(IF(Table3[[#This Row],[Quantity]]*Table3[[#This Row],[Unit Price]]&lt;0, "N/A", Table3[[#This Row],[Quantity]]*Table3[[#This Row],[Unit Price]]), "N/A")</f>
        <v>144000</v>
      </c>
      <c r="O998">
        <f>IFERROR(Table3[[#This Row],[Unit Price]]*Table3[[#This Row],[Return Qty]], "N/A")</f>
        <v>0</v>
      </c>
      <c r="P998">
        <f>IFERROR(IF((Table3[[#This Row],[Revenue before return]]-Table3[[#This Row],[Amount of order  returned]])&lt;0, "N/A", Table3[[#This Row],[Revenue before return]]-Table3[[#This Row],[Amount of order  returned]]), "N/A")</f>
        <v>144000</v>
      </c>
      <c r="Q99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999" spans="1:17" x14ac:dyDescent="0.2">
      <c r="A999" t="s">
        <v>1392</v>
      </c>
      <c r="B999" t="s">
        <v>14</v>
      </c>
      <c r="C999" t="s">
        <v>45</v>
      </c>
      <c r="D999" s="6">
        <v>3</v>
      </c>
      <c r="E999" s="5">
        <v>20000</v>
      </c>
      <c r="F999" t="s">
        <v>146</v>
      </c>
      <c r="G999" s="7">
        <v>46187</v>
      </c>
      <c r="H999" s="5">
        <v>1</v>
      </c>
      <c r="I99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999" t="b">
        <f>((ISNUMBER(Table3[[#This Row],[Quantity]]) )* (Table3[[#This Row],[Quantity]]&gt;0))=1</f>
        <v>1</v>
      </c>
      <c r="K999" t="b">
        <f>((Table3[[#This Row],[Quantity]]&gt;=Table3[[#This Row],[Return Qty]])*(ISNUMBER(Table3[[#This Row],[Quantity]])))=1</f>
        <v>1</v>
      </c>
      <c r="L999" t="b">
        <f>ISNUMBER(Table3[[#This Row],[Unit Price]])</f>
        <v>1</v>
      </c>
      <c r="M999" t="b">
        <f>ISNUMBER(Table3[[#This Row],[Order Date]])</f>
        <v>1</v>
      </c>
      <c r="N999">
        <f>IFERROR(IF(Table3[[#This Row],[Quantity]]*Table3[[#This Row],[Unit Price]]&lt;0, "N/A", Table3[[#This Row],[Quantity]]*Table3[[#This Row],[Unit Price]]), "N/A")</f>
        <v>60000</v>
      </c>
      <c r="O999">
        <f>IFERROR(Table3[[#This Row],[Unit Price]]*Table3[[#This Row],[Return Qty]], "N/A")</f>
        <v>20000</v>
      </c>
      <c r="P999">
        <f>IFERROR(IF((Table3[[#This Row],[Revenue before return]]-Table3[[#This Row],[Amount of order  returned]])&lt;0, "N/A", Table3[[#This Row],[Revenue before return]]-Table3[[#This Row],[Amount of order  returned]]), "N/A")</f>
        <v>40000</v>
      </c>
      <c r="Q99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00" spans="1:17" x14ac:dyDescent="0.2">
      <c r="A1000" t="s">
        <v>1393</v>
      </c>
      <c r="B1000" t="s">
        <v>25</v>
      </c>
      <c r="C1000" t="s">
        <v>10</v>
      </c>
      <c r="D1000" s="6">
        <v>23</v>
      </c>
      <c r="E1000" s="5">
        <v>15000</v>
      </c>
      <c r="F1000" t="s">
        <v>311</v>
      </c>
      <c r="G1000" s="7">
        <v>46055</v>
      </c>
      <c r="H1000" s="5">
        <v>0</v>
      </c>
      <c r="I100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00" t="b">
        <f>((ISNUMBER(Table3[[#This Row],[Quantity]]) )* (Table3[[#This Row],[Quantity]]&gt;0))=1</f>
        <v>1</v>
      </c>
      <c r="K1000" t="b">
        <f>((Table3[[#This Row],[Quantity]]&gt;=Table3[[#This Row],[Return Qty]])*(ISNUMBER(Table3[[#This Row],[Quantity]])))=1</f>
        <v>1</v>
      </c>
      <c r="L1000" t="b">
        <f>ISNUMBER(Table3[[#This Row],[Unit Price]])</f>
        <v>1</v>
      </c>
      <c r="M1000" t="b">
        <f>ISNUMBER(Table3[[#This Row],[Order Date]])</f>
        <v>1</v>
      </c>
      <c r="N1000">
        <f>IFERROR(IF(Table3[[#This Row],[Quantity]]*Table3[[#This Row],[Unit Price]]&lt;0, "N/A", Table3[[#This Row],[Quantity]]*Table3[[#This Row],[Unit Price]]), "N/A")</f>
        <v>345000</v>
      </c>
      <c r="O1000">
        <f>IFERROR(Table3[[#This Row],[Unit Price]]*Table3[[#This Row],[Return Qty]], "N/A")</f>
        <v>0</v>
      </c>
      <c r="P1000">
        <f>IFERROR(IF((Table3[[#This Row],[Revenue before return]]-Table3[[#This Row],[Amount of order  returned]])&lt;0, "N/A", Table3[[#This Row],[Revenue before return]]-Table3[[#This Row],[Amount of order  returned]]), "N/A")</f>
        <v>345000</v>
      </c>
      <c r="Q100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01" spans="1:17" x14ac:dyDescent="0.2">
      <c r="A1001" t="s">
        <v>1394</v>
      </c>
      <c r="B1001" t="s">
        <v>25</v>
      </c>
      <c r="C1001" t="s">
        <v>70</v>
      </c>
      <c r="D1001" s="6">
        <v>5</v>
      </c>
      <c r="E1001" s="5">
        <v>28000</v>
      </c>
      <c r="F1001" t="s">
        <v>484</v>
      </c>
      <c r="G1001" s="7">
        <v>46111</v>
      </c>
      <c r="H1001" s="5">
        <v>0</v>
      </c>
      <c r="I100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01" t="b">
        <f>((ISNUMBER(Table3[[#This Row],[Quantity]]) )* (Table3[[#This Row],[Quantity]]&gt;0))=1</f>
        <v>1</v>
      </c>
      <c r="K1001" t="b">
        <f>((Table3[[#This Row],[Quantity]]&gt;=Table3[[#This Row],[Return Qty]])*(ISNUMBER(Table3[[#This Row],[Quantity]])))=1</f>
        <v>1</v>
      </c>
      <c r="L1001" t="b">
        <f>ISNUMBER(Table3[[#This Row],[Unit Price]])</f>
        <v>1</v>
      </c>
      <c r="M1001" t="b">
        <f>ISNUMBER(Table3[[#This Row],[Order Date]])</f>
        <v>1</v>
      </c>
      <c r="N1001">
        <f>IFERROR(IF(Table3[[#This Row],[Quantity]]*Table3[[#This Row],[Unit Price]]&lt;0, "N/A", Table3[[#This Row],[Quantity]]*Table3[[#This Row],[Unit Price]]), "N/A")</f>
        <v>140000</v>
      </c>
      <c r="O1001">
        <f>IFERROR(Table3[[#This Row],[Unit Price]]*Table3[[#This Row],[Return Qty]], "N/A")</f>
        <v>0</v>
      </c>
      <c r="P1001">
        <f>IFERROR(IF((Table3[[#This Row],[Revenue before return]]-Table3[[#This Row],[Amount of order  returned]])&lt;0, "N/A", Table3[[#This Row],[Revenue before return]]-Table3[[#This Row],[Amount of order  returned]]), "N/A")</f>
        <v>140000</v>
      </c>
      <c r="Q100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02" spans="1:17" x14ac:dyDescent="0.2">
      <c r="A1002" t="s">
        <v>264</v>
      </c>
      <c r="B1002" t="s">
        <v>21</v>
      </c>
      <c r="C1002" t="s">
        <v>22</v>
      </c>
      <c r="D1002" s="6">
        <v>16</v>
      </c>
      <c r="E1002" s="5">
        <v>35000</v>
      </c>
      <c r="F1002" t="s">
        <v>266</v>
      </c>
      <c r="G1002" s="7">
        <v>46035</v>
      </c>
      <c r="H1002" s="5">
        <v>0</v>
      </c>
      <c r="I100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02" t="b">
        <f>((ISNUMBER(Table3[[#This Row],[Quantity]]) )* (Table3[[#This Row],[Quantity]]&gt;0))=1</f>
        <v>1</v>
      </c>
      <c r="K1002" t="b">
        <f>((Table3[[#This Row],[Quantity]]&gt;=Table3[[#This Row],[Return Qty]])*(ISNUMBER(Table3[[#This Row],[Quantity]])))=1</f>
        <v>1</v>
      </c>
      <c r="L1002" t="b">
        <f>ISNUMBER(Table3[[#This Row],[Unit Price]])</f>
        <v>1</v>
      </c>
      <c r="M1002" t="b">
        <f>ISNUMBER(Table3[[#This Row],[Order Date]])</f>
        <v>1</v>
      </c>
      <c r="N1002">
        <f>IFERROR(IF(Table3[[#This Row],[Quantity]]*Table3[[#This Row],[Unit Price]]&lt;0, "N/A", Table3[[#This Row],[Quantity]]*Table3[[#This Row],[Unit Price]]), "N/A")</f>
        <v>560000</v>
      </c>
      <c r="O1002">
        <f>IFERROR(Table3[[#This Row],[Unit Price]]*Table3[[#This Row],[Return Qty]], "N/A")</f>
        <v>0</v>
      </c>
      <c r="P1002">
        <f>IFERROR(IF((Table3[[#This Row],[Revenue before return]]-Table3[[#This Row],[Amount of order  returned]])&lt;0, "N/A", Table3[[#This Row],[Revenue before return]]-Table3[[#This Row],[Amount of order  returned]]), "N/A")</f>
        <v>560000</v>
      </c>
      <c r="Q100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03" spans="1:17" x14ac:dyDescent="0.2">
      <c r="A1003" t="s">
        <v>1395</v>
      </c>
      <c r="B1003" t="s">
        <v>9</v>
      </c>
      <c r="C1003" t="s">
        <v>26</v>
      </c>
      <c r="D1003" s="6">
        <v>17</v>
      </c>
      <c r="E1003" s="5">
        <v>20000</v>
      </c>
      <c r="F1003" t="s">
        <v>230</v>
      </c>
      <c r="G1003" s="7">
        <v>46045</v>
      </c>
      <c r="H1003" s="5">
        <v>0</v>
      </c>
      <c r="I1003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03" t="b">
        <f>((ISNUMBER(Table3[[#This Row],[Quantity]]) )* (Table3[[#This Row],[Quantity]]&gt;0))=1</f>
        <v>1</v>
      </c>
      <c r="K1003" t="b">
        <f>((Table3[[#This Row],[Quantity]]&gt;=Table3[[#This Row],[Return Qty]])*(ISNUMBER(Table3[[#This Row],[Quantity]])))=1</f>
        <v>1</v>
      </c>
      <c r="L1003" t="b">
        <f>ISNUMBER(Table3[[#This Row],[Unit Price]])</f>
        <v>1</v>
      </c>
      <c r="M1003" t="b">
        <f>ISNUMBER(Table3[[#This Row],[Order Date]])</f>
        <v>1</v>
      </c>
      <c r="N1003">
        <f>IFERROR(IF(Table3[[#This Row],[Quantity]]*Table3[[#This Row],[Unit Price]]&lt;0, "N/A", Table3[[#This Row],[Quantity]]*Table3[[#This Row],[Unit Price]]), "N/A")</f>
        <v>340000</v>
      </c>
      <c r="O1003">
        <f>IFERROR(Table3[[#This Row],[Unit Price]]*Table3[[#This Row],[Return Qty]], "N/A")</f>
        <v>0</v>
      </c>
      <c r="P1003">
        <f>IFERROR(IF((Table3[[#This Row],[Revenue before return]]-Table3[[#This Row],[Amount of order  returned]])&lt;0, "N/A", Table3[[#This Row],[Revenue before return]]-Table3[[#This Row],[Amount of order  returned]]), "N/A")</f>
        <v>340000</v>
      </c>
      <c r="Q1003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04" spans="1:17" x14ac:dyDescent="0.2">
      <c r="A1004" t="s">
        <v>1396</v>
      </c>
      <c r="B1004" t="s">
        <v>25</v>
      </c>
      <c r="C1004" t="s">
        <v>26</v>
      </c>
      <c r="D1004" s="6">
        <v>4</v>
      </c>
      <c r="E1004" s="5">
        <v>20000</v>
      </c>
      <c r="F1004" t="s">
        <v>134</v>
      </c>
      <c r="G1004" s="7">
        <v>46051</v>
      </c>
      <c r="H1004" s="5">
        <v>0</v>
      </c>
      <c r="I1004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04" t="b">
        <f>((ISNUMBER(Table3[[#This Row],[Quantity]]) )* (Table3[[#This Row],[Quantity]]&gt;0))=1</f>
        <v>1</v>
      </c>
      <c r="K1004" t="b">
        <f>((Table3[[#This Row],[Quantity]]&gt;=Table3[[#This Row],[Return Qty]])*(ISNUMBER(Table3[[#This Row],[Quantity]])))=1</f>
        <v>1</v>
      </c>
      <c r="L1004" t="b">
        <f>ISNUMBER(Table3[[#This Row],[Unit Price]])</f>
        <v>1</v>
      </c>
      <c r="M1004" t="b">
        <f>ISNUMBER(Table3[[#This Row],[Order Date]])</f>
        <v>1</v>
      </c>
      <c r="N1004">
        <f>IFERROR(IF(Table3[[#This Row],[Quantity]]*Table3[[#This Row],[Unit Price]]&lt;0, "N/A", Table3[[#This Row],[Quantity]]*Table3[[#This Row],[Unit Price]]), "N/A")</f>
        <v>80000</v>
      </c>
      <c r="O1004">
        <f>IFERROR(Table3[[#This Row],[Unit Price]]*Table3[[#This Row],[Return Qty]], "N/A")</f>
        <v>0</v>
      </c>
      <c r="P1004">
        <f>IFERROR(IF((Table3[[#This Row],[Revenue before return]]-Table3[[#This Row],[Amount of order  returned]])&lt;0, "N/A", Table3[[#This Row],[Revenue before return]]-Table3[[#This Row],[Amount of order  returned]]), "N/A")</f>
        <v>80000</v>
      </c>
      <c r="Q1004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05" spans="1:17" x14ac:dyDescent="0.2">
      <c r="A1005" t="s">
        <v>1397</v>
      </c>
      <c r="B1005" t="s">
        <v>14</v>
      </c>
      <c r="C1005" t="s">
        <v>26</v>
      </c>
      <c r="D1005" s="6">
        <v>24</v>
      </c>
      <c r="E1005" s="5">
        <v>20000</v>
      </c>
      <c r="F1005" t="s">
        <v>416</v>
      </c>
      <c r="G1005" s="7">
        <v>46148</v>
      </c>
      <c r="H1005" s="5">
        <v>4</v>
      </c>
      <c r="I1005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05" t="b">
        <f>((ISNUMBER(Table3[[#This Row],[Quantity]]) )* (Table3[[#This Row],[Quantity]]&gt;0))=1</f>
        <v>1</v>
      </c>
      <c r="K1005" t="b">
        <f>((Table3[[#This Row],[Quantity]]&gt;=Table3[[#This Row],[Return Qty]])*(ISNUMBER(Table3[[#This Row],[Quantity]])))=1</f>
        <v>1</v>
      </c>
      <c r="L1005" t="b">
        <f>ISNUMBER(Table3[[#This Row],[Unit Price]])</f>
        <v>1</v>
      </c>
      <c r="M1005" t="b">
        <f>ISNUMBER(Table3[[#This Row],[Order Date]])</f>
        <v>1</v>
      </c>
      <c r="N1005">
        <f>IFERROR(IF(Table3[[#This Row],[Quantity]]*Table3[[#This Row],[Unit Price]]&lt;0, "N/A", Table3[[#This Row],[Quantity]]*Table3[[#This Row],[Unit Price]]), "N/A")</f>
        <v>480000</v>
      </c>
      <c r="O1005">
        <f>IFERROR(Table3[[#This Row],[Unit Price]]*Table3[[#This Row],[Return Qty]], "N/A")</f>
        <v>80000</v>
      </c>
      <c r="P1005">
        <f>IFERROR(IF((Table3[[#This Row],[Revenue before return]]-Table3[[#This Row],[Amount of order  returned]])&lt;0, "N/A", Table3[[#This Row],[Revenue before return]]-Table3[[#This Row],[Amount of order  returned]]), "N/A")</f>
        <v>400000</v>
      </c>
      <c r="Q1005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06" spans="1:17" x14ac:dyDescent="0.2">
      <c r="A1006" t="s">
        <v>1398</v>
      </c>
      <c r="B1006" t="s">
        <v>14</v>
      </c>
      <c r="C1006" t="s">
        <v>26</v>
      </c>
      <c r="D1006" s="6">
        <v>18</v>
      </c>
      <c r="E1006" s="5">
        <v>20000</v>
      </c>
      <c r="F1006" t="s">
        <v>431</v>
      </c>
      <c r="G1006" s="7">
        <v>46161</v>
      </c>
      <c r="H1006" s="5">
        <v>0</v>
      </c>
      <c r="I1006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06" t="b">
        <f>((ISNUMBER(Table3[[#This Row],[Quantity]]) )* (Table3[[#This Row],[Quantity]]&gt;0))=1</f>
        <v>1</v>
      </c>
      <c r="K1006" t="b">
        <f>((Table3[[#This Row],[Quantity]]&gt;=Table3[[#This Row],[Return Qty]])*(ISNUMBER(Table3[[#This Row],[Quantity]])))=1</f>
        <v>1</v>
      </c>
      <c r="L1006" t="b">
        <f>ISNUMBER(Table3[[#This Row],[Unit Price]])</f>
        <v>1</v>
      </c>
      <c r="M1006" t="b">
        <f>ISNUMBER(Table3[[#This Row],[Order Date]])</f>
        <v>1</v>
      </c>
      <c r="N1006">
        <f>IFERROR(IF(Table3[[#This Row],[Quantity]]*Table3[[#This Row],[Unit Price]]&lt;0, "N/A", Table3[[#This Row],[Quantity]]*Table3[[#This Row],[Unit Price]]), "N/A")</f>
        <v>360000</v>
      </c>
      <c r="O1006">
        <f>IFERROR(Table3[[#This Row],[Unit Price]]*Table3[[#This Row],[Return Qty]], "N/A")</f>
        <v>0</v>
      </c>
      <c r="P1006">
        <f>IFERROR(IF((Table3[[#This Row],[Revenue before return]]-Table3[[#This Row],[Amount of order  returned]])&lt;0, "N/A", Table3[[#This Row],[Revenue before return]]-Table3[[#This Row],[Amount of order  returned]]), "N/A")</f>
        <v>360000</v>
      </c>
      <c r="Q1006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07" spans="1:17" x14ac:dyDescent="0.2">
      <c r="A1007" t="s">
        <v>1399</v>
      </c>
      <c r="B1007" t="s">
        <v>25</v>
      </c>
      <c r="C1007" t="s">
        <v>18</v>
      </c>
      <c r="D1007" s="6">
        <v>19</v>
      </c>
      <c r="E1007" s="5">
        <v>50000</v>
      </c>
      <c r="F1007" t="s">
        <v>626</v>
      </c>
      <c r="G1007" s="7">
        <v>46148</v>
      </c>
      <c r="H1007" s="5">
        <v>2</v>
      </c>
      <c r="I1007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07" t="b">
        <f>((ISNUMBER(Table3[[#This Row],[Quantity]]) )* (Table3[[#This Row],[Quantity]]&gt;0))=1</f>
        <v>1</v>
      </c>
      <c r="K1007" t="b">
        <f>((Table3[[#This Row],[Quantity]]&gt;=Table3[[#This Row],[Return Qty]])*(ISNUMBER(Table3[[#This Row],[Quantity]])))=1</f>
        <v>1</v>
      </c>
      <c r="L1007" t="b">
        <f>ISNUMBER(Table3[[#This Row],[Unit Price]])</f>
        <v>1</v>
      </c>
      <c r="M1007" t="b">
        <f>ISNUMBER(Table3[[#This Row],[Order Date]])</f>
        <v>1</v>
      </c>
      <c r="N1007">
        <f>IFERROR(IF(Table3[[#This Row],[Quantity]]*Table3[[#This Row],[Unit Price]]&lt;0, "N/A", Table3[[#This Row],[Quantity]]*Table3[[#This Row],[Unit Price]]), "N/A")</f>
        <v>950000</v>
      </c>
      <c r="O1007">
        <f>IFERROR(Table3[[#This Row],[Unit Price]]*Table3[[#This Row],[Return Qty]], "N/A")</f>
        <v>100000</v>
      </c>
      <c r="P1007">
        <f>IFERROR(IF((Table3[[#This Row],[Revenue before return]]-Table3[[#This Row],[Amount of order  returned]])&lt;0, "N/A", Table3[[#This Row],[Revenue before return]]-Table3[[#This Row],[Amount of order  returned]]), "N/A")</f>
        <v>850000</v>
      </c>
      <c r="Q1007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08" spans="1:17" x14ac:dyDescent="0.2">
      <c r="A1008" t="s">
        <v>1400</v>
      </c>
      <c r="B1008" t="s">
        <v>9</v>
      </c>
      <c r="C1008" t="s">
        <v>39</v>
      </c>
      <c r="D1008" s="6">
        <v>10</v>
      </c>
      <c r="E1008" s="5">
        <v>12000</v>
      </c>
      <c r="F1008" t="s">
        <v>410</v>
      </c>
      <c r="G1008" s="7">
        <v>46086</v>
      </c>
      <c r="H1008" s="5">
        <v>0</v>
      </c>
      <c r="I1008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08" t="b">
        <f>((ISNUMBER(Table3[[#This Row],[Quantity]]) )* (Table3[[#This Row],[Quantity]]&gt;0))=1</f>
        <v>1</v>
      </c>
      <c r="K1008" t="b">
        <f>((Table3[[#This Row],[Quantity]]&gt;=Table3[[#This Row],[Return Qty]])*(ISNUMBER(Table3[[#This Row],[Quantity]])))=1</f>
        <v>1</v>
      </c>
      <c r="L1008" t="b">
        <f>ISNUMBER(Table3[[#This Row],[Unit Price]])</f>
        <v>1</v>
      </c>
      <c r="M1008" t="b">
        <f>ISNUMBER(Table3[[#This Row],[Order Date]])</f>
        <v>1</v>
      </c>
      <c r="N1008">
        <f>IFERROR(IF(Table3[[#This Row],[Quantity]]*Table3[[#This Row],[Unit Price]]&lt;0, "N/A", Table3[[#This Row],[Quantity]]*Table3[[#This Row],[Unit Price]]), "N/A")</f>
        <v>120000</v>
      </c>
      <c r="O1008">
        <f>IFERROR(Table3[[#This Row],[Unit Price]]*Table3[[#This Row],[Return Qty]], "N/A")</f>
        <v>0</v>
      </c>
      <c r="P1008">
        <f>IFERROR(IF((Table3[[#This Row],[Revenue before return]]-Table3[[#This Row],[Amount of order  returned]])&lt;0, "N/A", Table3[[#This Row],[Revenue before return]]-Table3[[#This Row],[Amount of order  returned]]), "N/A")</f>
        <v>120000</v>
      </c>
      <c r="Q1008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09" spans="1:17" x14ac:dyDescent="0.2">
      <c r="A1009" t="s">
        <v>1401</v>
      </c>
      <c r="B1009" t="s">
        <v>25</v>
      </c>
      <c r="C1009" t="s">
        <v>22</v>
      </c>
      <c r="D1009" s="6">
        <v>1</v>
      </c>
      <c r="E1009" s="5">
        <v>35000</v>
      </c>
      <c r="F1009" t="s">
        <v>46</v>
      </c>
      <c r="G1009" s="7" t="s">
        <v>11</v>
      </c>
      <c r="H1009" s="5">
        <v>0</v>
      </c>
      <c r="I1009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09" t="b">
        <f>((ISNUMBER(Table3[[#This Row],[Quantity]]) )* (Table3[[#This Row],[Quantity]]&gt;0))=1</f>
        <v>1</v>
      </c>
      <c r="K1009" t="b">
        <f>((Table3[[#This Row],[Quantity]]&gt;=Table3[[#This Row],[Return Qty]])*(ISNUMBER(Table3[[#This Row],[Quantity]])))=1</f>
        <v>1</v>
      </c>
      <c r="L1009" t="b">
        <f>ISNUMBER(Table3[[#This Row],[Unit Price]])</f>
        <v>1</v>
      </c>
      <c r="M1009" t="b">
        <f>ISNUMBER(Table3[[#This Row],[Order Date]])</f>
        <v>0</v>
      </c>
      <c r="N1009">
        <f>IFERROR(IF(Table3[[#This Row],[Quantity]]*Table3[[#This Row],[Unit Price]]&lt;0, "N/A", Table3[[#This Row],[Quantity]]*Table3[[#This Row],[Unit Price]]), "N/A")</f>
        <v>35000</v>
      </c>
      <c r="O1009">
        <f>IFERROR(Table3[[#This Row],[Unit Price]]*Table3[[#This Row],[Return Qty]], "N/A")</f>
        <v>0</v>
      </c>
      <c r="P1009">
        <f>IFERROR(IF((Table3[[#This Row],[Revenue before return]]-Table3[[#This Row],[Amount of order  returned]])&lt;0, "N/A", Table3[[#This Row],[Revenue before return]]-Table3[[#This Row],[Amount of order  returned]]), "N/A")</f>
        <v>35000</v>
      </c>
      <c r="Q1009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010" spans="1:17" x14ac:dyDescent="0.2">
      <c r="A1010" t="s">
        <v>1402</v>
      </c>
      <c r="B1010" t="s">
        <v>21</v>
      </c>
      <c r="C1010" t="s">
        <v>39</v>
      </c>
      <c r="D1010" s="6">
        <v>24</v>
      </c>
      <c r="E1010" s="5">
        <v>12000</v>
      </c>
      <c r="F1010" t="s">
        <v>891</v>
      </c>
      <c r="G1010" s="7" t="s">
        <v>11</v>
      </c>
      <c r="H1010" s="5">
        <v>0</v>
      </c>
      <c r="I1010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10" t="b">
        <f>((ISNUMBER(Table3[[#This Row],[Quantity]]) )* (Table3[[#This Row],[Quantity]]&gt;0))=1</f>
        <v>1</v>
      </c>
      <c r="K1010" t="b">
        <f>((Table3[[#This Row],[Quantity]]&gt;=Table3[[#This Row],[Return Qty]])*(ISNUMBER(Table3[[#This Row],[Quantity]])))=1</f>
        <v>1</v>
      </c>
      <c r="L1010" t="b">
        <f>ISNUMBER(Table3[[#This Row],[Unit Price]])</f>
        <v>1</v>
      </c>
      <c r="M1010" t="b">
        <f>ISNUMBER(Table3[[#This Row],[Order Date]])</f>
        <v>0</v>
      </c>
      <c r="N1010">
        <f>IFERROR(IF(Table3[[#This Row],[Quantity]]*Table3[[#This Row],[Unit Price]]&lt;0, "N/A", Table3[[#This Row],[Quantity]]*Table3[[#This Row],[Unit Price]]), "N/A")</f>
        <v>288000</v>
      </c>
      <c r="O1010">
        <f>IFERROR(Table3[[#This Row],[Unit Price]]*Table3[[#This Row],[Return Qty]], "N/A")</f>
        <v>0</v>
      </c>
      <c r="P1010">
        <f>IFERROR(IF((Table3[[#This Row],[Revenue before return]]-Table3[[#This Row],[Amount of order  returned]])&lt;0, "N/A", Table3[[#This Row],[Revenue before return]]-Table3[[#This Row],[Amount of order  returned]]), "N/A")</f>
        <v>288000</v>
      </c>
      <c r="Q1010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Inspect</v>
      </c>
    </row>
    <row r="1011" spans="1:17" x14ac:dyDescent="0.2">
      <c r="A1011" t="s">
        <v>1403</v>
      </c>
      <c r="B1011" t="s">
        <v>14</v>
      </c>
      <c r="C1011" t="s">
        <v>70</v>
      </c>
      <c r="D1011" s="6">
        <v>300</v>
      </c>
      <c r="E1011" s="5">
        <v>28000</v>
      </c>
      <c r="F1011" t="s">
        <v>266</v>
      </c>
      <c r="G1011" s="7">
        <v>46151</v>
      </c>
      <c r="H1011" s="5">
        <v>0</v>
      </c>
      <c r="I1011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11" t="b">
        <f>((ISNUMBER(Table3[[#This Row],[Quantity]]) )* (Table3[[#This Row],[Quantity]]&gt;0))=1</f>
        <v>1</v>
      </c>
      <c r="K1011" t="b">
        <f>((Table3[[#This Row],[Quantity]]&gt;=Table3[[#This Row],[Return Qty]])*(ISNUMBER(Table3[[#This Row],[Quantity]])))=1</f>
        <v>1</v>
      </c>
      <c r="L1011" t="b">
        <f>ISNUMBER(Table3[[#This Row],[Unit Price]])</f>
        <v>1</v>
      </c>
      <c r="M1011" t="b">
        <f>ISNUMBER(Table3[[#This Row],[Order Date]])</f>
        <v>1</v>
      </c>
      <c r="N1011">
        <f>IFERROR(IF(Table3[[#This Row],[Quantity]]*Table3[[#This Row],[Unit Price]]&lt;0, "N/A", Table3[[#This Row],[Quantity]]*Table3[[#This Row],[Unit Price]]), "N/A")</f>
        <v>8400000</v>
      </c>
      <c r="O1011">
        <f>IFERROR(Table3[[#This Row],[Unit Price]]*Table3[[#This Row],[Return Qty]], "N/A")</f>
        <v>0</v>
      </c>
      <c r="P1011">
        <f>IFERROR(IF((Table3[[#This Row],[Revenue before return]]-Table3[[#This Row],[Amount of order  returned]])&lt;0, "N/A", Table3[[#This Row],[Revenue before return]]-Table3[[#This Row],[Amount of order  returned]]), "N/A")</f>
        <v>8400000</v>
      </c>
      <c r="Q1011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12" spans="1:17" x14ac:dyDescent="0.2">
      <c r="A1012" t="s">
        <v>1404</v>
      </c>
      <c r="B1012" t="s">
        <v>929</v>
      </c>
      <c r="C1012" t="s">
        <v>10</v>
      </c>
      <c r="D1012" s="6">
        <v>7</v>
      </c>
      <c r="E1012" s="5">
        <v>15000</v>
      </c>
      <c r="F1012" t="s">
        <v>40</v>
      </c>
      <c r="G1012" s="7">
        <v>46076</v>
      </c>
      <c r="H1012" s="5">
        <v>4</v>
      </c>
      <c r="I1012" t="b">
        <f>IF(OR('CAL-DATA VALIDATION'!$A$2=Table3[[#This Row],[Branch]], 'CAL-DATA VALIDATION'!$A$3=Table3[[#This Row],[Branch]],'CAL-DATA VALIDATION'!$A$4=Table3[[#This Row],[Branch]],'CAL-DATA VALIDATION'!$A$5=Table3[[#This Row],[Branch]]), TRUE, FALSE)</f>
        <v>1</v>
      </c>
      <c r="J1012" t="b">
        <f>((ISNUMBER(Table3[[#This Row],[Quantity]]) )* (Table3[[#This Row],[Quantity]]&gt;0))=1</f>
        <v>1</v>
      </c>
      <c r="K1012" t="b">
        <f>((Table3[[#This Row],[Quantity]]&gt;=Table3[[#This Row],[Return Qty]])*(ISNUMBER(Table3[[#This Row],[Quantity]])))=1</f>
        <v>1</v>
      </c>
      <c r="L1012" t="b">
        <f>ISNUMBER(Table3[[#This Row],[Unit Price]])</f>
        <v>1</v>
      </c>
      <c r="M1012" t="b">
        <f>ISNUMBER(Table3[[#This Row],[Order Date]])</f>
        <v>1</v>
      </c>
      <c r="N1012">
        <f>IFERROR(IF(Table3[[#This Row],[Quantity]]*Table3[[#This Row],[Unit Price]]&lt;0, "N/A", Table3[[#This Row],[Quantity]]*Table3[[#This Row],[Unit Price]]), "N/A")</f>
        <v>105000</v>
      </c>
      <c r="O1012">
        <f>IFERROR(Table3[[#This Row],[Unit Price]]*Table3[[#This Row],[Return Qty]], "N/A")</f>
        <v>60000</v>
      </c>
      <c r="P1012">
        <f>IFERROR(IF((Table3[[#This Row],[Revenue before return]]-Table3[[#This Row],[Amount of order  returned]])&lt;0, "N/A", Table3[[#This Row],[Revenue before return]]-Table3[[#This Row],[Amount of order  returned]]), "N/A")</f>
        <v>45000</v>
      </c>
      <c r="Q1012" t="str">
        <f>IF(AND(Table3[[#This Row],[are branches correct]]=TRUE, Table3[[#This Row],[is quantity sold &gt; quantity returned?]]=TRUE, Table3[[#This Row],[Unit price is valid]]=TRUE,Table3[[#This Row],[is the date valid]]=TRUE,Table3[[#This Row],[valid QTY]]=TRUE), "No action required", "Inspect")</f>
        <v>No action required</v>
      </c>
    </row>
    <row r="1013" spans="1:17" x14ac:dyDescent="0.2">
      <c r="D1013"/>
      <c r="E1013"/>
      <c r="G1013" s="9"/>
      <c r="H1013"/>
    </row>
    <row r="1014" spans="1:17" x14ac:dyDescent="0.2">
      <c r="D1014"/>
      <c r="E1014"/>
      <c r="G1014" s="9"/>
      <c r="H1014"/>
    </row>
    <row r="1015" spans="1:17" x14ac:dyDescent="0.2">
      <c r="D1015"/>
      <c r="E1015"/>
      <c r="G1015" s="9"/>
      <c r="H1015"/>
    </row>
    <row r="1016" spans="1:17" x14ac:dyDescent="0.2">
      <c r="D1016"/>
      <c r="E1016"/>
      <c r="G1016" s="9"/>
      <c r="H1016"/>
    </row>
    <row r="1017" spans="1:17" x14ac:dyDescent="0.2">
      <c r="D1017"/>
      <c r="E1017"/>
      <c r="G1017" s="9"/>
      <c r="H1017"/>
    </row>
    <row r="1018" spans="1:17" x14ac:dyDescent="0.2">
      <c r="D1018"/>
      <c r="E1018"/>
      <c r="G1018" s="9"/>
      <c r="H1018"/>
    </row>
    <row r="1019" spans="1:17" x14ac:dyDescent="0.2">
      <c r="D1019"/>
      <c r="E1019"/>
      <c r="G1019" s="9"/>
      <c r="H1019"/>
    </row>
    <row r="1020" spans="1:17" x14ac:dyDescent="0.2">
      <c r="D1020"/>
      <c r="E1020"/>
      <c r="G1020" s="9"/>
      <c r="H1020"/>
    </row>
    <row r="1021" spans="1:17" x14ac:dyDescent="0.2">
      <c r="D1021"/>
      <c r="E1021"/>
      <c r="G1021" s="9"/>
      <c r="H1021"/>
    </row>
    <row r="1022" spans="1:17" x14ac:dyDescent="0.2">
      <c r="D1022"/>
      <c r="E1022"/>
      <c r="G1022" s="9"/>
      <c r="H1022"/>
    </row>
    <row r="1023" spans="1:17" x14ac:dyDescent="0.2">
      <c r="D1023"/>
      <c r="E1023"/>
      <c r="G1023" s="9"/>
      <c r="H1023"/>
    </row>
  </sheetData>
  <conditionalFormatting sqref="Q2:Q1012">
    <cfRule type="containsText" dxfId="1" priority="1" operator="containsText" text="Inspect">
      <formula>NOT(ISERROR(SEARCH("Inspect",Q2)))</formula>
    </cfRule>
  </conditionalFormatting>
  <conditionalFormatting sqref="T2:T1011">
    <cfRule type="cellIs" dxfId="0" priority="2" operator="greaterThan">
      <formula>1</formula>
    </cfRule>
  </conditionalFormatting>
  <dataValidations disablePrompts="1" count="1">
    <dataValidation type="list" allowBlank="1" showInputMessage="1" showErrorMessage="1" sqref="Z2" xr:uid="{00000000-0002-0000-0100-000000000000}">
      <formula1>#REF!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G7" sqref="G7"/>
    </sheetView>
  </sheetViews>
  <sheetFormatPr defaultRowHeight="15" x14ac:dyDescent="0.2"/>
  <cols>
    <col min="1" max="1" width="15.87109375" customWidth="1"/>
    <col min="2" max="2" width="17.62109375" bestFit="1" customWidth="1"/>
    <col min="3" max="3" width="7.80078125" customWidth="1"/>
    <col min="4" max="4" width="16.140625" bestFit="1" customWidth="1"/>
    <col min="5" max="5" width="9.55078125" bestFit="1" customWidth="1"/>
    <col min="6" max="6" width="39.01171875" bestFit="1" customWidth="1"/>
    <col min="7" max="7" width="10.76171875" bestFit="1" customWidth="1"/>
    <col min="8" max="8" width="10.625" bestFit="1" customWidth="1"/>
    <col min="9" max="9" width="18.0234375" bestFit="1" customWidth="1"/>
    <col min="10" max="10" width="33.8984375" bestFit="1" customWidth="1"/>
    <col min="11" max="11" width="16.27734375" bestFit="1" customWidth="1"/>
  </cols>
  <sheetData>
    <row r="1" spans="1:7" x14ac:dyDescent="0.2">
      <c r="A1" s="10" t="s">
        <v>1409</v>
      </c>
      <c r="B1" s="11" t="s">
        <v>1415</v>
      </c>
      <c r="D1" t="s">
        <v>1416</v>
      </c>
    </row>
    <row r="2" spans="1:7" x14ac:dyDescent="0.2">
      <c r="A2" s="12" t="s">
        <v>9</v>
      </c>
      <c r="B2" s="13">
        <f>COUNTIF(Table3[Branch],'CAL-DATA VALIDATION'!$A2)</f>
        <v>235</v>
      </c>
      <c r="D2" t="s">
        <v>0</v>
      </c>
      <c r="F2" t="s">
        <v>1421</v>
      </c>
      <c r="G2">
        <f>COUNTIF(Table3[valid QTY],FALSE)</f>
        <v>45</v>
      </c>
    </row>
    <row r="3" spans="1:7" x14ac:dyDescent="0.2">
      <c r="A3" s="12" t="s">
        <v>14</v>
      </c>
      <c r="B3" s="13">
        <f>COUNTIF(Table3[Branch],'CAL-DATA VALIDATION'!$A3)</f>
        <v>238</v>
      </c>
      <c r="D3" t="s">
        <v>1</v>
      </c>
      <c r="F3" t="s">
        <v>1419</v>
      </c>
      <c r="G3">
        <f>COUNTIF(Table3[is quantity sold &gt; quantity returned?],FALSE)</f>
        <v>66</v>
      </c>
    </row>
    <row r="4" spans="1:7" x14ac:dyDescent="0.2">
      <c r="A4" s="12" t="s">
        <v>21</v>
      </c>
      <c r="B4" s="13">
        <f>COUNTIF(Table3[Branch],'CAL-DATA VALIDATION'!$A4)</f>
        <v>249</v>
      </c>
      <c r="D4" t="s">
        <v>2</v>
      </c>
      <c r="F4" t="s">
        <v>1420</v>
      </c>
      <c r="G4">
        <f>COUNTIF(Table3[Unit price is valid],FALSE)</f>
        <v>15</v>
      </c>
    </row>
    <row r="5" spans="1:7" x14ac:dyDescent="0.2">
      <c r="A5" s="12" t="s">
        <v>25</v>
      </c>
      <c r="B5" s="13">
        <f>COUNTIF(Table3[Branch],'CAL-DATA VALIDATION'!$A5)</f>
        <v>277</v>
      </c>
      <c r="D5" t="s">
        <v>3</v>
      </c>
      <c r="F5" t="s">
        <v>1422</v>
      </c>
      <c r="G5">
        <f>(COUNTIF(Table3[is the date valid],FALSE))-8</f>
        <v>20</v>
      </c>
    </row>
    <row r="6" spans="1:7" x14ac:dyDescent="0.2">
      <c r="A6" s="12" t="s">
        <v>235</v>
      </c>
      <c r="B6" s="13">
        <f>COUNTIF(Table3[Branch],'CAL-DATA VALIDATION'!$A6)</f>
        <v>3</v>
      </c>
      <c r="D6" t="s">
        <v>4</v>
      </c>
      <c r="F6" t="s">
        <v>1427</v>
      </c>
      <c r="G6">
        <f>COUNTIF(Table3[Action], "inspect")-8</f>
        <v>110</v>
      </c>
    </row>
    <row r="7" spans="1:7" x14ac:dyDescent="0.2">
      <c r="A7" s="12" t="s">
        <v>363</v>
      </c>
      <c r="B7" s="13">
        <f>COUNTIF(Table3[Branch],'CAL-DATA VALIDATION'!$A7)</f>
        <v>2</v>
      </c>
      <c r="D7" t="s">
        <v>5</v>
      </c>
    </row>
    <row r="8" spans="1:7" x14ac:dyDescent="0.2">
      <c r="A8" s="12" t="s">
        <v>581</v>
      </c>
      <c r="B8" s="13">
        <f>COUNTIF(Table3[Branch],'CAL-DATA VALIDATION'!$A8)</f>
        <v>4</v>
      </c>
      <c r="D8" t="s">
        <v>6</v>
      </c>
    </row>
    <row r="9" spans="1:7" ht="15.75" thickBot="1" x14ac:dyDescent="0.25">
      <c r="A9" s="14" t="s">
        <v>679</v>
      </c>
      <c r="B9" s="15">
        <f>COUNTIF(Table3[Branch],'CAL-DATA VALIDATION'!$A9)</f>
        <v>3</v>
      </c>
      <c r="D9" t="s">
        <v>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tabSelected="1" workbookViewId="0">
      <selection activeCell="C13" sqref="C13"/>
    </sheetView>
  </sheetViews>
  <sheetFormatPr defaultRowHeight="15" x14ac:dyDescent="0.2"/>
  <cols>
    <col min="1" max="1" width="11.296875" customWidth="1"/>
    <col min="2" max="2" width="29.45703125" bestFit="1" customWidth="1"/>
    <col min="3" max="3" width="73.8515625" customWidth="1"/>
    <col min="5" max="5" width="32.6875" bestFit="1" customWidth="1"/>
  </cols>
  <sheetData>
    <row r="1" spans="1:6" x14ac:dyDescent="0.2">
      <c r="A1" t="s">
        <v>1411</v>
      </c>
      <c r="B1" t="s">
        <v>1412</v>
      </c>
      <c r="C1" t="s">
        <v>1413</v>
      </c>
    </row>
    <row r="2" spans="1:6" ht="27.75" x14ac:dyDescent="0.2">
      <c r="A2" s="17" t="s">
        <v>1</v>
      </c>
      <c r="B2" s="17">
        <v>12</v>
      </c>
      <c r="C2" s="16" t="s">
        <v>1425</v>
      </c>
      <c r="E2" s="20" t="s">
        <v>1428</v>
      </c>
      <c r="F2" s="19">
        <f>'CAL-DATA VALIDATION'!G6</f>
        <v>110</v>
      </c>
    </row>
    <row r="3" spans="1:6" ht="41.25" x14ac:dyDescent="0.2">
      <c r="A3" s="17" t="s">
        <v>3</v>
      </c>
      <c r="B3" s="17">
        <v>45</v>
      </c>
      <c r="C3" s="16" t="s">
        <v>1426</v>
      </c>
    </row>
    <row r="4" spans="1:6" ht="54.75" x14ac:dyDescent="0.2">
      <c r="A4" s="17" t="s">
        <v>7</v>
      </c>
      <c r="B4" s="17">
        <v>66</v>
      </c>
      <c r="C4" s="16" t="s">
        <v>1432</v>
      </c>
    </row>
    <row r="5" spans="1:6" ht="27.75" x14ac:dyDescent="0.2">
      <c r="A5" s="17" t="s">
        <v>4</v>
      </c>
      <c r="B5" s="17">
        <v>15</v>
      </c>
      <c r="C5" s="16" t="s">
        <v>1423</v>
      </c>
    </row>
    <row r="6" spans="1:6" ht="27.75" x14ac:dyDescent="0.2">
      <c r="A6" s="17" t="s">
        <v>6</v>
      </c>
      <c r="B6" s="17">
        <v>20</v>
      </c>
      <c r="C6" s="16" t="s">
        <v>1424</v>
      </c>
    </row>
  </sheetData>
  <dataValidations count="1">
    <dataValidation type="list" allowBlank="1" showInputMessage="1" showErrorMessage="1" sqref="A2:A1048576" xr:uid="{00000000-0002-0000-0300-000000000000}">
      <formula1>DATA_VAL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RAW_DATA</vt:lpstr>
      <vt:lpstr>CLEANED</vt:lpstr>
      <vt:lpstr>CAL-DATA VALIDATION</vt:lpstr>
      <vt:lpstr>REPORT</vt:lpstr>
      <vt:lpstr>DATA_VAL</vt:lpstr>
      <vt:lpstr>CLEANED!Extract</vt:lpstr>
      <vt:lpstr>RAW_DATA!Extract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2026-09-19T11:52:41Z</dcterms:created>
  <dcterms:modified xsi:type="dcterms:W3CDTF">2026-09-27T11:11:02Z</dcterms:modified>
</cp:coreProperties>
</file>